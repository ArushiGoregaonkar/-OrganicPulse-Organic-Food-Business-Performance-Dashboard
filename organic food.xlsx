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slicers/slicer3.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Ex1.xml" ContentType="application/vnd.ms-office.chartex+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Arushi Goregaonkar\Music\"/>
    </mc:Choice>
  </mc:AlternateContent>
  <xr:revisionPtr revIDLastSave="0" documentId="8_{D0D49902-8616-42F5-B29D-0775D71B7E80}" xr6:coauthVersionLast="47" xr6:coauthVersionMax="47" xr10:uidLastSave="{00000000-0000-0000-0000-000000000000}"/>
  <bookViews>
    <workbookView xWindow="-108" yWindow="-108" windowWidth="23256" windowHeight="12456" firstSheet="2" activeTab="4" xr2:uid="{00000000-000D-0000-FFFF-FFFF00000000}"/>
  </bookViews>
  <sheets>
    <sheet name="Sheet1" sheetId="14" r:id="rId1"/>
    <sheet name="Sheet2" sheetId="15" r:id="rId2"/>
    <sheet name="Organic_Data" sheetId="1" r:id="rId3"/>
    <sheet name="pivot table" sheetId="2" r:id="rId4"/>
    <sheet name="business performance overview" sheetId="3" r:id="rId5"/>
  </sheets>
  <definedNames>
    <definedName name="_xlnm._FilterDatabase" localSheetId="2" hidden="1">Organic_Data!$P$6:$P$1205</definedName>
    <definedName name="_xlchart.v5.0" hidden="1">Organic_Data!$Q$2</definedName>
    <definedName name="_xlchart.v5.1" hidden="1">Organic_Data!$Q$3:$Q$8</definedName>
    <definedName name="_xlchart.v5.2" hidden="1">Organic_Data!$R$2</definedName>
    <definedName name="_xlchart.v5.3" hidden="1">Organic_Data!$R$3:$R$8</definedName>
    <definedName name="_xlnm.Extract" localSheetId="2">Organic_Data!$R$9</definedName>
    <definedName name="Slicer_Category">#N/A</definedName>
    <definedName name="Slicer_Column1">#N/A</definedName>
    <definedName name="Slicer_Demand_Level">#N/A</definedName>
    <definedName name="Slicer_Year">#N/A</definedName>
  </definedNames>
  <calcPr calcId="191029"/>
  <pivotCaches>
    <pivotCache cacheId="0" r:id="rId6"/>
    <pivotCache cacheId="1" r:id="rId7"/>
    <pivotCache cacheId="2" r:id="rId8"/>
    <pivotCache cacheId="3"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8" i="1" l="1"/>
  <c r="R7" i="1"/>
  <c r="R4" i="1"/>
  <c r="R5" i="1"/>
  <c r="R6" i="1"/>
  <c r="R3" i="1"/>
  <c r="P20" i="2"/>
  <c r="P19" i="2"/>
  <c r="P18" i="2"/>
  <c r="P17" i="2"/>
  <c r="P16" i="2"/>
  <c r="P15" i="2"/>
</calcChain>
</file>

<file path=xl/sharedStrings.xml><?xml version="1.0" encoding="utf-8"?>
<sst xmlns="http://schemas.openxmlformats.org/spreadsheetml/2006/main" count="9783" uniqueCount="90">
  <si>
    <t>Year</t>
  </si>
  <si>
    <t>Month</t>
  </si>
  <si>
    <t>Category</t>
  </si>
  <si>
    <t>Product Name</t>
  </si>
  <si>
    <t>Units Sold</t>
  </si>
  <si>
    <t>Selling Price</t>
  </si>
  <si>
    <t>Cost Price</t>
  </si>
  <si>
    <t>Revenue</t>
  </si>
  <si>
    <t>Total Cost</t>
  </si>
  <si>
    <t>Profit</t>
  </si>
  <si>
    <t>Growth %</t>
  </si>
  <si>
    <t>Stock Available</t>
  </si>
  <si>
    <t>Demand Level</t>
  </si>
  <si>
    <t>Issue</t>
  </si>
  <si>
    <t>Action Required</t>
  </si>
  <si>
    <t>Jan</t>
  </si>
  <si>
    <t>Organic Spices</t>
  </si>
  <si>
    <t>Turmeric Powder</t>
  </si>
  <si>
    <t>Medium</t>
  </si>
  <si>
    <t>High Demand</t>
  </si>
  <si>
    <t>Improve Marketing</t>
  </si>
  <si>
    <t>Jul</t>
  </si>
  <si>
    <t>Organic Grocery</t>
  </si>
  <si>
    <t>Dals</t>
  </si>
  <si>
    <t>Supply Delay</t>
  </si>
  <si>
    <t>Discount</t>
  </si>
  <si>
    <t>Organic Oils</t>
  </si>
  <si>
    <t>Coconut Oil</t>
  </si>
  <si>
    <t>High</t>
  </si>
  <si>
    <t>Jun</t>
  </si>
  <si>
    <t>Red Chilli Powder</t>
  </si>
  <si>
    <t>Low Stock</t>
  </si>
  <si>
    <t>Sep</t>
  </si>
  <si>
    <t>Organic Dairy</t>
  </si>
  <si>
    <t>Paneer</t>
  </si>
  <si>
    <t>Organic Superfoods</t>
  </si>
  <si>
    <t>Ashwagandha</t>
  </si>
  <si>
    <t>Low</t>
  </si>
  <si>
    <t>None</t>
  </si>
  <si>
    <t>Mar</t>
  </si>
  <si>
    <t>Amla Powder</t>
  </si>
  <si>
    <t>Oct</t>
  </si>
  <si>
    <t>Restock</t>
  </si>
  <si>
    <t>Chia Seeds</t>
  </si>
  <si>
    <t>Maintain</t>
  </si>
  <si>
    <t>Aug</t>
  </si>
  <si>
    <t>May</t>
  </si>
  <si>
    <t>Nov</t>
  </si>
  <si>
    <t>Ghee</t>
  </si>
  <si>
    <t>Apr</t>
  </si>
  <si>
    <t>Curd</t>
  </si>
  <si>
    <t>Feb</t>
  </si>
  <si>
    <t>Sunflower Oil</t>
  </si>
  <si>
    <t>Pulses</t>
  </si>
  <si>
    <t>Milk</t>
  </si>
  <si>
    <t>Wheat Flour</t>
  </si>
  <si>
    <t>Black Pepper</t>
  </si>
  <si>
    <t>Dec</t>
  </si>
  <si>
    <t>Groundnut Oil</t>
  </si>
  <si>
    <t>Rice</t>
  </si>
  <si>
    <t>Row Labels</t>
  </si>
  <si>
    <t>Grand Total</t>
  </si>
  <si>
    <t>Increase Stock</t>
  </si>
  <si>
    <t>Find Alternate Supplier</t>
  </si>
  <si>
    <t>Sum of Profit</t>
  </si>
  <si>
    <t>Sum of Units Sold</t>
  </si>
  <si>
    <t>Sum of Growth %</t>
  </si>
  <si>
    <t>Sum of Stock Available</t>
  </si>
  <si>
    <t>Sum of Revenue</t>
  </si>
  <si>
    <t>Count of Category</t>
  </si>
  <si>
    <t>Count of Action Required</t>
  </si>
  <si>
    <t>Maharashtra</t>
  </si>
  <si>
    <t>Gujarat</t>
  </si>
  <si>
    <t>Tamil Nadu</t>
  </si>
  <si>
    <t>Karnataka</t>
  </si>
  <si>
    <t>Delhi</t>
  </si>
  <si>
    <t>Rajasthan</t>
  </si>
  <si>
    <t>Organic Foods</t>
  </si>
  <si>
    <t>(All)</t>
  </si>
  <si>
    <t>z</t>
  </si>
  <si>
    <t>state</t>
  </si>
  <si>
    <t>sales</t>
  </si>
  <si>
    <t>maharashte</t>
  </si>
  <si>
    <t>maharshtra</t>
  </si>
  <si>
    <t>gujarat</t>
  </si>
  <si>
    <t>karantak</t>
  </si>
  <si>
    <t xml:space="preserve">delhi </t>
  </si>
  <si>
    <t>rajasthan</t>
  </si>
  <si>
    <t>tamil  nadu</t>
  </si>
  <si>
    <t>Sum of 16737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</si>
</sst>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39]#,##0"/>
    <numFmt numFmtId="165" formatCode="0.0"/>
  </numFmts>
  <fonts count="6" x14ac:knownFonts="1">
    <font>
      <sz val="11"/>
      <color theme="1"/>
      <name val="Calibri"/>
      <family val="2"/>
      <scheme val="minor"/>
    </font>
    <font>
      <b/>
      <sz val="11"/>
      <color theme="1"/>
      <name val="Calibri"/>
      <family val="2"/>
      <scheme val="minor"/>
    </font>
    <font>
      <b/>
      <sz val="18"/>
      <color theme="1"/>
      <name val="Bahnschrift SemiBold"/>
      <family val="2"/>
    </font>
    <font>
      <sz val="11"/>
      <color theme="6" tint="-0.249977111117893"/>
      <name val="Calibri"/>
      <family val="2"/>
      <scheme val="minor"/>
    </font>
    <font>
      <b/>
      <sz val="14"/>
      <color theme="6" tint="-0.249977111117893"/>
      <name val="Segoe UI"/>
      <family val="2"/>
    </font>
    <font>
      <b/>
      <u/>
      <sz val="11"/>
      <color theme="1"/>
      <name val="Calibri"/>
      <family val="2"/>
      <scheme val="minor"/>
    </font>
  </fonts>
  <fills count="8">
    <fill>
      <patternFill patternType="none"/>
    </fill>
    <fill>
      <patternFill patternType="gray125"/>
    </fill>
    <fill>
      <patternFill patternType="solid">
        <fgColor theme="5" tint="0.59999389629810485"/>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6" tint="-0.249977111117893"/>
        <bgColor indexed="64"/>
      </patternFill>
    </fill>
    <fill>
      <patternFill patternType="solid">
        <fgColor rgb="FFFFFF99"/>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indexed="64"/>
      </left>
      <right style="thin">
        <color indexed="64"/>
      </right>
      <top style="thin">
        <color indexed="64"/>
      </top>
      <bottom/>
      <diagonal/>
    </border>
  </borders>
  <cellStyleXfs count="1">
    <xf numFmtId="0" fontId="0" fillId="0" borderId="0"/>
  </cellStyleXfs>
  <cellXfs count="39">
    <xf numFmtId="0" fontId="0" fillId="0" borderId="0" xfId="0"/>
    <xf numFmtId="0" fontId="0" fillId="0" borderId="0" xfId="0" pivotButton="1"/>
    <xf numFmtId="0" fontId="0" fillId="0" borderId="0" xfId="0" applyAlignment="1">
      <alignment horizontal="left"/>
    </xf>
    <xf numFmtId="0" fontId="1" fillId="2" borderId="1" xfId="0" applyFont="1" applyFill="1" applyBorder="1" applyAlignment="1">
      <alignment horizontal="center"/>
    </xf>
    <xf numFmtId="0" fontId="0" fillId="0" borderId="1" xfId="0" applyBorder="1" applyAlignment="1">
      <alignment horizontal="center"/>
    </xf>
    <xf numFmtId="0" fontId="1" fillId="2" borderId="2" xfId="0" applyFont="1" applyFill="1" applyBorder="1" applyAlignment="1">
      <alignment horizontal="center"/>
    </xf>
    <xf numFmtId="0" fontId="1" fillId="0" borderId="0" xfId="0" applyFont="1"/>
    <xf numFmtId="0" fontId="0" fillId="4" borderId="0" xfId="0" applyFill="1"/>
    <xf numFmtId="0" fontId="0" fillId="5" borderId="0" xfId="0" applyFill="1"/>
    <xf numFmtId="0" fontId="0" fillId="6" borderId="0" xfId="0" applyFill="1"/>
    <xf numFmtId="165" fontId="0" fillId="0" borderId="0" xfId="0" applyNumberFormat="1"/>
    <xf numFmtId="0" fontId="3" fillId="6" borderId="0" xfId="0" applyFont="1" applyFill="1"/>
    <xf numFmtId="0" fontId="3" fillId="4" borderId="0" xfId="0" applyFont="1" applyFill="1"/>
    <xf numFmtId="0" fontId="3" fillId="5" borderId="0" xfId="0" applyFont="1" applyFill="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1" fontId="0" fillId="0" borderId="0" xfId="0" applyNumberFormat="1"/>
    <xf numFmtId="0" fontId="0" fillId="5" borderId="0" xfId="0" applyFill="1" applyAlignment="1">
      <alignment horizontal="center"/>
    </xf>
    <xf numFmtId="0" fontId="0" fillId="5" borderId="0" xfId="0" applyFill="1" applyAlignment="1">
      <alignment horizontal="left"/>
    </xf>
    <xf numFmtId="0" fontId="0" fillId="5" borderId="0" xfId="0" applyFill="1" applyAlignment="1">
      <alignment horizontal="left" vertical="center"/>
    </xf>
    <xf numFmtId="3" fontId="4" fillId="6" borderId="0" xfId="0" applyNumberFormat="1" applyFont="1" applyFill="1"/>
    <xf numFmtId="0" fontId="0" fillId="6" borderId="0" xfId="0" applyFill="1" applyAlignment="1">
      <alignment horizontal="center"/>
    </xf>
    <xf numFmtId="0" fontId="0" fillId="0" borderId="15" xfId="0" applyBorder="1" applyAlignment="1">
      <alignment horizontal="center"/>
    </xf>
    <xf numFmtId="0" fontId="0" fillId="0" borderId="0" xfId="0" applyAlignment="1">
      <alignment horizontal="center"/>
    </xf>
    <xf numFmtId="0" fontId="0" fillId="0" borderId="3" xfId="0" applyBorder="1" applyAlignment="1">
      <alignment horizontal="center"/>
    </xf>
    <xf numFmtId="0" fontId="1" fillId="0" borderId="0" xfId="0" applyFont="1" applyAlignment="1">
      <alignment horizontal="center"/>
    </xf>
    <xf numFmtId="164" fontId="0" fillId="0" borderId="0" xfId="0" applyNumberFormat="1"/>
    <xf numFmtId="2" fontId="0" fillId="0" borderId="0" xfId="0" applyNumberFormat="1"/>
    <xf numFmtId="0" fontId="5" fillId="7" borderId="0" xfId="0" applyFont="1" applyFill="1" applyAlignment="1">
      <alignment horizontal="center" vertical="center"/>
    </xf>
    <xf numFmtId="0" fontId="2" fillId="3" borderId="2" xfId="0" applyFont="1" applyFill="1" applyBorder="1" applyAlignment="1">
      <alignment horizontal="center"/>
    </xf>
    <xf numFmtId="0" fontId="2" fillId="3" borderId="4" xfId="0" applyFont="1" applyFill="1" applyBorder="1" applyAlignment="1">
      <alignment horizontal="center"/>
    </xf>
    <xf numFmtId="0" fontId="2" fillId="3" borderId="5" xfId="0" applyFont="1" applyFill="1" applyBorder="1" applyAlignment="1">
      <alignment horizontal="center"/>
    </xf>
  </cellXfs>
  <cellStyles count="1">
    <cellStyle name="Normal" xfId="0" builtinId="0"/>
  </cellStyles>
  <dxfs count="31">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alignment horizontal="center" vertical="bottom" textRotation="0" wrapText="0" indent="0" justifyLastLine="0" shrinkToFit="0" readingOrder="0"/>
    </dxf>
    <dxf>
      <numFmt numFmtId="1" formatCode="0"/>
    </dxf>
    <dxf>
      <numFmt numFmtId="1" formatCode="0"/>
    </dxf>
    <dxf>
      <numFmt numFmtId="1" formatCode="0"/>
    </dxf>
    <dxf>
      <font>
        <b/>
        <color theme="1"/>
      </font>
      <border>
        <bottom style="thin">
          <color theme="6"/>
        </bottom>
        <vertical/>
        <horizontal/>
      </border>
    </dxf>
    <dxf>
      <font>
        <b val="0"/>
        <i val="0"/>
        <sz val="14"/>
        <color theme="5"/>
        <name val="Calibri"/>
        <family val="2"/>
        <scheme val="minor"/>
      </font>
      <fill>
        <patternFill>
          <bgColor theme="0"/>
        </patternFill>
      </fill>
      <border>
        <left style="thin">
          <color theme="6"/>
        </left>
        <right style="thin">
          <color theme="6"/>
        </right>
        <top style="thin">
          <color theme="6"/>
        </top>
        <bottom style="thin">
          <color theme="6"/>
        </bottom>
        <vertical/>
        <horizontal/>
      </border>
    </dxf>
    <dxf>
      <font>
        <b/>
        <color theme="1"/>
      </font>
      <border>
        <bottom style="thin">
          <color theme="6"/>
        </bottom>
        <vertical/>
        <horizontal/>
      </border>
    </dxf>
    <dxf>
      <font>
        <b val="0"/>
        <i val="0"/>
        <color theme="5"/>
        <name val="Calibri"/>
        <family val="2"/>
        <scheme val="minor"/>
      </font>
      <fill>
        <patternFill>
          <bgColor theme="0"/>
        </patternFill>
      </fill>
      <border>
        <left style="thin">
          <color theme="6"/>
        </left>
        <right style="thin">
          <color theme="6"/>
        </right>
        <top style="thin">
          <color theme="6"/>
        </top>
        <bottom style="thin">
          <color theme="6"/>
        </bottom>
        <vertical/>
        <horizontal/>
      </border>
    </dxf>
    <dxf>
      <font>
        <b/>
        <color theme="1"/>
      </font>
      <border>
        <bottom style="thin">
          <color theme="6"/>
        </bottom>
        <vertical/>
        <horizontal/>
      </border>
    </dxf>
    <dxf>
      <font>
        <b val="0"/>
        <i val="0"/>
        <color theme="1"/>
        <name val="Calibri"/>
        <family val="2"/>
        <scheme val="minor"/>
      </font>
      <fill>
        <patternFill>
          <bgColor theme="0"/>
        </patternFill>
      </fill>
      <border>
        <left style="thin">
          <color theme="6"/>
        </left>
        <right style="thin">
          <color theme="6"/>
        </right>
        <top style="thin">
          <color theme="6"/>
        </top>
        <bottom style="thin">
          <color theme="6"/>
        </bottom>
        <vertical/>
        <horizontal/>
      </border>
    </dxf>
    <dxf>
      <font>
        <b/>
        <color theme="1"/>
      </font>
      <border>
        <bottom style="thin">
          <color theme="6"/>
        </bottom>
        <vertical/>
        <horizontal/>
      </border>
    </dxf>
    <dxf>
      <font>
        <b val="0"/>
        <i val="0"/>
        <color theme="1" tint="0.14996795556505021"/>
      </font>
      <border>
        <left style="thin">
          <color theme="6"/>
        </left>
        <right style="thin">
          <color theme="6"/>
        </right>
        <top style="thin">
          <color theme="6"/>
        </top>
        <bottom style="thin">
          <color theme="6"/>
        </bottom>
        <vertical/>
        <horizontal/>
      </border>
    </dxf>
    <dxf>
      <font>
        <b/>
        <color theme="1"/>
      </font>
      <border>
        <bottom style="thin">
          <color theme="6"/>
        </bottom>
        <vertical/>
        <horizontal/>
      </border>
    </dxf>
    <dxf>
      <font>
        <b/>
        <i val="0"/>
        <color theme="1"/>
      </font>
      <border>
        <left style="thin">
          <color theme="6"/>
        </left>
        <right style="thin">
          <color theme="6"/>
        </right>
        <top style="thin">
          <color theme="6"/>
        </top>
        <bottom style="thin">
          <color theme="6"/>
        </bottom>
        <vertical/>
        <horizontal/>
      </border>
    </dxf>
    <dxf>
      <fill>
        <gradientFill degree="90">
          <stop position="0">
            <color theme="6" tint="0.80001220740379042"/>
          </stop>
          <stop position="1">
            <color theme="6" tint="-0.25098422193060094"/>
          </stop>
        </gradientFill>
      </fill>
    </dxf>
    <dxf>
      <fill>
        <gradientFill degree="90">
          <stop position="0">
            <color theme="6" tint="0.40000610370189521"/>
          </stop>
          <stop position="1">
            <color theme="6" tint="0.80001220740379042"/>
          </stop>
        </gradientFill>
      </fill>
    </dxf>
    <dxf>
      <font>
        <b/>
        <i val="0"/>
        <color theme="1" tint="0.24994659260841701"/>
      </font>
    </dxf>
    <dxf>
      <fill>
        <gradientFill degree="90">
          <stop position="0">
            <color theme="6" tint="0.80001220740379042"/>
          </stop>
          <stop position="1">
            <color theme="6"/>
          </stop>
        </gradientFill>
      </fill>
    </dxf>
    <dxf>
      <fill>
        <gradientFill degree="90">
          <stop position="0">
            <color theme="0"/>
          </stop>
          <stop position="1">
            <color theme="6" tint="-0.25098422193060094"/>
          </stop>
        </gradientFill>
      </fill>
    </dxf>
    <dxf>
      <font>
        <color theme="1"/>
      </font>
    </dxf>
    <dxf>
      <font>
        <color theme="1"/>
      </font>
    </dxf>
    <dxf>
      <fill>
        <gradientFill degree="90">
          <stop position="0">
            <color theme="6" tint="0.80001220740379042"/>
          </stop>
          <stop position="1">
            <color theme="6" tint="0.40000610370189521"/>
          </stop>
        </gradientFill>
      </fill>
    </dxf>
    <dxf>
      <fill>
        <gradientFill degree="90">
          <stop position="0">
            <color theme="6" tint="0.80001220740379042"/>
          </stop>
          <stop position="1">
            <color theme="6" tint="0.40000610370189521"/>
          </stop>
        </gradientFill>
      </fill>
    </dxf>
    <dxf>
      <font>
        <color theme="1"/>
      </font>
      <fill>
        <gradientFill degree="90">
          <stop position="0">
            <color theme="6" tint="0.80001220740379042"/>
          </stop>
          <stop position="1">
            <color theme="6" tint="0.40000610370189521"/>
          </stop>
        </gradientFill>
      </fill>
    </dxf>
    <dxf>
      <fill>
        <gradientFill degree="90">
          <stop position="0">
            <color theme="6" tint="0.40000610370189521"/>
          </stop>
          <stop position="1">
            <color rgb="FF92D050"/>
          </stop>
        </gradientFill>
      </fill>
    </dxf>
    <dxf>
      <fill>
        <gradientFill degree="90">
          <stop position="0">
            <color theme="6" tint="0.80001220740379042"/>
          </stop>
          <stop position="1">
            <color rgb="FF92D050"/>
          </stop>
        </gradientFill>
      </fill>
    </dxf>
    <dxf>
      <fill>
        <gradientFill degree="90">
          <stop position="0">
            <color theme="6" tint="0.80001220740379042"/>
          </stop>
          <stop position="1">
            <color theme="6" tint="0.40000610370189521"/>
          </stop>
        </gradientFill>
      </fill>
    </dxf>
    <dxf>
      <fill>
        <patternFill>
          <bgColor rgb="FF00B050"/>
        </patternFill>
      </fill>
    </dxf>
  </dxfs>
  <tableStyles count="27" defaultTableStyle="TableStyleMedium9" defaultPivotStyle="PivotStyleLight16">
    <tableStyle name="Slicer Style 1" pivot="0" table="0" count="1" xr9:uid="{2C525943-174A-403B-A125-E4D72213B93E}">
      <tableStyleElement type="wholeTable" dxfId="30"/>
    </tableStyle>
    <tableStyle name="Slicer Style 10" pivot="0" table="0" count="1" xr9:uid="{4F4E7702-D91F-4419-AC69-55F5F8CA0B36}">
      <tableStyleElement type="wholeTable" dxfId="29"/>
    </tableStyle>
    <tableStyle name="Slicer Style 11" pivot="0" table="0" count="1" xr9:uid="{1C2DC8B3-27C2-416C-90CF-74D351C8D16D}"/>
    <tableStyle name="Slicer Style 12" pivot="0" table="0" count="1" xr9:uid="{1E95F3F1-18FD-4414-B6F7-F81C4623F38A}">
      <tableStyleElement type="wholeTable" dxfId="28"/>
    </tableStyle>
    <tableStyle name="Slicer Style 13" pivot="0" table="0" count="1" xr9:uid="{42B43373-B5C4-4098-AF91-86D851A0E5EC}"/>
    <tableStyle name="Slicer Style 14" pivot="0" table="0" count="1" xr9:uid="{1B7F04C1-1BB3-4726-BA12-85F45708E0FC}">
      <tableStyleElement type="wholeTable" dxfId="27"/>
    </tableStyle>
    <tableStyle name="Slicer Style 15" pivot="0" table="0" count="1" xr9:uid="{E5D24D9F-17E0-4F62-843F-396D96D9F522}"/>
    <tableStyle name="Slicer Style 16" pivot="0" table="0" count="1" xr9:uid="{2D6758CA-8C0C-4CD7-A8BD-1BE7BAC13472}"/>
    <tableStyle name="Slicer Style 17" pivot="0" table="0" count="1" xr9:uid="{76AAC4AE-E5D9-4AEB-ABDE-6B106259F2E6}"/>
    <tableStyle name="Slicer Style 18" pivot="0" table="0" count="1" xr9:uid="{83892E06-D9F0-4608-8155-FC5E8CA9193A}"/>
    <tableStyle name="Slicer Style 19" pivot="0" table="0" count="1" xr9:uid="{01F20B5C-61E4-46B4-901B-8568D6AD1A17}">
      <tableStyleElement type="wholeTable" dxfId="26"/>
    </tableStyle>
    <tableStyle name="Slicer Style 2" pivot="0" table="0" count="1" xr9:uid="{3976CF81-651A-463C-8584-F6141B7886BA}"/>
    <tableStyle name="Slicer Style 21" pivot="0" table="0" count="1" xr9:uid="{B9EB0673-FDC0-4601-AB81-795C390BD7FB}">
      <tableStyleElement type="wholeTable" dxfId="25"/>
    </tableStyle>
    <tableStyle name="Slicer Style 22" pivot="0" table="0" count="1" xr9:uid="{60C14FDD-D141-4F57-A3EB-C862A8C004C1}">
      <tableStyleElement type="wholeTable" dxfId="24"/>
    </tableStyle>
    <tableStyle name="Slicer Style 23" pivot="0" table="0" count="0" xr9:uid="{6CA08951-D3AC-4B97-AF45-DA10E92ED822}"/>
    <tableStyle name="Slicer Style 25" pivot="0" table="0" count="1" xr9:uid="{C3E31899-902C-43A7-A88C-7143340E4F84}">
      <tableStyleElement type="wholeTable" dxfId="23"/>
    </tableStyle>
    <tableStyle name="Slicer Style 26" pivot="0" table="0" count="1" xr9:uid="{653A9329-F826-4E96-A753-2102DAECE189}">
      <tableStyleElement type="wholeTable" dxfId="22"/>
    </tableStyle>
    <tableStyle name="Slicer Style 27" pivot="0" table="0" count="1" xr9:uid="{94FE9899-B371-43BC-A4BE-34EE21372494}">
      <tableStyleElement type="wholeTable" dxfId="21"/>
    </tableStyle>
    <tableStyle name="Slicer Style 29" pivot="0" table="0" count="1" xr9:uid="{6B80BF92-125C-4583-A18C-BB4ADDDDF8D6}">
      <tableStyleElement type="wholeTable" dxfId="20"/>
    </tableStyle>
    <tableStyle name="Slicer Style 3" pivot="0" table="0" count="1" xr9:uid="{1FDA6ED7-880A-45CF-995F-E1B8EC992F24}">
      <tableStyleElement type="wholeTable" dxfId="19"/>
    </tableStyle>
    <tableStyle name="Slicer Style 4" pivot="0" table="0" count="1" xr9:uid="{B2D457BE-0231-4D22-B797-E7C2B02F41F3}">
      <tableStyleElement type="wholeTable" dxfId="18"/>
    </tableStyle>
    <tableStyle name="Slicer Style 5" pivot="0" table="0" count="1" xr9:uid="{6404554C-50BB-46BC-B597-30123843BE41}">
      <tableStyleElement type="wholeTable" dxfId="17"/>
    </tableStyle>
    <tableStyle name="SlicerStyleDark3 2" pivot="0" table="0" count="10" xr9:uid="{3E567390-357D-4F55-B99A-32362D8927FA}">
      <tableStyleElement type="wholeTable" dxfId="16"/>
      <tableStyleElement type="headerRow" dxfId="15"/>
    </tableStyle>
    <tableStyle name="SlicerStyleDark3 2 2" pivot="0" table="0" count="10" xr9:uid="{E0B53E6C-8B64-422F-92F9-07326417D8D2}">
      <tableStyleElement type="wholeTable" dxfId="14"/>
      <tableStyleElement type="headerRow" dxfId="13"/>
    </tableStyle>
    <tableStyle name="SlicerStyleDark3 2 2 2" pivot="0" table="0" count="10" xr9:uid="{149E4694-837F-4F99-A59C-D4175F1EC1EA}">
      <tableStyleElement type="wholeTable" dxfId="12"/>
      <tableStyleElement type="headerRow" dxfId="11"/>
    </tableStyle>
    <tableStyle name="SlicerStyleDark3 2 2 2 2" pivot="0" table="0" count="10" xr9:uid="{5566FA9E-A66C-4E20-80EF-CBDF4FD7A302}">
      <tableStyleElement type="wholeTable" dxfId="10"/>
      <tableStyleElement type="headerRow" dxfId="9"/>
    </tableStyle>
    <tableStyle name="SlicerStyleDark3 2 2 2 2 2" pivot="0" table="0" count="10" xr9:uid="{3463BC55-5A8F-454E-BD04-68F77A8EB385}">
      <tableStyleElement type="wholeTable" dxfId="8"/>
      <tableStyleElement type="headerRow" dxfId="7"/>
    </tableStyle>
  </tableStyles>
  <colors>
    <mruColors>
      <color rgb="FF339933"/>
      <color rgb="FF003300"/>
      <color rgb="FF6EA92D"/>
      <color rgb="FFFFFF99"/>
    </mruColors>
  </colors>
  <extLst>
    <ext xmlns:x14="http://schemas.microsoft.com/office/spreadsheetml/2009/9/main" uri="{46F421CA-312F-682f-3DD2-61675219B42D}">
      <x14:dxfs count="47">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1"/>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ill>
            <gradientFill degree="90">
              <stop position="0">
                <color theme="6" tint="0.80001220740379042"/>
              </stop>
              <stop position="1">
                <color theme="6" tint="0.40000610370189521"/>
              </stop>
            </gradientFill>
          </fill>
        </dxf>
        <dxf>
          <fill>
            <gradientFill degree="90">
              <stop position="0">
                <color theme="6" tint="0.40000610370189521"/>
              </stop>
              <stop position="1">
                <color theme="6" tint="0.40000610370189521"/>
              </stop>
            </gradientFill>
          </fill>
        </dxf>
        <dxf>
          <fill>
            <gradientFill degree="90">
              <stop position="0">
                <color theme="6" tint="0.80001220740379042"/>
              </stop>
              <stop position="1">
                <color theme="6" tint="0.40000610370189521"/>
              </stop>
            </gradientFill>
          </fill>
        </dxf>
        <dxf>
          <fill>
            <gradientFill degree="90">
              <stop position="0">
                <color theme="6" tint="0.80001220740379042"/>
              </stop>
              <stop position="1">
                <color theme="6" tint="0.40000610370189521"/>
              </stop>
            </gradientFill>
          </fill>
        </dxf>
        <dxf>
          <fill>
            <gradientFill degree="90">
              <stop position="0">
                <color theme="6" tint="0.80001220740379042"/>
              </stop>
              <stop position="1">
                <color theme="6" tint="0.40000610370189521"/>
              </stop>
            </gradientFill>
          </fill>
        </dxf>
        <dxf>
          <fill>
            <gradientFill degree="90">
              <stop position="0">
                <color theme="6"/>
              </stop>
              <stop position="1">
                <color rgb="FF6EA92D"/>
              </stop>
            </gradientFill>
          </fill>
        </dxf>
        <dxf>
          <fill>
            <gradientFill degree="90">
              <stop position="0">
                <color theme="6"/>
              </stop>
              <stop position="1">
                <color theme="6" tint="0.40000610370189521"/>
              </stop>
            </gradientFill>
          </fill>
        </dxf>
      </x14:dxfs>
    </ext>
    <ext xmlns:x14="http://schemas.microsoft.com/office/spreadsheetml/2009/9/main" uri="{EB79DEF2-80B8-43e5-95BD-54CBDDF9020C}">
      <x14:slicerStyles defaultSlicerStyle="SlicerStyleLight1">
        <x14:slicerStyle name="Slicer Style 1"/>
        <x14:slicerStyle name="Slicer Style 10"/>
        <x14:slicerStyle name="Slicer Style 11">
          <x14:slicerStyleElements>
            <x14:slicerStyleElement type="selectedItemWithData" dxfId="46"/>
          </x14:slicerStyleElements>
        </x14:slicerStyle>
        <x14:slicerStyle name="Slicer Style 12"/>
        <x14:slicerStyle name="Slicer Style 13">
          <x14:slicerStyleElements>
            <x14:slicerStyleElement type="selectedItemWithNoData" dxfId="45"/>
          </x14:slicerStyleElements>
        </x14:slicerStyle>
        <x14:slicerStyle name="Slicer Style 14"/>
        <x14:slicerStyle name="Slicer Style 15">
          <x14:slicerStyleElements>
            <x14:slicerStyleElement type="selectedItemWithData" dxfId="44"/>
          </x14:slicerStyleElements>
        </x14:slicerStyle>
        <x14:slicerStyle name="Slicer Style 16">
          <x14:slicerStyleElements>
            <x14:slicerStyleElement type="selectedItemWithNoData" dxfId="43"/>
          </x14:slicerStyleElements>
        </x14:slicerStyle>
        <x14:slicerStyle name="Slicer Style 17">
          <x14:slicerStyleElements>
            <x14:slicerStyleElement type="unselectedItemWithData" dxfId="42"/>
          </x14:slicerStyleElements>
        </x14:slicerStyle>
        <x14:slicerStyle name="Slicer Style 18">
          <x14:slicerStyleElements>
            <x14:slicerStyleElement type="selectedItemWithNoData" dxfId="41"/>
          </x14:slicerStyleElements>
        </x14:slicerStyle>
        <x14:slicerStyle name="Slicer Style 19"/>
        <x14:slicerStyle name="Slicer Style 2">
          <x14:slicerStyleElements>
            <x14:slicerStyleElement type="hoveredUnselectedItemWithData" dxfId="40"/>
          </x14:slicerStyleElements>
        </x14:slicerStyle>
        <x14:slicerStyle name="Slicer Style 21"/>
        <x14:slicerStyle name="Slicer Style 22"/>
        <x14:slicerStyle name="Slicer Style 23"/>
        <x14:slicerStyle name="Slicer Style 25"/>
        <x14:slicerStyle name="Slicer Style 26"/>
        <x14:slicerStyle name="Slicer Style 27"/>
        <x14:slicerStyle name="Slicer Style 29"/>
        <x14:slicerStyle name="Slicer Style 3"/>
        <x14:slicerStyle name="Slicer Style 4"/>
        <x14:slicerStyle name="Slicer Style 5"/>
        <x14:slicerStyle name="SlicerStyleDark3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Dark3 2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3 2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3 2 2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3 2 2 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4.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[organic food.xlsx]pivot table!PROFIT by category</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623050302389432"/>
          <c:y val="0.20680229601241781"/>
          <c:w val="0.41675138168704523"/>
          <c:h val="0.72237657350362339"/>
        </c:manualLayout>
      </c:layout>
      <c:barChart>
        <c:barDir val="bar"/>
        <c:grouping val="stacked"/>
        <c:varyColors val="0"/>
        <c:ser>
          <c:idx val="0"/>
          <c:order val="0"/>
          <c:tx>
            <c:strRef>
              <c:f>'pivot table'!$B$14</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table'!$A$15:$A$20</c:f>
              <c:strCache>
                <c:ptCount val="5"/>
                <c:pt idx="0">
                  <c:v>Organic Dairy</c:v>
                </c:pt>
                <c:pt idx="1">
                  <c:v>Organic Grocery</c:v>
                </c:pt>
                <c:pt idx="2">
                  <c:v>Organic Oils</c:v>
                </c:pt>
                <c:pt idx="3">
                  <c:v>Organic Spices</c:v>
                </c:pt>
                <c:pt idx="4">
                  <c:v>Organic Superfoods</c:v>
                </c:pt>
              </c:strCache>
            </c:strRef>
          </c:cat>
          <c:val>
            <c:numRef>
              <c:f>'pivot table'!$B$15:$B$20</c:f>
              <c:numCache>
                <c:formatCode>General</c:formatCode>
                <c:ptCount val="5"/>
                <c:pt idx="0">
                  <c:v>9519.9700000000048</c:v>
                </c:pt>
                <c:pt idx="1">
                  <c:v>8922.8300000000017</c:v>
                </c:pt>
                <c:pt idx="2">
                  <c:v>8945.3799999999901</c:v>
                </c:pt>
                <c:pt idx="3">
                  <c:v>8232.2999999999975</c:v>
                </c:pt>
                <c:pt idx="4">
                  <c:v>6900.4100000000008</c:v>
                </c:pt>
              </c:numCache>
            </c:numRef>
          </c:val>
          <c:extLst>
            <c:ext xmlns:c16="http://schemas.microsoft.com/office/drawing/2014/chart" uri="{C3380CC4-5D6E-409C-BE32-E72D297353CC}">
              <c16:uniqueId val="{00000000-2DCC-4FEC-BEF7-37CD5DA0EEBB}"/>
            </c:ext>
          </c:extLst>
        </c:ser>
        <c:dLbls>
          <c:dLblPos val="ctr"/>
          <c:showLegendKey val="0"/>
          <c:showVal val="1"/>
          <c:showCatName val="0"/>
          <c:showSerName val="0"/>
          <c:showPercent val="0"/>
          <c:showBubbleSize val="0"/>
        </c:dLbls>
        <c:gapWidth val="79"/>
        <c:overlap val="100"/>
        <c:axId val="576098464"/>
        <c:axId val="576094200"/>
      </c:barChart>
      <c:catAx>
        <c:axId val="576098464"/>
        <c:scaling>
          <c:orientation val="maxMin"/>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cap="all" spc="120" normalizeH="0" baseline="0">
                <a:solidFill>
                  <a:schemeClr val="tx1">
                    <a:lumMod val="65000"/>
                    <a:lumOff val="35000"/>
                  </a:schemeClr>
                </a:solidFill>
                <a:latin typeface="+mn-lt"/>
                <a:ea typeface="+mn-ea"/>
                <a:cs typeface="+mn-cs"/>
              </a:defRPr>
            </a:pPr>
            <a:endParaRPr lang="en-US"/>
          </a:p>
        </c:txPr>
        <c:crossAx val="576094200"/>
        <c:crosses val="autoZero"/>
        <c:auto val="1"/>
        <c:lblAlgn val="ctr"/>
        <c:lblOffset val="100"/>
        <c:noMultiLvlLbl val="0"/>
      </c:catAx>
      <c:valAx>
        <c:axId val="576094200"/>
        <c:scaling>
          <c:orientation val="minMax"/>
        </c:scaling>
        <c:delete val="1"/>
        <c:axPos val="t"/>
        <c:numFmt formatCode="General" sourceLinked="1"/>
        <c:majorTickMark val="none"/>
        <c:minorTickMark val="none"/>
        <c:tickLblPos val="nextTo"/>
        <c:crossAx val="576098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[organic food.xlsx]pivot table!ISSUE TRACKER</c:name>
    <c:fmtId val="2"/>
  </c:pivotSource>
  <c:chart>
    <c:autoTitleDeleted val="1"/>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1503839612810505"/>
          <c:y val="0.1810494342292692"/>
          <c:w val="0.35591663574912552"/>
          <c:h val="0.74459572736216983"/>
        </c:manualLayout>
      </c:layout>
      <c:doughnutChart>
        <c:varyColors val="1"/>
        <c:ser>
          <c:idx val="0"/>
          <c:order val="0"/>
          <c:tx>
            <c:strRef>
              <c:f>'pivot table'!$AI$15</c:f>
              <c:strCache>
                <c:ptCount val="1"/>
                <c:pt idx="0">
                  <c:v>Total</c:v>
                </c:pt>
              </c:strCache>
            </c:strRef>
          </c:tx>
          <c:dPt>
            <c:idx val="0"/>
            <c:bubble3D val="0"/>
            <c:explosion val="1"/>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8F4-4DC9-982D-1540BAD3777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8F4-4DC9-982D-1540BAD3777E}"/>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8F4-4DC9-982D-1540BAD3777E}"/>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A8F4-4DC9-982D-1540BAD3777E}"/>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table'!$AH$16:$AH$20</c:f>
              <c:strCache>
                <c:ptCount val="4"/>
                <c:pt idx="0">
                  <c:v>High Demand</c:v>
                </c:pt>
                <c:pt idx="1">
                  <c:v>Low Stock</c:v>
                </c:pt>
                <c:pt idx="2">
                  <c:v>None</c:v>
                </c:pt>
                <c:pt idx="3">
                  <c:v>Supply Delay</c:v>
                </c:pt>
              </c:strCache>
            </c:strRef>
          </c:cat>
          <c:val>
            <c:numRef>
              <c:f>'pivot table'!$AI$16:$AI$20</c:f>
              <c:numCache>
                <c:formatCode>General</c:formatCode>
                <c:ptCount val="4"/>
                <c:pt idx="0">
                  <c:v>305</c:v>
                </c:pt>
                <c:pt idx="1">
                  <c:v>286</c:v>
                </c:pt>
                <c:pt idx="2">
                  <c:v>303</c:v>
                </c:pt>
                <c:pt idx="3">
                  <c:v>306</c:v>
                </c:pt>
              </c:numCache>
            </c:numRef>
          </c:val>
          <c:extLst>
            <c:ext xmlns:c16="http://schemas.microsoft.com/office/drawing/2014/chart" uri="{C3380CC4-5D6E-409C-BE32-E72D297353CC}">
              <c16:uniqueId val="{00000008-A8F4-4DC9-982D-1540BAD3777E}"/>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2094899042440832"/>
          <c:y val="0.28885327649812698"/>
          <c:w val="0.30518678070241517"/>
          <c:h val="0.54829447335062087"/>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[organic food.xlsx]pivot table!PivotTable6</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38100" cap="rnd">
            <a:solidFill>
              <a:schemeClr val="accent3"/>
            </a:solidFill>
            <a:round/>
          </a:ln>
          <a:effectLst/>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75715755998767"/>
          <c:y val="0.14612004802931672"/>
          <c:w val="0.71553782298627855"/>
          <c:h val="0.73580775412419408"/>
        </c:manualLayout>
      </c:layout>
      <c:lineChart>
        <c:grouping val="standard"/>
        <c:varyColors val="0"/>
        <c:ser>
          <c:idx val="0"/>
          <c:order val="0"/>
          <c:tx>
            <c:strRef>
              <c:f>'pivot table'!$G$20</c:f>
              <c:strCache>
                <c:ptCount val="1"/>
                <c:pt idx="0">
                  <c:v>Total</c:v>
                </c:pt>
              </c:strCache>
            </c:strRef>
          </c:tx>
          <c:spPr>
            <a:ln w="38100" cap="rnd">
              <a:solidFill>
                <a:schemeClr val="accent3"/>
              </a:solidFill>
              <a:round/>
            </a:ln>
            <a:effectLst/>
          </c:spPr>
          <c:marker>
            <c:symbol val="circle"/>
            <c:size val="8"/>
            <c:spPr>
              <a:solidFill>
                <a:schemeClr val="accent3"/>
              </a:solidFill>
              <a:ln>
                <a:noFill/>
              </a:ln>
              <a:effectLst/>
            </c:spPr>
          </c:marker>
          <c:cat>
            <c:strRef>
              <c:f>'pivot table'!$F$21:$F$33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table'!$G$21:$G$33</c:f>
              <c:numCache>
                <c:formatCode>0</c:formatCode>
                <c:ptCount val="12"/>
                <c:pt idx="0">
                  <c:v>6961.0399999999991</c:v>
                </c:pt>
                <c:pt idx="1">
                  <c:v>7804.1200000000008</c:v>
                </c:pt>
                <c:pt idx="2">
                  <c:v>6622.8400000000011</c:v>
                </c:pt>
                <c:pt idx="3">
                  <c:v>8373.630000000001</c:v>
                </c:pt>
                <c:pt idx="4">
                  <c:v>7167.2100000000019</c:v>
                </c:pt>
                <c:pt idx="5">
                  <c:v>9023.3700000000008</c:v>
                </c:pt>
                <c:pt idx="6">
                  <c:v>8370.2200000000012</c:v>
                </c:pt>
                <c:pt idx="7">
                  <c:v>5663.6399999999994</c:v>
                </c:pt>
                <c:pt idx="8">
                  <c:v>6918.3400000000011</c:v>
                </c:pt>
                <c:pt idx="9">
                  <c:v>7638.4999999999982</c:v>
                </c:pt>
                <c:pt idx="10">
                  <c:v>7434.1499999999987</c:v>
                </c:pt>
                <c:pt idx="11">
                  <c:v>8491.6800000000021</c:v>
                </c:pt>
              </c:numCache>
            </c:numRef>
          </c:val>
          <c:smooth val="0"/>
          <c:extLst>
            <c:ext xmlns:c16="http://schemas.microsoft.com/office/drawing/2014/chart" uri="{C3380CC4-5D6E-409C-BE32-E72D297353CC}">
              <c16:uniqueId val="{00000000-65A0-4612-83CD-5562C506A8B9}"/>
            </c:ext>
          </c:extLst>
        </c:ser>
        <c:dLbls>
          <c:showLegendKey val="0"/>
          <c:showVal val="0"/>
          <c:showCatName val="0"/>
          <c:showSerName val="0"/>
          <c:showPercent val="0"/>
          <c:showBubbleSize val="0"/>
        </c:dLbls>
        <c:marker val="1"/>
        <c:smooth val="0"/>
        <c:axId val="573258792"/>
        <c:axId val="573260104"/>
      </c:lineChart>
      <c:catAx>
        <c:axId val="573258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cap="none" spc="0" normalizeH="0" baseline="0">
                <a:solidFill>
                  <a:schemeClr val="tx1">
                    <a:lumMod val="65000"/>
                    <a:lumOff val="35000"/>
                  </a:schemeClr>
                </a:solidFill>
                <a:latin typeface="+mn-lt"/>
                <a:ea typeface="+mn-ea"/>
                <a:cs typeface="+mn-cs"/>
              </a:defRPr>
            </a:pPr>
            <a:endParaRPr lang="en-US"/>
          </a:p>
        </c:txPr>
        <c:crossAx val="573260104"/>
        <c:crosses val="autoZero"/>
        <c:auto val="1"/>
        <c:lblAlgn val="ctr"/>
        <c:lblOffset val="100"/>
        <c:noMultiLvlLbl val="0"/>
      </c:catAx>
      <c:valAx>
        <c:axId val="57326010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73258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[organic food.xlsx]pivot table!DEMAND VS STOCK</c:name>
    <c:fmtId val="9"/>
  </c:pivotSource>
  <c:chart>
    <c:autoTitleDeleted val="0"/>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2D050"/>
          </a:solidFill>
          <a:ln>
            <a:solidFill>
              <a:schemeClr val="accent3">
                <a:lumMod val="50000"/>
              </a:schemeClr>
            </a:solidFill>
          </a:ln>
          <a:effectLst/>
          <a:sp3d>
            <a:contourClr>
              <a:schemeClr val="accent3">
                <a:lumMod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92D050"/>
          </a:solidFill>
          <a:ln>
            <a:solidFill>
              <a:schemeClr val="accent3">
                <a:lumMod val="50000"/>
              </a:schemeClr>
            </a:solidFill>
          </a:ln>
          <a:effectLst/>
          <a:sp3d>
            <a:contourClr>
              <a:schemeClr val="accent3">
                <a:lumMod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solidFill>
            <a:schemeClr val="accent3">
              <a:lumMod val="50000"/>
            </a:schemeClr>
          </a:solidFill>
        </a:ln>
        <a:effectLst/>
        <a:sp3d>
          <a:contourClr>
            <a:schemeClr val="accent3">
              <a:lumMod val="50000"/>
            </a:schemeClr>
          </a:contourClr>
        </a:sp3d>
      </c:spPr>
    </c:sideWall>
    <c:backWall>
      <c:thickness val="0"/>
      <c:spPr>
        <a:noFill/>
        <a:ln>
          <a:solidFill>
            <a:schemeClr val="accent3">
              <a:lumMod val="50000"/>
            </a:schemeClr>
          </a:solidFill>
        </a:ln>
        <a:effectLst/>
        <a:sp3d>
          <a:contourClr>
            <a:schemeClr val="accent3">
              <a:lumMod val="50000"/>
            </a:schemeClr>
          </a:contourClr>
        </a:sp3d>
      </c:spPr>
    </c:backWall>
    <c:plotArea>
      <c:layout>
        <c:manualLayout>
          <c:layoutTarget val="inner"/>
          <c:xMode val="edge"/>
          <c:yMode val="edge"/>
          <c:x val="0.20979306844355922"/>
          <c:y val="0.19649127490415885"/>
          <c:w val="0.46803193756232292"/>
          <c:h val="0.72631578947368425"/>
        </c:manualLayout>
      </c:layout>
      <c:bar3DChart>
        <c:barDir val="col"/>
        <c:grouping val="clustered"/>
        <c:varyColors val="0"/>
        <c:ser>
          <c:idx val="0"/>
          <c:order val="0"/>
          <c:tx>
            <c:strRef>
              <c:f>'pivot table'!$E$3</c:f>
              <c:strCache>
                <c:ptCount val="1"/>
                <c:pt idx="0">
                  <c:v>Sum of Units Sold</c:v>
                </c:pt>
              </c:strCache>
            </c:strRef>
          </c:tx>
          <c:spPr>
            <a:solidFill>
              <a:srgbClr val="92D050"/>
            </a:solidFill>
            <a:ln>
              <a:solidFill>
                <a:schemeClr val="accent3">
                  <a:lumMod val="50000"/>
                </a:schemeClr>
              </a:solidFill>
            </a:ln>
            <a:effectLst/>
            <a:sp3d>
              <a:contourClr>
                <a:schemeClr val="accent3">
                  <a:lumMod val="50000"/>
                </a:schemeClr>
              </a:contourClr>
            </a:sp3d>
          </c:spPr>
          <c:invertIfNegative val="0"/>
          <c:cat>
            <c:strRef>
              <c:f>'pivot table'!$D$4:$D$9</c:f>
              <c:strCache>
                <c:ptCount val="5"/>
                <c:pt idx="0">
                  <c:v>Organic Dairy</c:v>
                </c:pt>
                <c:pt idx="1">
                  <c:v>Organic Grocery</c:v>
                </c:pt>
                <c:pt idx="2">
                  <c:v>Organic Oils</c:v>
                </c:pt>
                <c:pt idx="3">
                  <c:v>Organic Spices</c:v>
                </c:pt>
                <c:pt idx="4">
                  <c:v>Organic Superfoods</c:v>
                </c:pt>
              </c:strCache>
            </c:strRef>
          </c:cat>
          <c:val>
            <c:numRef>
              <c:f>'pivot table'!$E$4:$E$9</c:f>
              <c:numCache>
                <c:formatCode>General</c:formatCode>
                <c:ptCount val="5"/>
                <c:pt idx="0">
                  <c:v>69318</c:v>
                </c:pt>
                <c:pt idx="1">
                  <c:v>69154</c:v>
                </c:pt>
                <c:pt idx="2">
                  <c:v>69874</c:v>
                </c:pt>
                <c:pt idx="3">
                  <c:v>66453</c:v>
                </c:pt>
                <c:pt idx="4">
                  <c:v>57739</c:v>
                </c:pt>
              </c:numCache>
            </c:numRef>
          </c:val>
          <c:extLst>
            <c:ext xmlns:c16="http://schemas.microsoft.com/office/drawing/2014/chart" uri="{C3380CC4-5D6E-409C-BE32-E72D297353CC}">
              <c16:uniqueId val="{00000000-84DE-493D-87A8-7E7EF57D247A}"/>
            </c:ext>
          </c:extLst>
        </c:ser>
        <c:ser>
          <c:idx val="1"/>
          <c:order val="1"/>
          <c:tx>
            <c:strRef>
              <c:f>'pivot table'!$F$3</c:f>
              <c:strCache>
                <c:ptCount val="1"/>
                <c:pt idx="0">
                  <c:v>Sum of Stock Available</c:v>
                </c:pt>
              </c:strCache>
            </c:strRef>
          </c:tx>
          <c:spPr>
            <a:solidFill>
              <a:schemeClr val="accent3">
                <a:lumMod val="75000"/>
              </a:schemeClr>
            </a:solidFill>
            <a:ln>
              <a:noFill/>
            </a:ln>
            <a:effectLst/>
            <a:sp3d/>
          </c:spPr>
          <c:invertIfNegative val="0"/>
          <c:cat>
            <c:strRef>
              <c:f>'pivot table'!$D$4:$D$9</c:f>
              <c:strCache>
                <c:ptCount val="5"/>
                <c:pt idx="0">
                  <c:v>Organic Dairy</c:v>
                </c:pt>
                <c:pt idx="1">
                  <c:v>Organic Grocery</c:v>
                </c:pt>
                <c:pt idx="2">
                  <c:v>Organic Oils</c:v>
                </c:pt>
                <c:pt idx="3">
                  <c:v>Organic Spices</c:v>
                </c:pt>
                <c:pt idx="4">
                  <c:v>Organic Superfoods</c:v>
                </c:pt>
              </c:strCache>
            </c:strRef>
          </c:cat>
          <c:val>
            <c:numRef>
              <c:f>'pivot table'!$F$4:$F$9</c:f>
              <c:numCache>
                <c:formatCode>General</c:formatCode>
                <c:ptCount val="5"/>
                <c:pt idx="0">
                  <c:v>37550</c:v>
                </c:pt>
                <c:pt idx="1">
                  <c:v>40220</c:v>
                </c:pt>
                <c:pt idx="2">
                  <c:v>38961</c:v>
                </c:pt>
                <c:pt idx="3">
                  <c:v>39154</c:v>
                </c:pt>
                <c:pt idx="4">
                  <c:v>35470</c:v>
                </c:pt>
              </c:numCache>
            </c:numRef>
          </c:val>
          <c:extLst>
            <c:ext xmlns:c16="http://schemas.microsoft.com/office/drawing/2014/chart" uri="{C3380CC4-5D6E-409C-BE32-E72D297353CC}">
              <c16:uniqueId val="{00000001-84DE-493D-87A8-7E7EF57D247A}"/>
            </c:ext>
          </c:extLst>
        </c:ser>
        <c:dLbls>
          <c:showLegendKey val="0"/>
          <c:showVal val="0"/>
          <c:showCatName val="0"/>
          <c:showSerName val="0"/>
          <c:showPercent val="0"/>
          <c:showBubbleSize val="0"/>
        </c:dLbls>
        <c:gapWidth val="150"/>
        <c:shape val="box"/>
        <c:axId val="580101088"/>
        <c:axId val="580103384"/>
        <c:axId val="0"/>
      </c:bar3DChart>
      <c:catAx>
        <c:axId val="580101088"/>
        <c:scaling>
          <c:orientation val="minMax"/>
        </c:scaling>
        <c:delete val="1"/>
        <c:axPos val="b"/>
        <c:numFmt formatCode="General" sourceLinked="1"/>
        <c:majorTickMark val="none"/>
        <c:minorTickMark val="none"/>
        <c:tickLblPos val="nextTo"/>
        <c:crossAx val="580103384"/>
        <c:crosses val="autoZero"/>
        <c:auto val="1"/>
        <c:lblAlgn val="ctr"/>
        <c:lblOffset val="100"/>
        <c:noMultiLvlLbl val="0"/>
      </c:catAx>
      <c:valAx>
        <c:axId val="580103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580101088"/>
        <c:crosses val="autoZero"/>
        <c:crossBetween val="between"/>
      </c:valAx>
      <c:spPr>
        <a:noFill/>
        <a:ln>
          <a:noFill/>
        </a:ln>
        <a:effectLst/>
      </c:spPr>
    </c:plotArea>
    <c:legend>
      <c:legendPos val="r"/>
      <c:layout>
        <c:manualLayout>
          <c:xMode val="edge"/>
          <c:yMode val="edge"/>
          <c:x val="0.66117609272366851"/>
          <c:y val="0.31227904406686008"/>
          <c:w val="0.333553819423552"/>
          <c:h val="0.38947699958557813"/>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[organic food.xlsx]pivot table!PivotTable9</c:name>
    <c:fmtId val="28"/>
  </c:pivotSource>
  <c:chart>
    <c:autoTitleDeleted val="1"/>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038907570654035"/>
          <c:y val="0.15687954566156778"/>
          <c:w val="0.45947916942329642"/>
          <c:h val="0.69685426163834785"/>
        </c:manualLayout>
      </c:layout>
      <c:barChart>
        <c:barDir val="bar"/>
        <c:grouping val="clustered"/>
        <c:varyColors val="0"/>
        <c:ser>
          <c:idx val="0"/>
          <c:order val="0"/>
          <c:tx>
            <c:strRef>
              <c:f>'pivot table'!$AK$30</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table'!$AJ$31:$AJ$36</c:f>
              <c:strCache>
                <c:ptCount val="5"/>
                <c:pt idx="0">
                  <c:v>Groundnut Oil</c:v>
                </c:pt>
                <c:pt idx="1">
                  <c:v>Sunflower Oil</c:v>
                </c:pt>
                <c:pt idx="2">
                  <c:v>Turmeric Powder</c:v>
                </c:pt>
                <c:pt idx="3">
                  <c:v>Red Chilli Powder</c:v>
                </c:pt>
                <c:pt idx="4">
                  <c:v>Coconut Oil</c:v>
                </c:pt>
              </c:strCache>
            </c:strRef>
          </c:cat>
          <c:val>
            <c:numRef>
              <c:f>'pivot table'!$AK$31:$AK$36</c:f>
              <c:numCache>
                <c:formatCode>0</c:formatCode>
                <c:ptCount val="5"/>
                <c:pt idx="0">
                  <c:v>6057.920000000001</c:v>
                </c:pt>
                <c:pt idx="1">
                  <c:v>6299.5999999999995</c:v>
                </c:pt>
                <c:pt idx="2">
                  <c:v>6333.6</c:v>
                </c:pt>
                <c:pt idx="3">
                  <c:v>6514.6500000000005</c:v>
                </c:pt>
                <c:pt idx="4">
                  <c:v>6532.05</c:v>
                </c:pt>
              </c:numCache>
            </c:numRef>
          </c:val>
          <c:extLst>
            <c:ext xmlns:c16="http://schemas.microsoft.com/office/drawing/2014/chart" uri="{C3380CC4-5D6E-409C-BE32-E72D297353CC}">
              <c16:uniqueId val="{00000000-0C35-4968-B496-3E9F10A7699C}"/>
            </c:ext>
          </c:extLst>
        </c:ser>
        <c:dLbls>
          <c:showLegendKey val="0"/>
          <c:showVal val="0"/>
          <c:showCatName val="0"/>
          <c:showSerName val="0"/>
          <c:showPercent val="0"/>
          <c:showBubbleSize val="0"/>
        </c:dLbls>
        <c:gapWidth val="182"/>
        <c:axId val="555458608"/>
        <c:axId val="555459592"/>
      </c:barChart>
      <c:catAx>
        <c:axId val="555458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55459592"/>
        <c:crosses val="autoZero"/>
        <c:auto val="1"/>
        <c:lblAlgn val="ctr"/>
        <c:lblOffset val="100"/>
        <c:noMultiLvlLbl val="0"/>
      </c:catAx>
      <c:valAx>
        <c:axId val="55545959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458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sz="1600" b="1"/>
          </a:pPr>
          <a:r>
            <a:rPr lang="en-US" sz="1600" b="1" i="0" u="none" strike="noStrike" baseline="0">
              <a:solidFill>
                <a:sysClr val="windowText" lastClr="000000">
                  <a:lumMod val="65000"/>
                  <a:lumOff val="35000"/>
                </a:sysClr>
              </a:solidFill>
              <a:latin typeface="Calibri"/>
            </a:rPr>
            <a:t>sales by state</a:t>
          </a:r>
        </a:p>
      </cx:txPr>
    </cx:title>
    <cx:plotArea>
      <cx:plotAreaRegion>
        <cx:series layoutId="regionMap" uniqueId="{3D168458-7944-4D53-983C-0E312BF3CA2C}">
          <cx:spPr>
            <a:solidFill>
              <a:schemeClr val="bg1">
                <a:lumMod val="65000"/>
              </a:schemeClr>
            </a:solidFill>
            <a:ln>
              <a:solidFill>
                <a:schemeClr val="bg1"/>
              </a:solidFill>
            </a:ln>
          </cx:spPr>
          <cx:dataLabels>
            <cx:txPr>
              <a:bodyPr spcFirstLastPara="1" vertOverflow="ellipsis" horzOverflow="overflow" wrap="square" lIns="0" tIns="0" rIns="0" bIns="0" anchor="ctr" anchorCtr="1"/>
              <a:lstStyle/>
              <a:p>
                <a:pPr algn="ctr" rtl="0">
                  <a:defRPr sz="900">
                    <a:solidFill>
                      <a:schemeClr val="bg1"/>
                    </a:solidFill>
                  </a:defRPr>
                </a:pPr>
                <a:endParaRPr lang="en-US" sz="900" b="0" i="0" u="none" strike="noStrike" baseline="0">
                  <a:solidFill>
                    <a:schemeClr val="bg1"/>
                  </a:solidFill>
                  <a:latin typeface="Calibri"/>
                </a:endParaRPr>
              </a:p>
            </cx:txPr>
            <cx:visibility seriesName="0" categoryName="0" value="1"/>
          </cx:dataLabels>
          <cx:dataId val="0"/>
          <cx:layoutPr>
            <cx:regionLabelLayout val="bestFitOnly"/>
            <cx:geography cultureLanguage="en-US" cultureRegion="US" attribution="Powered by Bing">
              <cx:geoCache provider="{E9337A44-BEBE-4D9F-B70C-5C5E7DAFC167}">
                <cx:binary>1Hxbk504su5fcfjhPB3cuiGJOdMTsWGtom6+le12u1+I6nJZiDsSAsSv31l2u6dKU7Zn2LMjzjg6
2uEFiCRTXyqV+aX+erP+5aa5vTZP1rbp7F9u1p+fltM0/OWnn+xNedte22etvjG97T9Nz2769qf+
0yd9c/vTR3O96E79RBBmP92U12a6XZ/+7a8wmrrtL/ub60n33Wt3a/zVrXXNZL9z7dFLT64/tro7
aDsZfTPhn5/mrro219PTJ7fdpCf/1g+3Pz99cNPTJz+FQ/3Da580INnkPsKzhDzjCeFYMII+/8FP
nzR9p/64LPCzOBGIYxwnn//wr69+cd3C4/+EPJ+luf740dxaC9/z+e97Dz4QHn4/f/rkpnfddKcz
Ber7+elZ91FfP32ibZ99uZD1d5Kfvfj8qT891Pbf/hr8AB8f/HLPIKGmfnTpH+zx/Bqsfm3LyYCE
/y6b4OQZiwmSNE4etQl/hpFMKGFfTJLEX1/9xSb/pEyP2+XBw4Ftnp/+R9nm6rq6tlN53X1Vz78B
LfxZLBllJOGPWoY+k3dGkUx8uUy/vvqLZf4piR63y71HA6tc/Wch5uLadNfTdf3vxAt7JjBihH3D
hwFeuEhwTOkXwARW+acketwq9x4NrHLxX/9RWHl73ermyYvrj+7rjP2fgwXjZwhzjJCUD9cU+Ywh
gQiKxdeXfYHHPyfE45a4/2xgirewUPwHLSmH26bUXxXzP7cCkc84g5mP+OMuSzyDtZ0JGeMv4AgW
+B9K87g5/ngssMTh8v9rSzw+Se6v6g/u+NcjLRqTGBDxx+KAH6IieUY55UywxyOtP6Kgb0vzuCH+
eOyB4P/LIdW3w60/A9EDrADHzxHsvYjr+1c/fx6E1cGj3wu6vujq7OPPT8H3J+D1/4yM7wb548kv
ruf8um3dk/9z3Q7/78kFxHOtNl8heO/5W4gnfn4q+DMhEWWJoJixmGLy9Mly+/kKfSY4JQSiaSQI
4TGAqevNVP78lLJnd88whBJYhRhmYH3bu8+XyDMiOMESfqUAU7j09WNf9Y1XffenZv7495POta96
3U0WBhYQ/g1f7rsTNSIY5pBAIoYPHm6ur2CDArfh/9sRp7BzdsvbwqA0iooFpyViW1o6Pb8YWM37
Y1IUo05xtJRb6iyrjygaxwu/zsVZr9R44ksRv+DdWh6QX8WhKd162tC+PUZTodpsiBTuT1yM50Nh
UZ0uBbXp2E/+rCWCpo0t/fs1aWwuphId7YjK074140vsSP1emcIcK9GXeYuXKVtcU18kKknOum2h
KdVde2y70py3emYpwYm+lonhF0IToQ9FNSTzwfY0PsiKDXnd1u3J7Ocm7YeF23RRtHrTj91EUyGx
vNyciqqs7NfpVglp1yyOZvJ26qL+avKj9hfjOOsLbyS5HMganRSyL3Jfso+s2raMS766NOqmKu1r
Ui9ZQQaW9yUvbpq4ng/bxsjFWM3DYbXd9iGq5+q4bhM9xUUdn9ei9G9dDfuqC6tsQbOkKW1/RK5F
bYp5Gz/vDHNpSRqX9tFSXMSVGH5n9Tankx2ig1QRzqpppIfEInPbV139XsR+eK904k4RG8ivoqxX
kaG47M51S32+NYmbsmHS5sZRV5xThznJSyFrlCaljc+WaEZ9SiodvY2iVqzPNyYKeM41ySePt+20
WTeiUt1E5oIjNVxHg67jlLA5yaJ2mo4aNehQbBWMoodyUJmjZjpas0an3UbJsdw4PmwN94fy7k7K
ia9TpR254sS1n8YFrHAghg6/1JqtdSqTcVDvLF3knLUzGbd041bgrEFta1JWS/Wy5YKeJe1YvopJ
SzI8mKIEc/cLAbWZ3mejK/2rQhVrak3VHBkMSV4ZEPHaVavDxzia0KHzY2xSEU3rsYuW/qTYREPS
Dt5yVrLIn7QlLj75gYNMtk3i5jjjMokyDFOlPBbLSK4Et8V1glwt07iI4H8rJset1XF1KBOf8BM6
4u6y0JM9INGb17HUR6Pt1qZbMmB94rahygjZ9JVmjfpEUU1e11PExCGG754zujYoSRshmwvOzUjP
C9vJ216vbMmSNW6Kd7bcxjVTdaemk6ljnKUFi/nlyPlk0hVmsTldK7ukpibjL4SW9IR1Gl9wCvgo
rVWpG+zykbWM1Mcorhf3fLLSb2kdF7pKp4qx00RL49NeSOIzV2z0d4HV2sHkmUqWlV25PLdJ7ejB
Sh3dzhHe3jiJky3TtYr4xdJqEaUMd+pgpg2fEttolc4MlThlRK30QHC8/l44Drv8weGpOvSMF2+M
GPtfhipJ6gOypcDHce39cxqZ8VNhm+Ulj+n2VivdLPk0e3SwoLEkb6VEOkUjwTTVRBMCPsiNOpO1
NCRVnPM1Vdh3XRpRq2habzRCp3rsZn8UZEheSsLNpaO8fd31gnVZ00v1mxwXezUTtfQp6N4PJ4hG
yc02xN3NVIzTr0rFXqeDQH57lywVuvIzque09duSdVv9qqvbLfddn6xpV4wxOrOWyk+o50Zk7TaK
i2kw9N3WkvViXDQ43BVP8XFym44uFXix+oQVRcXTqR8mnDe4nV8Qtso33uDx0i1NP6f1IA3cOxuV
YhehKqtKh9+11Cy/ra1a1iNGPn6lhO1lqudFvG5XKi4bs/FDQ7flcjYRe8HHUpCUVbg4V6rq0w2p
5SwhWp+ocqNnUzQrlcZ4mk5EVDVXsbDtUesCLLkNpblFMdXlCyLm7TqSFNt0qjdEUlT3cVbRdb0s
daUy5Yso9Uiyy0228wdiVXWCGHLZBv4vn5O2v/MOshxSXRR1hjHrzseaDi82ycUAwBnJLZ377kUp
Abi19X2SIblt6eikvSk22ad468jJvIzR+SY3d9tKAHOP7fzGKHBgKQRadU6FkudqVPU10QkzaZcQ
9VLVJWoz3xh9MsYxzZTh9Mw5xsCPDMJdiAXji7lFyyGJkMsHWuncs56XaQTPnGms6st+LNZXlSx5
Pm2oOrdcjqDNaXxXLJ3JWnBEmep8cVqvvb1aYrOdRLIQb22VzK/KeaGnW+vB00OMdCEj/qJEuDuz
c8RgGbFOp6Li4jIBj/z7/STYg3Dhph+80ar8I+v45z//9rZv4b/PWbG//3iXtPz7v55/zXaGd93F
dn/e9vfU2l089WeeLYjQvqQ+v0Y0/8rFB7Hdgwj2QWyGvxvZPYibP8dyd/d/ieQS8YxhLCgYmXFI
EfDkayTH5TOcwJZIIsjBSYIohGtfI7n4WYwwJIBEzGhyF//9GclBYMgR/CgFEQzzJCH/SiTHHovj
YorQwzjOFmvR1zrhpyU+JPFLO0MC6M/I9pEI8fFxSQIfez8+BITP3DarOE5x2ZTptnn/viR8/ZJn
/ZJm/ReGh03//eErEdV+WTtxLM1ozNXCwa+8VevWf/q++BBD/2N4G5MEkgf3x0/arZauLvgxIbHd
Xg+4TVBa0irGKTiWFjwaHafi5Psv+5au7oS4F0tbjni1qI4fV/DhNIXQXpm091z+9v3x74T+h1gd
PuYuhr83vkhGBKue50eHB/Yc44W1bxZUIX7p5dSteSQ2bmBpGYer77/wWx909/u9Fw4SDbO4e+Hc
JGI970tXuIxZV+rj919wN4se+6Jg9yH1tqDJ0fi41FYs59zTgmRDbUl5GddlRZ5jV7s6G+3YeZGi
huHxBHXlbCDp/L3Zje/g8ZgAsCt78IWitXVsfXx0Ss1jJonMYQP3aajpuNTpqJa5TZ0X0WW/KFwf
Hel7CQGCkqSFtMX3RPiWjsEx3JegUb6dm3gBFUgSZ9T0n0S86B9837cGD7xCD0hdpIeAwXsrfkW9
79NidtXLXaLLwDc0stLcUhMfa6r1LYJK2GUX6dpl+4YPfANscuJhLOP42Exi/gUvI0tXiMP3eR4Z
eAbTLNUwkBFiqT7atiNao9kc+ND3Yqf4gTcgq8LSNxV4g565KvMQX7IUNpBNctinn8AdkMpHXQ9b
v7zrveCvrIaK0y+w64o+7Rs/QL+VyKFljWW+9bg9esUi2Dbo2pofKOjR1ENMZAD+pK9Z44gv8j6S
W3uyGDzMx2bxWB9GXbJk52sCiFPWF3IZIpFPkyPTacf7Dh23DjfrcdDTsu6DmgxwPPbzWNC1lflA
6u1tbXz5shM8eft9W3xLVwGQl3qVeIGwIyfRqo+NNYJeKub78X0dy3r9gaq+4S5EAOhSqqGWYpC5
aZg/i9oNvUwUNk36/Y/41vAhoAvtESiH506MZE1RtbIPfOuHHywm3xo+QLSbBWxEIVWWzw1YYGpU
e2Qugn3BPukDPDtNO9/4SubMzjXYwMs1Si3yetv5ggDPdRLFY7KC9hPcjt3ZgONuOZpKbMurfV9w
p7h7y7kgnlocrTxPbKl/gdSKfbVqNfofyH+niEfWUhHguU3mJa6cEnnb2LG4Em07ul/ouCXofIrK
RLyGrCXlZ/u+hQTf4g1UL6BYBBstNunTaaNrkpZ1u6B9eBYBnlftRz4RI/LaqoGd2ZbMMq0cMz9a
m+9m/WPqCiDtVaVQu8B8Ggs/mEOlqBCv2mib+bmairY+ror47temlfQ316ml+4HmvhXz3O1f7k+D
ZlWF6LcF/G4jm+G8jGwhILKvEwjr5LRUbEohhwkpJl3yoT2p102JA2cL7d/MaOJun4J54A18wSPI
NEZF3orIHaheRC5FQ38wGfGdnR5RLw+8QTxPqx7v8j4UbaY/briYp2NcbFtzOiRU+JfKtv2nIWJL
e8o22cUvVkpJ95wIKatfZU3i+AeifMMv8cBxyK6KIf2oWT6IwtKMb8ntsK7LuM9p88BtNIZy7NdK
5CYallxNmDWpolJ93AU0HjgNhw2XVaVYroZVfohhKX1hUdTu89k88BkjVV0VRSLJ4wZ2MpnDsoUa
gzbe/mCWfQNlPPATVo8+JquR+eSXgpxJZgz6fR0gLXwoSQl56U67oU3Jxgd1M7SbJTvNEvgPunQN
TCLDcy6L1qXDSGybeseincsFD/zHxrZ6dJAmPLoxxkfuZ3XYeB8ddpk9DpwELxLUVeO65dapKd86
UaXcDNUPfNA3IBEH2If6fxmtsDTkFdFtRiZcHQrfk32T6o4xcN/Bwa6nl1j3W05g35hCNvl9p9iP
otZviR6gGfOhY2ujtlwJPz13vkMQC4wlrvbNmziAc1m5aaDGb3lUtMkZmdf6UFDJ8n1mDdBMhzke
phpGnwrCsoUKC/ULrHfKHqBZdmSTswCzRhMps5q6OeW1YPv8aBxAuUKRQUsBpcoR6+bEJp3K5pht
J9/XzJ1+H1kv4gCvXRGX2wY1znyJ4lvYdtbzCZvqocunRfCdXxBAls5i7qq6WHIKwL1Kpr46YtbX
+7bjLIDs1EEotGx8yXso85zJJHaHync73Q0LIIuntinkVrlc2YZd6KYVz4e12Sl6gFhYqIu6xnTK
x74qcGZiYjNRrnW5z5uxALRxoWwdbZDmGTq9nteTmi5dUTT7QMUCyEJ+NJqxq6YT49Ri39AFyeZl
bCTk/r8/N7/hc1iA2hrreVQzWSEkdFtWD/EHn/juBxP/W4MHoI2rqGZSFvNxbKBaQ62DwliSuJ2i
B6ClQ8VIUckZNB99MATiuy5Zi51mDTBbD5uJIsv/EJ2RkaTxzPeKHqI1loWTJZ6PyQJJY3I3ut2t
GBqgtUbzUDQWRl+rpMycrF3KOan2qZ0GaC1ZLHsg08HojNyOUEE+UVrtzGzRAK018OGlVjB4srk2
b0RiYOfF132xAQ2wuk5UFI2v52M8FUu64pmkeCimfUsUDbDalgPpeorcsZu3Ll1KfeuqDe/UeoBT
u5lp6MvFHdu6ZCln8YdotmTn4AFOUREb6stoOooRdQe76mvrNrtzcPIwZBptslYQCbtjxZMy5ZVu
UmeI2Dl6gFNBq0jpKAHRE4efWyiPvCqEavaVqGiA09Ux0jEYOd8wdGOkWyd5fIimSNp9c4YEUCXj
mrRuUDPUc9vOAD1giPNhIdPNLu9OAqxiXRDTry2srMBeOE8qiw+2rvxx3+gBWJ0pBqp87PIpob/h
iry2jL7eN3SIVOur1vtoynUZvQD3+METsTNXSAKcJlq3AndiyqullAdXxm/7uuh3GjTAaVfbyCTS
uTzSk86aSlwKMqJ9k50EOIWy8DLYVUbHrlk/ao/fk7i92KfwAKVSLyqC9drnMKyd0o3YkqfeUrXP
9ZIAp7OKXVkzM+XA+kW/sgn8QGr1hvdFGiQAqhsbgpqid3nbm+3Qr+L3Ug/FPrXjAKSF1KOYtXF5
7I3P2nYA0esfVV6/ESPhAKJJx5kegNGWA28zeS6tws+bqBje7zIrDiBKJjIZ6OWC6VgCV422y69C
6n0mxQFGN9YnVVHWLjfxTFMs1w/NKF/tkzvAKFvYumgKY0eVfcucfx4z+3zf0AFC+6Uo1ETVdERF
FGVRVVxq4Avtc4l31I77+QGMh0FsEYmOHCUvWy8+AImt2eda7mi+98eOSojTTQ86acruda+AOdiW
O8UO0MmGxdMVEvjHfptPzUIuWLxvBf2cKb5XGBh8PPF+gL0db9Wl7Ne8M8W+MisKYKmbaS2dA6GH
9t02u6wSv+yaISiAZJNUZthqMCIr69/NmryWG9/np1CARzfO9eoXPuXeVvjt5ieSV47awz7BA0TS
rli7SidTbiOgEpCuPk2K5Nd9YweIrBttY+h6io6xhug2QvyaJXTnwoYCTMLEHscGwZJcaqBKxpZF
hyQR8z7goACU0s5iYvEcHUf+xvQHCVnsfToJEFmqcmRj6afcSSBzLNQOKR75232DB5hcoN7lfVfY
Iy6H06WB2v5Iq2nnTAnWS+McqqMGBpdN/Iq64UYzb3ZpBdp4HvopoKh5NMrEHk1LX8Uw9urmvWMH
0MSLFpQCTzXfCEWXTqrqfGQr36UVHFK6SsvmBuJZmCjxxoGHWr1reLkrwAK+3kOtrIljS50A8lfq
pypDrOD9gUAEpHe5FmALPnzBsLSsgFrNlCsGbPllfg/Fh3d7piJOAnjOlCKgpIJenFPxYXS1Tqkk
Ylccge8aY+6va6acBeSjVxB8XV+5Hp2v87gPoRgIkA/GrlqBmCipzWVNnzdAODxKIchOjQcIdcoA
59LNU46G5jWLmqwy5a4gBSchPuOo84q2NickJtnSYpNhVn3aZc6QXOWhomBlO1lgM/APyq7nWsRv
9g0d4HM1U1FLEpnc42ZJm16MJ11b7aNh4JBY1cdLl8zAFcqhhLQduq1/Iaj9EcfgbjL/Y5YeywCg
biC2LvFi8h64Nk1qnYkuoEnFX+3TTADPJaLgFZkDi87+o4UIbrXy931DB/CcYOEpB97bvObqah2G
M2hZ2TcPQyLVXMiaVw0z+TaP5XFeFDlETXezT+4AnHpjBfTr1DZPyiGrmX/Ryh+FnXdafcyYATSX
CPLB8yBMXrZz7FIjePV85MOaLhVxPtsnfwDSuO7WDroMTN5o+ltTsvfRUL/dNXRIl1qB8dhwURjA
/2xPZ2twime2r1SHRYBSRcpYG0pAcIbft3PUpSwaftkneRDhlus41AaVNo+JZstxo86ztJNNWR/2
vSDAKSuVkk42MCXX6LVuyVs97tuL48+djPc2K42OR9gww9CFT15PSL8sKN9VhoKGzIcLUSN90Y6z
NzktWpJHkkyvsVr0LqYvdBA8HB2aX1A8a5iJBdp86s2YU7aTnYZFANN2LaBXzZYm7+YBpWgWJ+Oi
9mWHcciFmqDx0LEEVA7u8WL25KKJ150YCuCZLKpx1ahMLgrVpWLzF4nR++pmsM4/1HgCswStpDY5
7udXFBqiDJr2yR2yl4yG6gRfojGHJp73GpvXTT3u2sTBKRQPpS5W1tZqqEzOQTNpAiT0dPSt3OcP
QzbSRKsxqvpkhLpNOWaG1K9dlOwLQUMqEkKwz+piNOZK07ZKF0hUHB2K+E7FBPCsqgRYaZUH3CS+
zaTj/KrRaNtp0QCecxXzArh2Y74lBvpGLXsBK+m+6jm00T60qYs62cdrD9OlTxj0QHfS17aEfta5
3pXDgQMDHr4BuMAogd5L0L0qF5F1kDzLi4KN++oIOKQb+do5adpiyGVk6zGbl6H95BKx7Nw0hoQj
3BLEliQaclN6e2gVr1LQUHyyaz0KCUdCrKtEMxpy13CSIQ4kdgq733Tf6AFipwYYeJZ2Q26ZUBP0
GJL6uvZrp3aOH6ymqzbcLCvopi+h9VJP7bu1wfvWvJBv1JB+aSPhQO+dHE69RfYEukbL032aCSA7
05n6oVmGvCri7T3qC3UKx4oM9U7FBJil4Cdj4sGsCTTP2hPhJGXQbt3zcecLyENUQTGu7rthBs1T
u5wZI9+VY7MvN49DypGoWwIcYzPkgk1vtLKvl3p6s0/vwbKqCr/QplFjLrrkt66/O9SBsR9xa++M
90jcHhKNRkiZy8i1Q05NJX8TUFQ4dXU775syIdFoQtHqNxr3OSA1STlQX9LIR+K4SzEsgKrxEdTo
Gxg9nr2DhuXhvO5+xGISd9p9TDEBTke9Ar1Okj6fea2KFKrFFTgbodc6U22i6tN28Msb19rmjFoa
QRtwWY7xW2hxE+MrlsTWvElEy09rqEv2p1UNTfupaDQk49U6SrSkG6tG8w6OF4hchvzY1dd9WUZj
xiGwJAdoli/dUQxudYcGQ5Ys41ClXs/cGMkqJ2It2VnRV4vPMIJswq8RMHv9CaaVFQcqVhhzafS0
nagRTn+AbjuyuZOWkHU72Lml3W+rYKx4NTEeVb9bHI9jLjeSzLlZ4XsPw7TFxwrNscw6QXCdcS+U
O4WzP1RyyWUHfWFo3MgbIpMlnaGX/mzQ1mw56hPpT5a2mdlhNkzFx1ksDFLYTTmzTDVD20M8myQ+
k0ZTkba9Nvhi6YoqOWsonli+gbaXLKb1fLZtUfvCdDNiB4bmeUurwhTbmwZXvdgXhYRsr3ZljsOZ
Bn3O47KHrE+UEkWTff4mZHpRVngIJJshL3l7W7D6TSH0TrkDXzlDJWZtCMgduyK3SXNexHhfcpAF
XjKegZmCIYOUQ//wmhZRUqdJg/udOgkiG4MU5TUU7XJFqipd6/ETr8y+oI8FfrKC9ta5E6jPnXfD
C+gG06c9ndp9rizkeJVcI9cRbnNlanbJIH4F5r+bPuxyZSHHy7Rqnudh7nM49sT9YuS4QTK/k9M+
tYcsr7HTE7SJJH2eQFI5jUl1WW5qX6cZDkleCCAcMzn0ue+Hoj30aKnydUR65y4npHlhOMhkiyjM
SK7aeD0S27kNjnOJ6/GwT/lBYDO141JE5dTnUKj6tAzsPI7svo4OTAOkDm4x8+hFn5coAR7ZZMXa
ZDSpyKd9sgdwneNxo7MjQ96MySZT0Y8UauySkH1cDHx32MH9YsEydA1Gq4IAAc7ATZ1YKjgLRO8M
EEK+1yCWotoULOFQozEZMMo4HDG1oHyXckKy14KgVTrWXQ9dtU1zDofhxFPKR8P38ftxyPayVaeA
yNSDG+6cOC87in6DPa3flwomQXgj1nbcWgvxKqSy1rOCFS4XaBL7Jj0J4htCG5fou9Wp0q3K7DLC
GUFT2+5zOCHlCxu8uhX2yXnkO3pbAtv8dmtdu4/5iUmA2JjQriqreshjLuborE46nKFiWeIf1A6/
0VeHQ+IX9LYWBW9kB+dqYWreDrWe+6wQHRkOi+2jt9Bw9iKKkqY6QBRXJ5lKYDN6UkZx3O+0fgBs
aArmyFUQfy5+LCUcwVUpOA+i7IbmZB84AmBzROEkovHOMxUTLi5araDvzI9+Qtm+FwTr8YacgfZa
0uWUYl2n61ItLK1qOFBs3yQLaWIcDtgyHYEXeEeAtry598Dev9klfMgSa6bWT4nbunwwnc1WRT9t
U7xX8ADZatywtbVoc4htTxpSnxNi96UAQo5YG0VwmBOcIJJPbLZZHTEoNSzb1T6lBCW1qWyMwsvc
5YUz8uhKOC+ujfXOpRIHoF4EHAbegUVzDWfK/d5WC70xESw3+2QPFmJbsa5nHW5ziLVewNlVF82o
fnCWy52Aj2wVQ56YWqHOyE3f5XYl5TlujISTrfpl3yL2uSn2Xo1kqbmWc03bnNayV2kl4aCpUriu
3AfTkDDGkrWnvENtLuKuysZEntYM+30QDSljZuiUKhLd5Qkrl0trWpaJqZpff9+md/PuEcWHvLFk
qf28YFjfm42NEPIjq5Jjg3DfHzns6rp9MVbIIZOeF5JT1efI0WlIy3iq7qCFkn7fWoyCtbiNtB3n
RMPcjMkbN6ErhYt90x4FkIWTLCaJDMgO2bX4oA2k8jeHu53mDSDbwWSMamAFHrEwxdXso+FNV8b7
uplwSCNrdIcdgoME73ywfD20NM4nHcudSicPA9sBsguoaLsGiuGQlehH+TpiSu9UTLC4Oj913nnd
AEMAjnDKoPlw/ABHdMIJft+f+d9wOeERYXAgTVEMk2nyzYjfIXf0vBXl+z1Do5BNxmYE1WroEISm
1b6o0tG6+Xah476jN1AiH6pdw/atK4s7tQ+ygISjlWctj92u6Y5CQllPKrduBoQvVAlpJ0yGFI5U
2bdCoZBSlvBN+NhC/g2Or8X+0GngI2RV11XzruQLCillcl6KASLbJsclnKMqFUKveujnu9pn2QCt
nmvIcMFxiQcFJ3v2/83ZlzU5imvd/iIiBAKBXgE7086xqrLGF6KmZpAEQkgI8evv8rkvp/11n4rw
a0W30wYNe6+9hvNAYvKcJDpzf/j2/+nI/+95DKPjv79b2JAnG2MOS4e5TL3McTy6+16sszmiEXPJ
MeMpW+o5k9v0GAV0BY86H2b1FT6e6dGxZD/lcGTNSr43Du4KIRLiRY3ZlsBQcQ59tbdds/+YmtC7
46hx51YuG7afVKXpw6oHew59tx5p4zw+Ah4YXUlUn+5vXQx9yztx8al4G/tCLzUaNhgjE2V81REw
P58H3UV7jf966Z9o0kzrTYUkuSbEgdc4JxdB8qFt4uF55YI/wrC0ve2CJfzqoJkikU1AR8VdspHf
LJnf8bh9vW25XNXv6DWDipiHh+YOnq1M0lMyLX8y0rhcbf+wVK4pcc5Fqt2XTdzNGl4dJ7PsEm6b
AayH2qNDaE+MM9ndhK79J47gvzGMeOYZS1e4gUY6YodUeHnctWw/3vScrklyXWgcekQq7tYp7eqo
2T/bIfnTc7rc0//0nK5Kg5jAQVkYJ+6YdP0HsKrTl6Jrt+/bEEd/QDb/7U9c/v2/CkzS8LxN9CwO
y0YFqzs7G1iErwZg+6mHT23yh6b631751fEDekLrVibbA7KHhICJ+BaDHRbJQ6/2IqnA6L4NVUKO
zt9/UdsBO2mMxEMbkwhEN/YZB9GNF1hxVTdEMBwBEDCKuxjjOEv90dL4Dwf0v72Jq82cU3A5d2hw
a9HOuT3BRz07TvDJDgfWrpLcxC4gxdW+zvDZrIdbM2w6YCQIrXv7hc8wBL5pN1wT6ZbA574PZrjL
88wewbkuSjgH39askGsi3doDiqQu7u76tEiPeg2qLnh/Ux9H8qu2nDAdS5nLpo7X/kwaWsLy97Zn
nl9t40CJXCaLj4Zx/KHh81H1yU39IUxp/77YA1zXejhzN7Xok4c8ix5mdhuKR645dKAV4iGxvqn1
4OfzsCz2Lsroh9sWytUmbbK8WwMMtmsRt8tBa5OWgcv0eNunX+1SwoVpMhL1d3m/6AewXj/PcKS+
8cOv9mnL8hZhAq6/kyGRR8fteE9meRsVFUE5f3+hUdgwT1Gmv+uHYa51VzxGuVkONz2XaxrdNpDZ
LXTitVVpvx2TxH/URojbQEVyTaXrJm5nmY68Htf5WcjpbjDTbZf4NZUudNvWqhaFlLTwxx7dSKpd
Zn84ef+5n4Kx4N+f+Qp2/g6FHzbRssIQnZtKMzgK3/bMr3boDpOeZbW6h2pJhWps9TSXjRn5bYQ0
cm3rxVWA5kJkHEKraU/KQjbmYdpEf5sOklwbezk2NmM+U14rv2Nm+w4sgD88mf9ge/9Q3lxz6VK2
Q4oxtt1dHCK6PpBeZRAYtTAOfYNT0nTXZ3xHoMe8quzAgK75arYiW2HHqVk4zo6T+bDruE2+qzxL
1rumoH1+EwKPCMS/r4ktmmP4bthLu2Rse+opKdyhW8Qy1reti6uNPva9ZUXc5fVmOoYDKgxurLqM
xfS23uOah2escPvaaHdwU6cPqkh9rXl6E9JMrml4KNkyqqlyh/ji++WzGUrtNL+JX/2foLD/rkl1
vqZLY/Hhq4N3s1zSuZxkchvHj1xSev7709POQQ3vRndIhlhXVMRDCUTix01v9ZqENwlkUxDa2MOa
dKosoggCri0lt1092VUR3YJrStKI2sMEZg2yaUz7LHNqP9323a/u5NRrTWM220PEMfVAIE176EN2
44NJ/v7Ue+PjCYNYZMY0efI6qk38YGTPbyuDrgl4e9b52bp1OYwjkwglcXCESZvbXE9IdrVVJbd0
p0W2HPp8M8essfAXj8RtM3ZyTcKjPqG7FHY5UK86MK7sG+TV2x/O2H+52q45eM7PsMzKw3IIeYzA
FyJMlYsba5VrCl4mHIvojKe+K9i1eBv+Iqa7TUtIrp2+ol2ruZHUHVqoZ2ruu67CeXzb8J5cc792
yCCafkVhlevkx6LoB9Ult8mryTX1q1OAlCedOoQmIYlr00lzaBrQ6P73Lv2XNjG92qUyFnMiJloc
WSMzpIk41atjYIk0x9Ro3IL/+8/828K52q/NSps0HvAj4Pcd1WuStdW4uduYYOQSh/bfZ7Dumtxa
hk9v27GvC9DAKj6FX7d99avtKgYcB+AzmoPedKh6NQ/1oprbLr5rJhjXKbEqy8xhFW5FelSRlDAw
3m+7+a6ZYEFRxnbjzcF2uzzGi/i4x0N22yu95oHtnUr3CVjPQRcdMonkNlSgpN5G+yfXRLAxD7nN
i0YfIhWZatj1WFIdbnNuItc0sCZNpYkHpg+9nbtqz5SsCtjk1zetGHrZBP8Fgrk4AHI2bXEchnF/
24nePg1k/JNv/b9spWsWWEO9jx3IyofMxNCjXAoOjTys2054erVRkXADuDpwfkwjQOdr9HOS49tt
j+Vql4o4QaAdnfMjfL4aWa472Im225abeKzkmv4Vy4lOOzH8mGk1goA7bKx7ZLEci9v26jUDTC+F
QxWv+ZEvcTnw5CzJjZXYNfkLRlyzDcgSO6oU19+FDzHeRkgk18wvhEEgbSuf+XG/WB8JH6dV2hX+
tuVyzfwaiOzsHqa0hgvX/Wj0K2G3uQmSa9oX6iaUSUqlNQP9YRijR6TQvbtpJf4fyhdshDpDx7RO
mFPxXaoldNedV+7jbZ9/damOOp4H6ab8mE7xBgv1dEnPF6nen/wEcxwk/9DpJlebtI+ETgvfsKPS
0XJvm3VVz0tO2vYAnWrenFq1++7J7s2fm+v/nxj1T3/0avvmIWnGdZgl2tbNj1sVy14m+iAEdp08
ds0mJJLzFOJqypHOuNu3IZgxP01Ss04d0VgPQpVyF2s4dU2Imu+UetDuRgJKqyjpgOg7X6LI0fOj
YHGhn9al8TE7bQg3nEVpdtlGCOqjvKdtaWyuUQhNDK+uzPg8td+16ZRDQqDIe3Wiu4Ddcx3Q0Odt
HebVm0oEOmwfYCHn177MBCJ+YPMdeqRuljF3EUtLHmANL+5jLRis7xUwS6uQ32ekwxdc8mn8qBOF
RmbIh+IvpRX+2bg5XWsGui8tHZ6QqNbVJ/3dHtyG1CVB6DJ+nwDa5q7cTExiX2YFa7uvY58K/lO1
DkE/EHLuk1El3L6G8OVC0rvXyHRD9h9Mo5bK+36JRZ1DONkcdoxskkOUNNtSNQVWGq9W5kOm6mTd
M/IQFyvjxz5zu4IubJ7CPVICxipnemVPA3F9UZOeelp1OZtRhRWqqAsFA9xym1s2j+BvDlPX1paj
388rICRbO+GbzaPJS2Qd5tCNrP1dk+YoG3GWMOXOeFtT15emQGVX8jiSqnZqTL7NVrHah33Lf7p+
D/SozZSJ590kBfvUzUmeP1PbUPq4N13h2lru0KikR+5dDEeEneVOPkGhUeB96b7X+HIt2XnrjgSu
xqjGFJl2cR8Y3fyPuVD91FbTCjD4lEOBxN/iLd+WUMkxRZJYWyDmcymlk6OPoGLZQdqCg07uVncI
eJfTdEoyAGnJiYmx6ErBBD8y0Y3VxDavDNCUEC3rpbJclwfiFnHwBmfUM5taN7xtW9KOBZbDlLjj
QDOkxE5tlyZwie2CrNHXdMXXwtJxeuDbjsavy4jbTOm1BZhf8iLLE1RQ1lKKjFfEzw/vYiRQsiMM
VsT2MCY+BqpNLLzVdoyZ7dpeAnnDwiyYnAwma0S6H4mMoJkxa57qD3mm4qLumiUbfqD3KSQ2jUon
5N4O2bQ8C0da9gZ61qyOQ0Aubs0nMmXnPYsS8Rh3Xuy/+lFODooZE03p84xN2x1G3YXkpFU8zJ+7
SBUIa9xT0bKszFXK9TOxVsQ/0qFpilA2LVftnffrmp2J6dPpy+BZyCp43hOo0VtPYw5r54zJn431
rWhLMYviR0bZrD9DXb53FaZLuLug80CSJ1h9S4H/eYrSn9Ng1h1BwTqEN0RGxnGlO+ykn4jzXdl9
K5L92XLSHkkyF8NLYVzODqRA2Oz7WXTb/uoh8EgiTKLhG1AgEBib5rR4O45/CUxuuoeBzTTcTdMg
m7s54bF5cDPPk2pIaZp8LViS8l+xF80zJOTRJSF3/wlpiyoHn7V1C4OgqN76vfBnZEis+z3Mg+gX
yfuU11pC6fguD50cn+O26eOTn3oXDtHcDds9D4awuxwBsuQzYY1o3nczb3Wlg43giTgQvkBEoxiC
/NZ9yczTQnZLTlQzLT8iuKOZXlzG8+5IOjHltd2GFWenzwrTHcGfjs3TzFf2U8ITYKwaQIb+pduI
wVHSTZs/sGyypq0JplXrgxhgcHxsWqchr4nytX3rioWnJ6W1RrJoExn2o+v4oJFOuQjEGxdj3BAE
HaV0Oy1SLba2PiFRbZcxictR7l5/pZbjG9QZaWPYGW74Fn3ULqYctmgZD+PFkqeEod0unmcPYdoh
08gjTUjwDPFqLSIuK0RBsCeUS+3vBls4rwbZJapiymfT5zAjnxEGR0rB8qykYt/7k7dQyb4F5NOZ
puxmmyOJNt61n6ZysLimfQnEe11+erfS7BMiOAwuBAG3Gv5e4lMuL1JbZw4ZZ5h0HkafqKyE9nPM
7iSPuTisa0tlQEisLfYHvy0tUIsNMVb8njQBNSKUbF13WpCyFpW76fvoA8uESeouZS6qF7LGvM7D
vg+fDNnpcL/a3fM7p6aoqWefNOGRIiznlcTL0H8AcnQJQ+6ltPwI1/jWnrlAB/McAIkVx1T0uO9s
02QzeN5ptz2qlgyimnYT2yrVBtnFSGxYmt5DPbcv8XtLhIIYY0ytfe03RJHfTxgZD88TnO76uVxD
igAd+IqXszc8PsWUL/YlW+ZoRAzqVshHJumCNTZ2Sna/qCx2rAQFy7blMLVFvx7xy7bhkCmRLh+Z
WLvmvLT9gDDmYWHyyZkEAV8HHEeS1chlos3vHVbJ8DRfuiG7X6a+bcFthgILa6SAj9K5G2zQ93pQ
FJzhBBxihINrpB6Wqw1j8gF/s/iE2GW7fZMwjYcmnSfdlFYz7BfbKsL51FRbo7cPQ8IQsl1wDa1L
No4gq6rVFFEVtLOIlDOT3yAgWREjjYFC0b3i62bZy+ZD299HY5JictQ3InJvSu3TeAZ1t9tRFY37
9hO3xjIiAronJH53mdRQUtFuzvennfBULTiJ99CcigGvHkazDOlmjx4H8vyC9IvFnIjtuL3fLOPZ
5ebeOngCtHiMCwJyOXY5gV9du7u2mnsfwjvKN8lLpKYV7JinCudbKagfzAuxcTF/382i06GUdt2y
U0Bs/PacYvV3X4ZlQwQNfiSdmhcBOMy/LwQe4nlPBrPVI3WZvcf9H2nEL9tErQe/57lHoK+w046X
adoVobkiUh/zOFj1uuKZred5AC30ZVj7rq/SoZuWL5vOk+yrSvJQqBIOYWTUeFJUtr9GeKaSV7jW
p/w7Qpy5+DbLWSTor2CISCs1JEN+r3K7BNRvHSnYVM6RC7gK5YbrA9UeLGNZlK05wqQpqh1w9PLo
B1zlQ1oRXOrDaXezeMsd1vdBEC9Z1SNdfa5UPqafswS8iIqGohkq9KJpjkTEKXd3icwztpZ0I2p+
1t3cQXIcw77zqPkgpyeqtI9kyaDA+j5Ms92OWdyn60s8EgP/XcxZ+VtajL47rhJJOa9z0tEvxYKU
l3pJG0AByL227DmMusmPxAw+ecH8iY7vpciX/SEexnnCgZlib4AWD6JacSdgomqeGiW53qoiTdvX
AOZLVG2sV+v7ZfczBNHQvSa+go0hUpBzHvf6RSzAmMpOtXI+0ABdrTxCohYfioaOY20IsuiruO9k
/JQ6fUlyZYgLhwEFqJVdW/FizZJauZnEDsHXW/g8FBKuSeWuoFp80xC30U/twqZHMzpUXFXXDkg7
H+AKFyqc7muZe0bt58TB9uC+ZV7jvs83gjKdQsCrbRloGlmkIPcdeeem0eZVkrG5FqFz453YsNW/
ZsT49ZjkQsZIJjGwPIvTnhY1laAHlwuN9yPHZeRtabJmWJ4dqFN8rBRTuXwUSxNekE6OUnw3O31Y
ikKQQ4EEmw3XKEqO2uwpjn0v16g9CTZm9s3JJl7fj8bFFWYkc/ItyMavVeO79B7lGlIzBVQ0SI6n
pdmG7r6zGsYaKXTVuGxpte+W63JCGBKrrSHJfYt64LNXOX1oYaWkSsaHeam6OGEtPFs1AuindGDn
wrfhVwr1z/CUYOuou31Ydv40R4l5JR4Wr2iBqH1sWZHsqJ3i1LyukQZt1255xSAjf8I8B2JtnSPD
u4wgQ35CmHvycfJRexDJwESp1GYfViH5C/K947UWWMZVtjlfJV3T36dpyh8da8O5jTf5LbTr8IFT
aaqesHcyM+pjNvCRly3RC2gnTgoxlxvpuV/KFtVuOAZE1YV7huDzTyze9NkOoeA1ljNDarnbt+No
huwcQF9MP/qoyD+00lPYsid2zKP7RuWrl2WDlVtAJh868qu3TbAfs4yxUK692gpQOePVh7q/+AGc
ZNh22KYUJg4aybrzvCToY3o6DXXL1jg6r3EKNTZkpZ6cTRc3/HmJtsUeV+j8yaedyYRVPKSrfXCp
ztpvqFzVfMhsEiX3utd9+jhsq0TYazuusvSxNsUn6qQmLzN1VB9g0xBGWBIsrDtN0crl16hDlvBQ
Id4965FDP3S2dFmPUpRbl/eVkahRfNnQiFJZhiy4/udWZHR+XLdp3X8glMqjHOpskWF1S+ytTJcD
BEPDAS46TXJnCtkP77YYvf9hGlOqjjbHuVOjo2nz03yh3x3mXCX0BaKaIXsAf5bGdcy3jJ9iyKa2
v3qQsdWLW2yhSRV4u3bnZV4oYSUMRQqMR/chkeEdWuM8QRcMyub+sCxywbnQjbmPn7TClvwg0Kz6
ryIT/JROGJHRRfn8a7xQEX1TGLCiTd6mDImLAKG7CqsDxVLZuBWn+2LcVq+qNcVnBk2//VR4nO1f
lmXmyVBn+RzhvmrGLFo/ML8PW1tGSZLT0trGqIo3VCbPy15s4a8Ucn/5y/RQsx2KAbGF74PsNg7D
gWwyr8h4zsR2GFe4u97xPkqmV4ZdhhORUDMXOJ66LQdY2I2QNd8PlHT+nopOEFWnu0EJUErGWAsb
+An9Byq+Ya7Cqi+1CGJcrH83WGNaf8dFK8wnuUTTepyGyPLTsnCX4Y3t3Jt6TuS2fhM8gxaJdYIv
36wX83rULVFRxYWLH/q5bVg1YxBuH8MwpC1eSd5DDLgAZa+MXmcUpTODncwnt6e8gEB6bh6nNpnv
fLMV72eaBIvqINt3/RKklKVBNmgJUVjrKPLFimE6Bl9koWoRp+pOO13QoHXc5eVi/RTp0jrrl3d5
7PPurxXRJsVhF4R0NfOXe7VsF2RM3O9MZT8CgvL6oaRTxJsz4phTllaL3IcI9Wgg0d22YwXf4caP
87PFYT9853vf1bjj0+ZlShZz6KN5d5ipRk10Qn1LbUWAIy5lVNi5qWCvRD/S1YJ/tvqu1SfeXW4M
PC0bw911mvoKN5JWnzJA+OQ4dN1oax1lvT+sG4QMaPoi6Ov2vIv752LwBA1zH8QzeODuJJuejdiR
jTtPBEDHE09am5xcY+W3AsWKfx6FX852zkfZ1UUIW5VlODgAxbTNN9heDH3dKpyd/WDEk7UEBdwO
HxJ/knnRVXoPyCWB+oPc97mh8mm2dJFPpnHLg9N6Gr4nZivEYSqEeUPTSQ8qotCM4Puw4hT2HIFk
ckv9pwxmJL9NwghyyWG/0WMRo84opc/VkSJ12lUzyvupKjDYXBGNV2xAd3FuLtU8m62SDh0jChvN
twqKl9CWcYfFOweRyEqDKAOKLvxFkqeJjxbwio12rs65X7Puy+bXeX/c0y0MH2HzMSWPivWuXypL
V90/TAVoNLBQ27YaweaTQ3R0+pIgwrBep3wboBtvENU74p7P38UdRfPaLGiNSobou/M+NNEGeuEs
91pg5Ji1ZWMhIvrZjIjmOCUCpXPZQJtf/J4sQAjcWaj5Ec23EUycd4vj7Skq+GQ/YDiRmEcP2bd8
MR6Rkc+pgxtPVRRG+xeF2dGPdB8j2Ny0me0+d1MLbZGwWkvQplT6phJu+xJprV3pBSIl0DEjOg9n
36o/dz16RCByy1EsLsQlzoit6csdyF1Wi5x1nXwIPkebWUKOE39DgT3SakIjur4E3e7+HdFzlH/x
zTy6F7f2vD8XHW9Vf1CuEf1pbbst7nDeJtlfwqOa/CZC61Fg71zDVFhM8/4ROKsCV2hFQ662csNd
bu63YfHY2cn8KaEdPQISjx+gRcdFUmRwhC5Hz1z+EfvBywPvbAejlCIet0dfuFF89QoNbGkMMLan
OErY+Bu58VzUYmpM8hYlu1qfA0FX8txMCMR6VwCASv7TdrtnvVA6/pWNC8/vt7iVpEpT+Ao/4iJr
cVm3W5b4umH5VugKkUJgSVZ7DK7AhxUmMOTMYGhDHrCwcnF2jKYaCWdkG5+4BhxVMk09bKF1Z36T
jPbdc7I3I+gXDRHjPfy5o+QV8rCcTRXCbnYPmHsM+oiYOm+OIPRoVQE8ztyP0aslQg7cbotTJNE1
fiFSzSjdGeq7OjZcD9Dcoc5Uzw4wiahAI7eLK2E5EScPhCUZaujMRuN9j3Hy+sMngS/4Vayxd77t
C1+bTGtxkJQWc50geMMiDd6o0B1R9Er+0KRwmQLHTF5SkBAKNdVD1/Pt3FjwjyvQ4Vue1RCckwX2
0Y3C2A4Tn6k9s3WjO45mq9N7nJMThpIzrrAScFMsSuji9qGe1ejkMd1cPP/O+0zICCVSnFqKWE94
NSCcXknIVgQGAXapVoXrMK0iafgdS3QStpOIC1p8gjWuso+XNbdp/PA+HdJqiDc6vWR5L7fPEX4N
j8outnRyx4tpL+rutdjX9NldGoWHJprEhjsGtED46ISmbV+CihfUZMZRRlb0ZGjN8wqQcoainCyK
jz/7gCMbFKaQK/Lb2DWajw4enqgLsc0BmyOUYzLnhU+ueMm6YW1xIxbD/kt0AF2/DYOfxDFt0zHy
eLqajoicZaZ/l6KqwdWQ8DzNjhpH+/y702nmi9LCCTs8+zx1xVsMGKJHygVgTvuDw7VSfNKRm6LX
qQWu/W691OMQZodCJlW+zrBvhTpIG3nqFOB9LJJU06PJUd+xA+Li3PwAoVOb+WoHVD6hoO9N3uc1
yGG2ePAagPkjioiCPQqXpsuHUQ7CnPOW+ukUOeRPf8PUpSEVGzcG7cKkIlfKPPHR40RgwvMucovr
v0Q74tcqjgJgPASnCvPcLxZ8fpWRfH3bJZhbVUEWYNk9lSOcNEwb2Z8FW3TzRv3SVckIG/dh3c/R
jpRig35p6uTJ65aGEmXGALAi36y7D9PI6b0BmOjvpGA7+QTwJMvOvcDAo9JEYc55gGySmOJyh+9o
4S/AQXScTZK4ijI1RCX23BPTS0gxUsngAnAkMRik87GPYsDabASSHUqJJKmiDPOms9p0eZbe283x
/V6nW0RGOFcl3nFAFy0ioSbH4+Exi82yfMoWmEf/ztvUqUcCCDA/yqxz/IP3QKBr2RZDCxEWeDev
/ThK9tC0chQffIEH8xCSQixn4pAc8rTiuyYIbg579jq4XLXnbTBcfEQ92zdrRRwL/VwPU6GAzqWw
oupJ5bCZdVTB4oAFXWPckRf8KMB6uji15l9h1EaWuOIcPn/qoIB4L+6UK2/wYG0+aPO6GTw0jIaw
EpDdnOQ8fKB47NCQ8KwT+0eAxM12XLGTj3zf80f0Cix6SKKGY7LFCEy6ksu0okjuyMCYvhNDPmeP
u5wgMI2TMNmvvncc2nzh4JBwtMjjDV0Ze5blGOUk4JaQeSnWiqF/W76pNS2S1wnq8iU5XhwtY7Ru
W4YM68LsfB0qrrwXdVDmEpxlF/acmSYdTykEi/5+HrWjdbsGPT4mC+w4gAQRjJWmYHJ37IFVxmW0
xHF0xCjG9rUsWo7qWs+LzktGVU+/bznCsh+avR2291CepxYQY9eY/RcdM9r+0GIi8kQoFF0nAnBr
foI42tg3Cefd7uM0Zun2GKfREv4KczboxxDaaAGOsSVFhQoG4DhgNAcIuV8WcJpmmz45ohZf2YB8
xJPBVxhqtyeJqEABZhgNpumFRbgWRw4C57NcEYD6kXjRLk/G7vF4zpHuhboAv7ABpZvbgADsJU+H
H0AzIloPWRHpBZ6UKMSqZcRqVwdg7wLgAA7SSzfjL/UIj8xKqxBFscFmKWYDVrjOLk+Qa3TlbUlM
xl+WfJURVNV93v9yl/vxV+6gEodkNmtP88RRihCcd/IDNSax2HttpmZb6mKBeBSdNPJw8o70pKZJ
FoFFQNu5eU663PojjlFYvq1y7Nffdtj09jjtuco+oxhg6VYO8+DOIeT79rnIlV5fcGu39H5BuVIq
eHrMJTJP2gsmqLcVdy7mNK8ojnl+XjoQqp+BByvoeuHyvqODnwWa8wz5fGlmv0OfNxcl9BOJP2xM
C4ATZu7eYxoct/W6Inv2/QACF+5FRAnAoo6vRcM/5RoCRV2NBLD9ejc2Zp5s2UPWlJZTgXEprTDi
M+43+uUWGBX6UmK/oynb+6hkFgPjocxwylpAJXICqb2EF7f27XGDCg4ZKOOWsu4rhKTBmdJ5ZHXM
dwotRz9UfoZNsj+jH96yuDa0w8T6NmbQddIVC+mopnGRB8K/DOkbW29j8l67l2SSrsCG8bm0f1+g
9emzG/n6194lE6zheNPn+RGXFUHHylfytODM/FMO97+445DrkCv03YkF/QXld4RdMHdTbx+UjyYY
ri1Go7tN1gEe5Dmfk9dtAU5UITs0ItUUbWg9/jdf48LV/gdqw7XRSQs8eOsjkx8nRCfKGvn22xOY
SnOFqgmzDgD/xR9kzf/C3Iiv5BtmXsKSUsqOUB/P+QcbpsbVukW1CakqGrKKQGsuURtu/4+z82qO
W0nT9F+Z6Hv0wGUC2JjuiIWpQlXRO1G6QVASBSDhvfn1+9Tp3p1p7fbMxoTOxZFIlmEBmV++dqv/
C0vmP9GL/R6FohCjsKab4iBdCgBGMi6iDmDrv3hD/+zRf5O6tNSHDU7mCWjq6nvRG2+L2yb/hTb1
nz32bzIXhuWuatNEHDY6Bvys3075VFr/zQf/Tc4yGsZYN5MUBwCvCNYm9xMDmOM/v6D+2Sv/TTOa
rHM+Ci+Xh1TXBnbWOeH4zR7833r034NQzKK1kCLwe+HARhDo6FFptzfP//mD/5Mr9PccFNkb1dKu
isslczzz51Dn1RLocjMpMXHNqvXbCelnjKNCtP+tLjB8gP+ol8zcdHEIiBAHuhfFF7vrhztlANL8
52/oj3vr/3F3/56I4qjNkvOW2ofK9TLgLq/eFpBc/nxuxijfbOZf/qW2jVoe81a9qD1/MbjSRJwM
+ZRxYkiziCq4n+ts0RPrjw6D0d9e3b/+WP9H+tk8/O11DH/9N/7+o2m3Pk+z8be//vWlqfjv364/
83++5x9/4q/Hz+buo/ocfv+mf/gZHvfvzxt+jB//8JeI6XjcHqfPfnv6HKZy/OPxeYXX7/z//eK/
fP7xKC9b+/mXP338rPI65OjR5z/GP/39S6eff/mTIa6GwH/9j0/w969e38Ff/vQ/659Z//EvD/3H
z88h+79/8vNjGP/yJ9f+syMRLAhPmAY+3KuGefm8fsWRfAU0QFI65Np8E6t5Tc9ixlN7fzakdB1k
H6QMX12sQzP98QXzz9K0OHjzcNI2uXP+98v7h0/o3z+xf6mn6qHJ63HgUa938b9fUI59fQrKAyjJ
AvZxxe+x9r/3e2eT677sjla3oWg8eU93kTuEmsEpqNbX5oDUW2E4pITpP/za/v66/uPruCLdv70S
XgbHDs+xhGVLy/09d4n+CJlrm2dGDWFgb4W7TYAWXgLMRMUGjU/eDVka/s49VSUNrHYzxW7paZGh
VhHzT/lBM4rm2BRZ9U1kSHNqAFOgENQ3RK4n4kEfoavpFTVDtMHTXaZyeCzViSKyOZ88ZgNTbU44
xcnlyBxonbaPBJ2VSaT1xRJawtmiOoWUA8hd3sngo8ZplKKOlLt5FwlKv/meiXZO8f2bD/1vnPpE
rh8NRHswKfuOuV2LUfaL0t+H0fpAHlreCgt7oo9LlBBPgrMuqxyDXG7rd8sa959G0YsXj4vgiPxu
Po/Aug857KXyVVbkINpL8x2N+XCa5NzfZ/ZonPXGMEOJFO0gPXt8SKWVhHZtbpGurHPZtDFjAuIG
KLJXZBFlBz6DJt1mtXo3psRDKaabrxlx9YeJOfekaivx99kyb7os1Q58i35cnUSGzZL18WDr3k2q
Wctpdq+D5lYe6I3aQmrppgtynxy8xU6jdunayJmwaYB619ZhcxYRJaO9YWWR44sACQ+9vLFCJ+2y
Z8Rt4t3Z3YQFC6DdQsIYt4O189a6h73YNr+S2nKbVoV6mciO/7IsEBGKQ15s2rbu942ZRx2lj4G1
9/PPrlJuJKuifrTpQGCPlNp0S8R/f85Tyw4NaR5Qg97aWRe7tXZxu4w9b9VQrenOPf3O2ebrRWoE
u54fTRSBviZ6ETlF7R0LYjr9YZDXQ/VWxjLTwjrZi2DgADXI4YGMCumXGScPZ8ImiQIvj62ZVAyy
iuDki2J8zxVlBvUwNsA16RhstaZ9d/Zujdy5ppBIoDO65nr5OZfVgfqmImohqa7/J3+m/egdgcDS
LztcH6WIxrzdpvYC55Y1xqO+WsbDVM3rvd5qe9AB6oTLjoIaMOse8Q0MXTXtxzYdx8eyFPJYlvb+
aI8JNN2u5QHWiwZd5p4/FFte38PLp5Fl5iKCJ5cnpI92ILIO9rnWzYCKwzZuMMy9lbVl8Wk6HWqp
ArWdV/2yoEAiY/GqFySXoF8cREMeg7iarJPxvOIWWVEunBoxuse6Ts3IqjePFKrKSYNK87yoT3U3
WNG8hH1q5XFPBXZUpJu+EtPW6Jxd3V4cJgsNBUuE5F4biO7Q2hXCra62KlbshectcxJ/slZ5jyTK
eppXpoJ6uFvbfT96cyNu3cbejqqs59CepXGbutm9xyITma59r09VUGboaVK9ni6zYeU/tqbPflXp
OgVeyVBvENNzs8HS3u+O1b2nrPoxPKs892QZ39aLPZ72ehYHjRCB+4GXHXRwOE8pBOiH2br5WapR
xOMyTT96u+yetNlwYWSa/pvZTQqkSyVgaRJLXAsIVfvCTmVxcm0RMOv0eKidadqOYu+qJUTEUG3+
0HbTgYrc5SAGz23vCA9f6hBfh7qdANHCrNfUQaWc6rPGhZyjmTYLDESyY2h2uoWjZJotSh+sRYZz
nrwhdEjubTSqOxIHrzF95BZ8zh7nH6Qxhjs9Qk/K0jf1oX8bunYPCiNJ7+XYV2c2v/k2sSDYWdO2
47BN9XnZquxra9TzHLhpz32dzUi7VssrCKRZ6jQw4Xytm6wtxPka0G5HVut9bsha01Nb1120TGN9
dtG/vNvUjsa7atCBzaSQ+DVQ+5HudHREHvqoX3lTbG2UUGP/yxncAcJnH98rNNMxzWX3daZ96dZl
iGtNN1D/ogV1mRp3vy0Nr/I36Y3c/7v9tXQKSXJ/ljbvZBKUCMA2nkBfnFOykPC8VVV9ysxkKcO/
qZvhAssHlKizcawSiOuTVNvs3bQVqq5PND/D9GSoyn7GBG+th7HV2o+BW+EjScz6DTJGu0XQXGd+
0vQTt1DPs1XeTkiBQtHKJpXYb+k8vxeVp13gT9bkolOkGUgoZxmIEfDvb0JpUqisM3iw9fQ3tTQp
XaDF+SZ/GZspntgKCR5bHFWqx3EYmhN8fP48cdZ7zgxE4CENQ6a4myuv+5VW8OxRljvyS92t1g8o
2e0EJyWOG/2GF7nN7qdHw7ntJ6auYs01xE2ibDgqrVu6Z9LU5G1N7bxPzIJznI3O9u1B6+RTkcju
a2XL7omWoPp5I+MqxjQxH9Ih5ezXoliRvme76621J1ZsizyNnEGNhz+MreO8OG9Dppfu/UAijTrP
xZMGDnNBfjX4NgLfSIckagOFSV7/0tDF9HURasKt1ubwtlVJK3OUN5P4JvWsq+8V9EUTjXm9K39A
rxaVhtYPPrUAxqNRWw3LrZY+ZotY3su+NV4tbbGem9Gozp5BUI1prc19Umrpay09hBVY18BCZx7i
0E+LgkHp57Bc8wX1sDleaOwCKfdc7VFspNwaxFIE9bI30CSreYA+0rYA9nZ+7VejVmGhOggHWRfr
3UbXxhjtkLaWv1+BLAoZmjVWxjKFS5qekqFZv2eOtoRNv2VfUrMabh0rrQIty4ygrmwrmPkFB0jl
Y7OCYNW81YU2WPf7ifqXsO+8AVc4ND+zmHtcV8SqLKp4D0h9TJpxvbQQnza+iGUyY2eAOj8PjcrO
jDO4F0xYJY4iiXxBvZqh+2rZ34+ecowH2gB2hLLksxR7IwfqK63+iZ86CLXlR/QV1DlUog4l1bwX
Kr+2KGu2tArroR/e20TufqLEhiLEJFkHIR/bkYWgtBOa3xgOoXfNnt7P+yYOo801ame9eyPRKPt5
2iN8tP3W/sz009rX74DUH0Sw+MoifdZ57+fFMgOAVHg1RL3fmS+bw2iIFvRw3eYvWrZ1DyXikciC
AS7C0pbu3ZVb2Y8bEDz2ysI74ohGwlN45bUhxo5VmsqjIAc+5JBGHAiq0CxwBdSPMVVttCa6sT0M
q24256bZxa30KsysItN6f7ZKdckLr3iZJ2rUTdgMSj6o2lAo4x/mjILRSLXN9jmbVekEabOoL+7o
JWGtCbh+VKqOFSjg/zZYDKupoqZyTeSp9aCrxKfjgK32D88BIGweqLxdEFMnVRqLdbFPkMjtQXZ9
fVM7k36nFqczmW+Lt7XJLPM8p7MWqsVwEtqek66MlavqG9d0oQeMXcS85SW4Cpni2ZqN79OQWg/2
Yg7M1cOmP7PaZIjxaNJuw2wlXIcKz6iak/lcUK7RF+7BQjYXMfTQkpDU6c0ixOCbU6l97EsyUiIq
R+3sKvVB1LuHpMnJNH/bzfJzqp30vmBVZPcfK6wD4KXIJrZkCwtbr2+pH2F6o2LzrUX/9cAG110a
fbEvnqdB/tiYIGzIDmTdTfJLoHCNCsNy7leRmwzQzpSjn0NZi7Rae9PkzhqyrUmyBl5b68eirYbI
KUX3tC/STvx1NK27PtG9IPf29UMgyn/cWMWPZqrpwNMoviujLoOpHD77KxssU70LnWuLixQUrmhi
N0JhLHdJz1CQL9bF4hOK1FY40Sz1BlePY0eSjcYv205FVZ44twj0szdj6u86dMIH6MnhWCJeWXnX
+3jTi7S4IIB1WEjMcorRBzG4pZl50qlQvvKSZWCX9aVsyldpVp9a4t6Ps9ug0ciKoFsL/ZBn9XLS
cpediQzYxnEGXxrjfl92XfWDtsHpvmH6gshMUioWiiwGwFvOjvG9IMZiHEf7UFgFgOG6xZZmZ5yl
9iXcsq06GGxIKHbTLVNw8WmMemMLEpOMh+y05uKcbRLBZnop9lzepk5qXGoXSVOhMGQFeyvaa00M
0tK1+ukS5m74w7y8kGnIEF2nTSDdraWzpchDMK3iMd2YaJM+tS/uONmPtlG551lv52g0FMJ2zcUs
xN1+mbar8t5qeoMRtNavl6EInI1LQ1v7MqQHLU6QWx3RlZ2RIR8RY4WGmx2hO7mmt2CpRRkydeRn
iHNFRZ1aL70p9HCT7E3INZrpZDiVcVCaghO3BRxLVfQ2OVlrbOdd3OnMELs9u4GgfMOnSqw8JXvF
+jfPfNRJ22hBVm3I6tA6XbK089510dpHJKTGF5SUdkDpXnlu130KDc1Ib0tNYFBYvDneZ2V+g123
vkhnb5+YgNVpJBLgraiT5kQFmPZkzJN4KvauYK0USOnsus9u+lFltxnh/JHO0PbDIOXy5BqtpXx7
bH4iGRe+Zo83a6cumM5FuOnJd31l77O2YCevMZhy7QXqBsJwm6XfLt4Qa1vpnFZz8m4XuXjPSJvH
sEbRHzQGA+zs1FaEaNZFZtfe6Blp90behFLHG2HZnCL16knNa8GcUPcfwHB2iEIpCVAfa6fBMmNY
f+2sW3kV1USX4rIZh7PjFU8C0YJwa+mbdn/XmF86fb2d0NqSdXEwR/m1yJb7etGNGP/Ns+upQ6pV
T/CMcVIY121JogTCTBMwGn7pU++9qjwcbflHD7ARlD0NHalbQxutUxV7WDp8tpn6hgBGk+u4b06e
W1xckVUI8e39InsyWx3hlnFVuEd7K5qgQKERJ3p9dYSU6ZGqi2fdAvd1t3oOaJxdwx1ZQsHF0ciT
LjhcAXQWPyxTNRD5Dnx5vtQyVBNrJK6WOGuUFYqx1I/YnJJDUzjJZS1FReBJOsQe5jNEY51ybvKU
Bg13dcIdHvZElmB5zJ2TMWUX2u1iTK546I1cvLatM97otmO95spGct/Po0dgAqlsx6KqgHqLZHOn
wFWTOOxD3r5pi1eGrsURZZfgzBXioUvW6PMzEuCHQuioMwTfj2oBIvI8Vt1nvWIZqopNq/zU1REW
UNqrt27YAfsegJjak3LxR3TWWoQUZG63u4nUTTqm/sPi/aHynYoxcGDP3ifN7U4zspyHdarFIcHG
Agvn+QPVTNHcrfpBzmMwWYnOmte8W1LTn2b02ZxwVm97rAjqIV9Kk/1hFJDbC90a/rLo/Oph15Fh
LF60aFh+fDiGmwrtYChbudw4RL3ezFZzm+akYezGJ4asDPzbOXve86oXsDfWA2nJp2rMvyOT+9xS
ZEq+3jYM4ma3lr6QaRcPRt8c2DY10obKNVSmpkeNVi13UzFjJXG0PGbnigtDxIYzQM7M4aK7OKm8
KnbdhhvKqSJ220+5mHdaLbzj4Oyx0IyLwO/lM2sdunn+OplL2gekkhanju3guTf07c5Ksq+TZe5B
32hvVu6J+0qt4wdxeG3M1/26YGxxOECcrI7TGCOK9rx61m1jEeGmVj1wmlbedCZ2JiXMdxbwFKFA
J94sqzJC7Y+43814qxyJ9Fq6fbBj/mKGRkZaBAgGPid9MP2Zrdn3HAwGBQ2O/lbJX4WD+THLT1Wx
BtlSvXR4C/wCnUvezXBzbOAHmh5xZVjHst7etda1uXu0IsqXRM/90i6R5aVyOJR2fqsSXKKeMT4s
fcmoh6rrIRusVwWLHTirhRyr1JkXSSc+OIY5IR/ODyt5j4GdmyVQnmHfrSsJv24512HRqyQUtYxw
DkZk9TZ9IIz5bBc3mqdf2iXPuR3r50mh1J7rc+INXpwP053cvbUPh2nywqkxqpe0a9Z3FI9ntSMV
KDlw+FW7xrIr1yOpamYdlevWnHJEYQcNF/JJMzIzLgZjfuj2Of2WFpS5c4d+cOR/sfoyWB7M1keR
9dMB53pBddCcDEbfUwYyFNXrfKNh7vFrJNAHfXXc2DZLxdlkuk8r4JZpato3y1AYBNU2pX6uuVZk
tPjtEGWiG2639sZ0QMw4NiRQbLt8xhyVBzQFr7cNCk2wTFN2JynVFPbaiuzSW4n4q2rfIwCBD0pP
8eMleeTgvfH8rrXy11ms9h3XWUSZ9g159MONSsgvbpQO6nVC++1G/OyAGttGkMlJMWosfQt5TudH
uyc0WnvLs5eo58pssqPT0KaEsK5402qQ7070DxMCN1/leh4VOFFIsdVIZmGfZ06eNcBXGzK+bJ+Q
is14ZeboqnpFAKF19WlvizboluWraOYV6KDPTjJP7dtSNwt0J5kGRFwWbecD3zAtL6vl3jjE0aO5
w+DshELxfVhb5jCrCXjjpvjpAHWhLtuIiZJqfVRD2hlhccXDPd1BSoh5pzDN9AsmuuJmcHFy1ZZc
22jIFZJPLbkauZJtVccFTdc3vDrjcSwswlSZNBmoiimsbHbknOwJ5fcEAGmsCxuGGk84c3ozy+2C
blx7w2mDXK69+uIGzTBePCGoRkCdVGBKbip1gw89vThJa8QUEeiX1Ulrrs662jPEn9K5cyyZI20a
upgfsSLdzEd805b5lnulOMFkdb+GrGV0TOzhZuk5MNWapT+atUjvNdlYxy4jShUdOQMQwVwG2bkT
O+/cVuJGn8ewZ/izDM/EZwdKceP11wKBykzPJFOaLyz89T3Kzew4p91Yo1eh5w+xi9UhqaiwfZek
LyPj7lq2PmcPNrubgdm6CSSs2czsw5WsFygTluLVNNzbCWsbYOZSP6iukYGx2p+Jp1vfdctoMqSV
VvIzKfPqhTHkq/IEMsuifzSn4cX0iplCQACvCUUS6RMtcixnuKAQ5nIVAF+urOd41fb6oxW5E7uY
3wJ4ZD2am5GrCHgwTLdif9CnGXG3XmK/prkS2AwLHLeWDUAnMfdVBDg0uWrv3MLCVdOtDr2M4+u8
ZSh8zJ52ZxQCOA/wKZlC3qFNzp9Q2XTfbKzmpIUnznK0xGR3wWRbmd8KDjZp8oJj1ju53nXcISRB
utNlJZyTBW9V5810fuWM/6QhVGNYAEGxEuDRC+bpamcvcUwEw16s4TQa9Y3ck4fJ2R9kKr3HDLtV
QLlje2hG80eduVyMIrdu14rZuFdX6xNZIB+zvKZENN43D2tgLNsMD4RwbVwNePbRAbYaFFGpTuts
GjG7Lkdj85wzNb2q0hB3yMW6GKtOep5WV4s52KHp6cvHMZeav0JMHZxuvDEY1Ad3nEn7BpWMZnMf
TkQdanfztuJ9a+2XrJU8XVFBr/QodTJNzuGEUHCrSUHAGhaMhnWv7Z1+Yzj67rsJUY6Gm3IoLgoP
ZEgWl7Fenwyz5+bsawef2WKczcR7RrFhX7K6fta5iXxdLFc7vBetY/nSlOpuG3c9yCQOkBUlv+Hv
heE4AWEJeizrfjyYTDishUCjdjR6M2vy4hRY9mn/y0ABepuLeSFOwZAsyIbXt6+bp8mfjXBALZvM
Cxgsdj5eMZwaLsNwuyYjcKQu2gOqVXU7ZkPy0O/7ft4IbLx16SIPila9ilQ+ykF5hwkjpFTGpURE
6oJ2H20xMApu1qPHXHTJsykgUjvMq/5tm9S7mBuA1qHNgq5xEAo/JsOchTsEy3MvrCowtaZ8svSm
v3RDM4ZzKrM3gRcsLjDVhZiVGzxqbpjuhhN2WWtHtPBqx2rE5DU9rnBNt+mSqbPiXvugTD5PgtJp
GbtH3HG4KLgD0lrcGJMJL9bZFda6djyniAzD1ehPhmQ99W2x50c8eEyDOdOCr5yN7aQqEySfwtaB
HCXFTl3l8TG6lflGXbh9HYDQ67lrWX8naWTk/pnM5oYHVWfsDK+jC0RVauahYX279bZSOYGGU/XH
ThdSxH64PObLPp/Sti4y3+tH/Z3gN+2Fcz9pE1zKb2tdzsEKxp6FxZQN96wLQ8e7tstvcvXmH6jm
ONcBGngzpFBRCExQtcgL0Ft7ehPjkN/P2sptvBV8CHBMS3aXIAjecCnkjJlla3kvpSGHU7Y2O8tV
r89fF90RrxMZ1njGHHAqvAlNDZJp25h8GrO8T5ETInEqVw/DYnoNSXWQaLeBbTr561QutKOSZVcE
9WTmB07UduwQ2bb7smlxBTp4dPETLfO7cuofWUV/37iNPziWa2SM5Lji9M78UTLwQbjtAFa+poBE
hkl3L7M55qwUDX/Cqa2H2002GSOlLt6xmXMv8WV9uNUsOXzHf5WjLqXa4NBOs/ipGMgPKMTlyU1S
eQvLut5NPcpoQWfXqZfLeGjzUjxO0mZFy5yUC6Vz+PSmTFqxpiU9/FOGf9KF9gHpqn1GxfmT3w7d
DCOVDY6h8lhf+ye52tCQGDQpy7CFFqhElbejJtdnkLXsQAAN/svZ04lU7KrRTwopMXlg6khDBx91
6BiJ+N5g2Z0ju9S780BWyas5ekZogsrGzlpa9+WiFUPgJO4CFW1agdVJpkqbWjgrddj41vwAo3ik
6ZE8kt39qDPcfW6XqAcufDJkNW86NWZj3utz9uHR8VH7OTMtMsP5q02UQDDYaRcV9v4wZTNir7by
UK1iiEoyk27esdrDbntvcwKE9c63zOYORrDh5zvjNW27cN6KHjebu7/Vc6aHxLP00aSmJVxXw/GT
sj+jpeXU4ex9zCkwO9ApnDxNLdJ8Z5Lf1mTMtkjVbocMce5vlQv4Ra6g82QXCSE+CpEtibnZfsgy
lTwu9ZIfxlVbv9Lt9kl+jwgKL7Hv676v3ijAYEUsMKQ7npc/TotnHWfyPKqg9zoSYWBR5E58W+Jd
cmBJTh2FUi/ZpI9PjgnhE5l0xc0BJe/5RXgbI0Hq2kaYWuzJonCCZLfW53UrjJhAm/lorx4HNISg
MIg42RuoU2t2outO7XDwiByvQrGOIMBH9aa/rVPb++s0bKApc3klZo1Qkf4T4al84WTGlDLa/dFt
WutWLYoAvq3MQyxS3+DfkguDiLopmSZpDOFAs+WVvGD/yIJZqTLa4P5uS5WJL462R6QsLAeVW1s8
jKMTF23bX9r9auWZBv0pQ8VIIhD7oD+2C8E1TC3dcayX5DmbV3kHXMlbUZCCTlfbF6hp44HfKmJ6
aW/trZFMIoBdq1cf0a6JjKKl7oSgAefXttU01MC+cAaEdVvPhDQQkWHvXD1gqS/pbk/31tQ+aOke
1qB5tx2xAie7dJTn68R9XFLSgXS/03EOhtAqhNe0pEt6e/OrWyTtTouEUiHrZ/pZIh04jFqZxFZa
8nzN0JpHg0HhglQ5Lmm5+yjwixsR1qzF8VNR5298vt82s6PFFRCBrQte3cc+x7FtTUKphnedhIBj
ZudFjiYrE71vA9MB7sDf6aFtW3gjdmuSEd1lUIq9MV+IE5KBi7Hq67hZ24Pa2B/bzlH+iNCc+MTm
4tSCpIRWCjYbOHPm/27L8qcR3TVwsRqseytlhR4b/QGuAd06128ltlejFMVPupzyl8HrnZ8wcN6N
mIxzPimr9TlvYy52zaWvWQuNMuhXrXnXIGTvG6PrrxkSBleFoYV6YbXfFg/zur8mV7/riufwwl6Q
/QAD5eRhdtZ9aupWhDBINXxw1T3E/3pqshrr+LDa+gWvGLe2GiGYNNEh3dK+JjhSv3mYc2Qgm1m/
gD6z28xKqB8JYCXHBHuRR2sxVIxmx+MDmrovAENf82z/vqxUO6tJ9q+WiQ0k7wSidrbT/N3g/Pll
3AjoYRXSt3jpmdM5awycpvQSdQBnljD18pmsr7V+dLdqD5LalfdUfDqR2ZZLvNfFvAcgfSMpk2lj
U6iDOSZdqNmmPWcZCdVAuPnHAacAljjsTv8I42X4fd5grVTpsMauRsbCnmnuUetW8/HaRHPjaDCv
I+vREyIPLdhB+kOG9vWhFKkdmyN1E9lYW69dMRZoHVCtwPboiDk0ez4O0xUf14reuFPmAu6k95UL
4YU5aumLsMkFYiInZSfI6w2gfc7JJzMW0lPwrNzo5EQFY20i8ql3DFRh4zoqlJ3EZ+wMv5SRk27T
JN2EMB45Q1+Ue2RaxosDth/kuoHritU0gt+tbrTSfBBzvR+ubm7fFLtzh3mEcLZ8Xb/PJaG3/uAu
7qMN+d1zRNq9Oz03qidIWu/Z1Oz1AQJbfjfdrL5om4RXq/X5rHpCY4I0LfEBNJn7bFOxc9qs8X0A
h74Gk/X7rUXH/AElTX9kK0Xvgg3rfjKrJ8R7xc3KzBUrnCuhvbhvXdVnZEN1OaOku6rXDr3Ow0Jk
yOrrk63e1m6HI9DcHXFTPpNIZO23eIzroC6Id8Xs4JyGrDhm1ZKdRUX6TpW47lkJcdcmBXlgVuXG
dbPVJ7CMOdjztuKOWJczJoH9cVc9+GbvOBWZZpv+npAleMstYX3RpPXk9smrt7bLQ9andegknOKK
fkhDIn+ysFrVYwZPmKOGim3X4f6hFP6yqRbktVzru6KZ+6Dui5PFOPtYY3KLFw5RN95WEaTD4cm6
bR2vicH9frhD+2Lr2yVNIYxcTZzrroK00WnSjlWy6u8Zpp/DUFbeUdh29WpMDgvXCCd9qlV9Nho5
XcAE0ITYYg1zA6NmWfCLctHL0hBlYoToIarJvpLkjqBXwpKLN/GQdqmKTS1H1tEQ61LpHfbGYgQA
WKeNKOE2hZfNbL18ZJnG7gklv0bsHM0BTlK/TOb82fYGWM+QolrNF6C9EiryjnVLBOi/tjN6AtyA
Xrq+zGO63rl1ssTe5O5PSCzLaM8TICnPqJ9wCPdPhC+bUZpV7detnBW2/2mdL2ulk1rhGe4vuVrJ
2zwUK0WpHEpBpJOu4M7fya8hZf9LnZdb2OYNqEHWaGFRm0UksIWdFBlNpypzzEcjl/mdVQ8A5TtV
oIG3WOMD2ED2o1zgk/28re3AAohE7mDIyyYH+90olpX1bB9ADVdxmfaNboWtWEt0Wzl8grC9H13i
2bgtjfQHICEzhLpCUVanHnMO4RUHgUmc3fH9CgV90RNUWT6xZ+PX/0XeeSzHjqRZ+oUGaQ4H3AFs
QyEEZVBzA6O4hNYaTz9f3Mrpyc7urrZazGKsd5V18ybJIOD+i3O+swRaPjPdiN/Qpy23zDasbegF
BjBOwtkjwzbPM6SVwxiU2WOQBNGWtQDtPZiZleVVzoMSpvCjvlZr0HbReQhZn68ru8+OHeHCP6Vp
DQ8F1yuLmTm4rb1aKbQTWb7Pu8TeGvDSjn1uWTsi8tgqtG4h7rJsHt8Ys+hrVlbZ1i2hGfDI2+0t
GwP7Ie9pwI1yTh/S0vhM2gaGc8P9Cb3kCCKwZZ2jmtuwnswPBQBhS+eMAqMoO8GdGBsIg0ApdDW8
uzbFwMd4ZjjjP6MAlGPfbDJiEXZLwyADj/C4rjxp/sjEDU4odIDx4p9s6GuDPrrTFAc7lnHBMS95
D8emxhY90erTOjMtYBslz2PZBme8xuU2RAjwWATxA7crNY+il+b6xX+YOw67tCg9tWk2PekxWvZz
h5fANjLU1pKydkONnL54SYWbvTaC6HWwHWZuJCePjB2Yb+ObYi9kwMfcOcKyT63Uy0dRxdp3I7Z3
bZeD1qPlXGP45Lpi1/fANAzEkXIu6r7L7L0C7PeDuGZeE5CqHhZ8jYdh7jPcYnO7ounyjlU6amYa
bGJ4VetVZyOQBwnoMFeYtQGVj7E5jyUb7Hy6wQhwny9mhzKuG3a9F7g71GTUnGFs+AWrm4d2gJMS
Dq3aCxsi4rqFyaZoKmf3ZwHiwk2xFE8panJqwdbaxZkuDyXhfjdN0je3dtCmxwgjJy08QsFV6tgu
H7n5iwPHuB6IZeq2GiqgsVJZxhn0v9CKJcmF77GLhlGZ68wtf6m6DLaTCrK3rJtDVihIhp90xv4D
Ev5wNxRBAr2iHW7wZguUSAVi2HQAgBTZSfEPJuv/ZCG8LS4w4v9aCb+P84+v6CP7T7Xw//jL/xDD
O94fQsCCcaQnbReIPQL7P8Xw6g/yDmmNiIOwTce7/MmfYnjL+kMySgYwikZcSnnJo/lTDm+JPyzm
4q6HiF45v//oX9DDy99Q7r8K4oWDptDkBWJKjKLV/punRjoZS2z3IkMNAjwDTouGvPWMktNirr9w
qjdwWSLvmRgB19fGyHjbDrqNMybBgTWG/BY863tYfHKDrOu2z73ctzkg31n/MotdNOaLqUvrr7oT
2GeB1mB6nMMbhvTTGXOHsYNDE2J+jbvm2yuC2Yec5pz/gQaJRGV/BUzacZPh/dsNBqB7r79m15rR
wDAB6CHeHeqFvECNvmkGqrOLKw/xKtqBCuroK4tD7zu9AHVWESwevzGCfmcVJhzULMmm7zC2g/ff
aJGlTeRG6QmoARKdPTfT7HOPX2Kd634TyoyRVezeol8ftzML5n0ZCZOuv9ersbZhh/TtcjdCH916
yRSZQHj0zLyrSGBgBHH1NKB2+BXXyDc6YVjH2u0fl1Z4L3SY7p3l1DaeeDXEfKol2WNuTKvGtqtp
nG0QYX9m25cMjOSAm3SlTF+BXIij5U7dsUjlVxPkqE3TOL6KI5Z5seO2D2B2IwqolilbsAAmCKHs
IoxDQC6D0D3VcWtfhVQ5n9hDWV1PrTJ+hll31/nsDq9lIvNrfuH8nKobVlAx1qES9s2oWK9sHFeV
7CWzbBsI92eyU1RrOmICnwE2PtZpBcwms77GfESItGSo82NSNdc88DYflFE82LlMdhlDBgQpvXhl
QcEwUmf13mMyt6n61Ly2oqjdVxJ792h5/OjhRZsUdmo1QIKq8AJYyUkZwTMu6HGjKL4pA7NuhWeU
ln2JrLdprtJ9L11U3baTXyTgTBwbNxrRJXYMaOWYU5m29KmO3MhRN9tcRb8kH0mwiotK3ZjmkBx6
CkB+6eKq6kR+Bc/X+0ZhEj5NgxkCxLHy53mSGawQJH8jIl1W3JNXXyFh7NdjJeR9W1s45Q3PuHCx
bYbldtNX3y1FgXcRtZp9WO36KpE3i4UQKBn1dBNNWQ/XTfLUxsLLnggFlPUGr8SyM3I+M3zPYmMA
cHsn6aA8Ga5bnRHVOSdqdBdokGjg4CXftX3RJwH2qWbHeU4rSsw0V8OqMcKTauZkM6o08hkRF08m
ro6biJ+uW4NwQtsCxznC25mEN/Tc4Z21mPamiyy2IrMJzxdsSSP81hoHODhiXvd00WvMycWXuwCw
A4dr1HucA/aOlttl4ZDeLX351ZoTQiHIfYYYN1J0xg5m43WOo3jv1igaPaEfo98RtQXI2gIAGpgz
bfw39hu00n9z35iW9GyOX2wstuYE/tuxNxudjTQgFL6pwgcPWJiTp9aD4U7v4jLuvHAD1wp3xpXT
9GjyDX5QRKlTxUdCqDlT+xCU/1YtEQUr0QGTT+QnpJEkG36xeYK6mk/zwanHvT1lh9pa6mkt++bd
BWNW0o/4qqAizjDAp2n8VddTiXfDzJFluEzghVdvsjnrL8La6CipzSiEiNHdpg0OlWJoLL0WqejY
wqYSxh2yy0GzuVfelLNdGr13UEXF+zzg/h0103iZW/2NwrJ7k4XoCqLRhDPdjc5raTTBQedWcDfn
8XDmH51ds0CySEwLQeswLhvP68BK5Vr5Y18tfqlH60oyZj2EkdsZAKG6YAeNKXyYscEPq3EJ2zXf
9ri2kjTapbZn+s2oNAs/uu3MSjH6RxwUW3imzXMncdGEVOPPiYXwrAb7/KOFF24uEaEnWrSW9BSV
wO7IQr3uW6mejU7JW29xjQcLVAJTEy/kgHVF+Qv58vSsjVI/KygYd9hQoIkx6D+KJTf3FlS5q6AW
zV4O8HBZoHRD5G6wG3Q0z+3UMWg1p3s5juP9NObpDSuEvl5BT4mZdaFnyGYAaMlcNw+9zDyiaJbS
x3YiPyGNBI9lYJfeOsieIpCc1rpbcNWvunbJ33NRjdeLJdn84oRDIteChg4hjeQsKXeuzuIrR2H8
oZV2QZaY4FkYt8GlEs1QXTnVGNy2xljda4dxuQ/HZ96rXGcbZVvFtmnGntndkt71Y1Rea2zRm4gC
GQKlVR0Z4LFlNHmVsjrgznYOSBtYWhS3bHcfMq8HEJvlvhHO11OrDZ+x8siMno5+5n1tLy9uqHmF
g8vLbIVmRF1sGD/u5TUfLi88pBpEoQCHbIrmFS555S+/T4f+90lhXw6N/nJ8NJeDBKAxcLoslsu2
6+Bh03dx6MyX42e6HESNtKdjMZYcPJVknF4EIB7kOHOs4cg7D05dnhZh9u+KfnNTZo6zSY1G7vLf
p2NyOSgZWAKNyUyWT5T8000dprGxd+RSxDROl3NYeBU1t2fM3Uj0ZO08ziC0b1sQz8GGpY/3HTcR
HhC3NFPlt8JtjsZQVbv2cln0LGU3ye9rpKhC93OsEsV5yTNtcVjH1YnucKDzR7a1L4N09EGko0du
ft9ri2j5xbJtjjbspAYUn7XDwqjlVwSdiqtzvtyiBtfpcrlX3d83bKpHtCe9ozawx+0bQQ0VeFG9
xhXDQj/IXHeLVGM65ZmJAtQzpkOgmEAwhch9kM/RhmjD5JD0vQRp6EbYvwbPhiBfki/lwYK8VrJN
DhY88+sE4yHILcxEXavcczGbQb5q2qjdyajxftVQL++mbFRf8FGHu7id4yeD9NiHgIFVCz+7dw4d
Tni0I6haNrmw41scQWB9YuRdN+RE9fsGrd41hc3M4PjCamH5JdVdPlfRsQqq/KbrB4zR1eg0n1Mz
vApd4ZNzjTlap+y0EDK5pg+hNHp0Qn7whNL50AC6HVdRoofH0HNZG1StslCp28adWkrr4LB9esiT
Ut9NnqvWUDp4PnD0PFZ0gvGqFJhaLCNGb5kj7mWJNbiI2M2qX2felLQAcopwq1G2oXmMYZp5S/9l
lUXFZ7ykMZtEXrTdOELxX0EddNhGIhB8gVqkoL7wiUOG0/ERoUt6GiEVH716GPdox6Zj4hjIs+24
gS9e6/A+Rhj9Zk7u3RJ20yMIz3w9lQZDMjrvI0MbNn+j7ep7YO7pe2Kh0lkEg6CV1eTdZ6hQOlU9
GWLCseGIke3h8698irgJtnxHatvlhT6RV8LDbzhdti1rEd8bkHuJfsiA7LMOB0aGO8G+u3jZgjQp
1kon9NSAw8tk+SWkYUwM4LFhciZaxqaCxbdz4w72piXFa9mm9nGY2x6PJ6Tq0HT67RijFCgTh2B3
GTF7Gi8bLJeqdctCHKugp4+esH/y0fucJ+QuXGAZXQIoswMSKpe3HdvWqkjq8MxmdPY5eagug1Q8
w43coCHOn027kq92bfb7AcbnC2r55CVoRfMr5X3feEaC+Klb3gtPPFsaUfsqSZQ+KLu8lnq8TTDo
UvliaetRrm3Zii05r1XUlluBT89a9x4G0VNT2dXB1R33boA3C8CqtV+6KtmarBLeYoPnFLeUPE2j
ARsi0sGXhJ3vhxqUIdK/S227EJ61Gqd+WU+R/d33UeB7GHF3GkPSVdzk8amayYU/9YVRnhnsyEfk
ISQSxOXU/RrSiprJSlv3Cuwlpw348uSBiT2aaMiN/FBsQncOElS/KS1FfQj1gzdR6XjjeI3mv4os
N4sHTEpO1RxlDPkocVt+9iELDiOsydNFGnwRelS/zZfZ1qYmv011GxES4yxbdKutXwXAZmRgWQxz
0vkweZ5kiMvXn0TmvOZBHsV4zmbvGsvlvFMVK2aLeet7VMemjzIYQigukR7zEeg8FBJC04tFCTic
smXI3L55QX+9OOLn4mbfDmZgfsAdc269mjW3Uz22zEoAiDNZOUsMdDnT8Xj5TizohlbkPuddQWXZ
c7cvsjA349CMvitqjAqRNfniYlRhzS+emaai0mbQEqGiZZ0al2ipQltW9xU8GxIDhMfzTQxR90iP
vjzqqq+qdSqYHwFAuxJpVA2rkp/5LitKeQ1gF8PCZYtu2aFko0qw5wa5hVv4nuMZD4qr+s4yi/HH
Tj+Dlp3dWE1slMIl0si8ZnvfxCllkVFcQ4Bb2aLGhdRmpBeCIfNxAtScIpJCe2qNTa6+cRBlyc4D
vTyujJmdx+g55qYagqtuTJYbCsJTJ5n8iP7VTd/L5TzDhZaYpVd1IZOfRIU3aZoXO6iL4t5RQf3G
88XlpefuFlp4eMqionpF6jey7oCkpdjIGKyveaPfFtWOTzr3rDdAf+pFE7qwBqdlH1pDJEduguhK
Z4GxdqMEsUmQITk3QDklSXjomiRGvRqjoZz66D5OKn1GHD9f7OsLW4owPwB2DtZLApzUKVKVIdtl
tMt96kwElVP1VgVT2TWxrNEes0COMWSut6TUMRlkO/kg+6DylVHiSsocezchdNzbpaKbi6hkQULP
2yE2pz01JARiu3TJj2ksEdyprKgOeLinHasZe5sicX1qIFz7KCwUe/Eer7TdePswy8BRlDFQJ5QV
+GVULjc12T3boeqS13qYgWN2U0hUXpzjdOUQXbWlseyGy4XLlLn2TTN9yoy5OqZ22/tpANuySVnc
o1an8YXL+ug1cBSXviqPCWcGe6YZdbaKS6IsuswYwTK3KW9gWggO7AVN0Fr3vFl8K+W683L+xtDl
WKuDwnqeCxighn2RgYaFtY9STojAyttN2+mZVyXO9wVKSgqGolmZboo9Kik5zcaxHtdhinuhT4MT
KWDBdcFiufCiT8V0IknFAQkDhJTg1ORBupLpZG2JmX3tiJklpmbEPqiW+ciYq8B2651pTtfSy0Y+
W5I/V9oI8uvoIt7LRzjwNMvLNp4UfjlUKjSobpqdIvJV+AgC0jaa0vxe+gFQqWyLnygYp5WGFXdw
rdlYM1c2q5UVdOWxQPbyLbMyvUT1NBeolQzOCGm8a5af2R29SneykSUcBNsJQoh0az0nLB7XCAGr
t1xf1FdVVp4SAxsOZotkXyEh32OdyHx7aOqrgv3HvsXgVbFFYxHsMHq3vYXtaEIoFQq4p4527a4z
2MAUgwM2N2cAEHliZYoQBGuSnkqpjlO7n10+z77w3tq6Xyd15J5lMXg+brPkWYvMPtRpll05xKf0
zOIUflu0KpYe/wQo/Q8e3tpAbRiY/tfD2+uP6KP5aKOu+fgrw+TPv/cnxET84QnpCUFeA4G9jsuE
4M+5LUASZV5mBqBjPZCn/xdiIuUfQvJ/uK4FsuQyWfi3ua2p/mBgqzxCYxja4tWx/zWOibqQlP46
uNWMjm3HZJ/qamECU+HP/5JYiBCc2Z80pi0bFzngF2PPPg0t2UJLZP+Eaef1647OyNqgjFualRsO
NSEqoTBPnoFXgpV44nKIYMx/zSFjeDdDLy7/RtHKL+RTDJjihfoZYQNtgBNMGO0cpgerwEiy6l4R
ivJi2Ky7H8RMNMU9JJGshbBM574u7YK5UFPoACYjArgGpGrlAfhcNBBGTUgYF0Euc4QGMifMZbYC
hEMlQuC7ogvNHzMpUbFOWnrrOu09XoXaOMs0MiRSomXINzjMbVWtkPOmt2gfxitR03mxLwGNgJ9/
PHadUO6mQZIe3ATsuUmMd2ORnt1UvsLXnE1/NAQFWe3ICz4ugHQ5AfCnH5saO7myB4vdVOG2EQdC
OoXNphxaJMmsfCNSIoxc7xqaeXxsktpoPQ5JnNxiExcItCf5pGvE2Iaw5hDTjztkey63MT02U3WZ
6oVIClbasenl5paqitQ1176XnZnO60rYPd5HduRdgh+Q6lfeOllbXpnMLSHIh9VbaxpfqoEui+gk
LXs0Q5dwdHj+HeIR7eIYz+IX/mtQPYawuaN3d8uDyioYfwt5PqwcRWifUyxKIVrGYAzWmjvPW+H7
tdpDMS/GtBtLDXMlgOWzXNud0xjH0DErqt9xsY19o7zkpcG62Ps9Im0Gz82E4UvFMVsAd6SlK5C1
YUFxGRVfuaIjKw7MPg1rOSCVV51nw12cMfjivKSWOqVTHpMIoK1+YOk8Fns5uV23wbor2T4uiEYY
1liAUForioPdnKYDwMmZRnIb5Ww5txF58Awhwmp6bLHe4MmdLPuzAib5lOOuwlzaNN/sM5k+8tQB
qhd5MJPg2nTdhMu0JC6nEf0hzFrmwvWCCm8tDHfIqUoCfUywEn9WHmCAPXQAN99GU9gOG8D3/Mbm
JiyPoJCpCOOqSa+ALkX3TezcUcHop7btuSi6oDYOYW9GBEaMjli1JAG8uEVing1krO+LN+sTevn9
wAqlXqV8afkQNHC9ST2PO/kIJ9bR3CBpiTBdVPNDXFjLdx7ly/Wg4PqDDi8j8xbFCZ3bVKZQG2WB
TWO/iDC/9hK0tPvJLvHjiWTI3wCH17c40jHc4gIBkYpNF7MdZib7EdUVQmshc13j9HJJGk9T1MJ2
V0QK6t1M9YYmHftpD/oRYy1Y7uumMokcY/40ZxcVfPxO4A12a2fG5aXNEBaLSW/jbsoaGx5LsuDZ
WMjoWhzoQflUFt/UmOB0myjehYE9vXgDr13dMo2CC9DkCBpC3pvKI8QoLFFJouIoT4XIhscWQygT
JQokClWYzTHqs7vGU4S02R6xTP2A+RvgNgPeRAwy39eitp/MPG1PLZrwd5XKyNsuXYc7OZ1iBxeZ
FQ10ZnM97noZRp9TZdQzBhiX+vsye+LxyOrHGLbsYVocOybCpyAjKmIsuiJvXGfflYpQc0JmtdZQ
/pfn3gyLr3ooB49kGWsK/Ygbp9rkKXNlJ0PZSKM13pD6ZxwCW2IjRYiQjQ8YpILfAXaTvSF3bMAK
5uW1edTs8o8D0WG9P81s9PDRiQpAApQpjMABzyr+iLp9GUiIuy0GakJKbuOd2DKneHITynQk5Lwo
Ky/1xAYwtFIbh2vQ/cqN2WI6t1g+WGEez+gFMKf47PqM7BlZJlsUf83Og2HDiBHtAUd4bm1KM+ZL
2iELN5bdQKFaz/I49i8pVzW00eKxnHrLXtOnUyXbdXDGrisecXPwiWo54hQuSOIZt5mdJPeiDxzI
u0IOBNpAGzZO9iKTDz0QcbvHPtin17YVLBd8yoT22LTyLRsiASirb/q7IMbQZbocc6jmJxO3O1a9
cmOqmicR8wqC9zH0xidvXhATsDJCPd3yycfbpbL1fTbVBhQE5Jn1Ou5JK9wA9+AbkTQoZ1BZBhfA
4uCZjdAn1OsIH5s8xJiMyQLMY40y0E49OsR4Ol18IMym7cU49IUZHqaprGKkE0CHL5qhJth1tfL2
9HfxN9L1+qVAe31vDB3uPRx1yxcDLIBFpaOw6UwMksoNX6LLcZUky8Es7DTdt+oywY1pgcBG6EVi
7IOuehcUOPOg4eYJSsllpkBoLOvDRQrGMAe/1+Ncuu11yVSafVQ6YWWyL4wphEWWtxrQed+gUYrP
lhsNz+Ncekcw9561E4axnJNckEMbun07XKfeMj8OCxPSzZikXEfkaeAkmnTv/nJGe97nTIxpRiOc
XiV7RLxkSzoybkLEW1LxOy5L3ykCsDMn+OHtnpnF3exqHGZIUSNU6433ptWs7nF6nmoriSfAiTl7
Li8mbmnpok1Q0KJZHHKbACjDPokzsXL76TOp8AnEFWcmZJ7UeleoCLN1KBf3pYt766elV0YIMZUf
qbGY0bqsh/QgJjz6nDHY2uIweZjthBng2MOpnpscleIk4zM6CufI0FhIf7DwTed4MzbMg5sVWalh
vK7JW1z1S+gh9yKAag32GcWmEwD0rhe4ZyKU+mxnRp6+A2sPr/SQwooo0c2g1Oo9zrgY5VZFStY6
45v2E9AWYJ5NiYEtCseTEY0hGVmI87eI4mYHGlzs3Ay10TCVtcNve4SQy7b40TC5WFcyQWWFLxff
bDxVuMIjjTNHO87FqcxZhIXUWuRwsItOf9YGFDkfJoMkgidJDqY9Kx8B7UXjyFBMpbH5mGlUsspk
PHZjJfXwA22vGKkNaOqgHkUgAaJkBCWmJFQwiZEG25XJQH9fIn77DGXofY8EIAzPZTAWsa9Ls/yu
lSWa+zGQiIlkglDiiCcl7K5iz+RjDAlXQgs+BNU3CmbysjxbRsMhoEMiXZByDkS5WeYerR9yrVq4
C76+1MgfsNUz/i0nJMhngmPOrIXT8qgaenTkX+N8PztWQcTbEl2boGQRq88tcqCp6fwm4srqsi6v
1o6NE2QtGTkSTcgA8C7GmHvI3dA9FgmG4wAR3K2wbXbKOZks225ilBiUFSNYkYXc5dQg341tTU+q
cKItyznJyimUVNGl+2wYCB6YuQq3O7hQ0IuPuSCIyueg9R5nVA7f/VAjYw7tBiMf4onnfiIMLbFm
nFNWOmdXrSydbE2movmCWNB81tRqN22nQt/LhpCM57zRuc++iKGwkAi52YlXNZNEhBVckNmGK8tF
cesa1ksXtB+yqYNozVAQUk0ItfSnSuv6Bac7JjPTg6qzJvWEgsOI5+K5Dtl0Qvl3K2o38AiCevFh
xJerXJ7kWr4uI046r16y8QvJFcNuw+Y0xto6UZN/mBPMpn6OHhLmLQdDWpz83aQs71hbmO32YjGH
5So1s3Te5RkQthvmdBahp6OBctywe8Bosmqx6fK/clwe3CVszczCDXdx3bOzcTDFozlkjNfioWT6
L0P5EOOMiTdkAYarCMD4GeheeObZX/bLgHUe8TTX/KZY+v4uxsezRmxbnUSGjksCdELMZf8CMylb
hlENopLGTdShTVpQQ9C0kcl6soJZk1cEACGDF0QvWXV/Z4/TxsiJsph6lp+1jqajyNHWWQIQ0NAS
NcTYkIAFVK7BGspY4zHRRIhbT153HhFw+KGU8WvFZ3soCtbpQPyLtNzH6Ar0hjhI4maEjlBP24Nh
vEWd7o1jYlREfyHjdZ5GC2rKpkhs5md5M5RfInOdCWTVEN2E9qU5K51LuDJC3OkhBuySYaT0En6F
annDCE6gJ98FKAVSn0yy8HIHCKBVtb5tNdN7TSCPoB1L7VuWPeKRApcTNgGxtJsRHR4Dq5x+5UE9
7/TsZIfGDJYYT3JpX9M0uAHxg5X8ZPBkQTGhndlQZCzOmiSmHid8Ok3vSPkC5PwgBSS/RYA5GUBk
HA/Dwt4WzThu9UKYNevndPjk9dVXSBLBsEem4HYfYKDsAxJgqs0QZbtR1Ez950Dlt5KUSsyV7ELM
Y+sh4djREQt4+UAj6apob/SaJhdeno3FRAGkrJG09/SvxAUxikZmSEYb4E49PzVk5tjMFi1AGTFZ
fN9D3ajDEPXmWz4V7qaNFOaeimN+kRbKfYXWxm/Srtw2BfLoXLlhssINhtJmnno8BjnIk3cb6Nlt
6AzK12YTPTexm+H9Y2WW7vBR6XuWymV7hKkViE3rBTogwhfTvZtPXoJ9KUwoKGHuSGBRxXTrVmiu
1nD+2XN6lssOPXzC3MqojGAmb1UWGMDyanGAEMXCJ3fPPc4tcAWIy8WBEK3qzhlqsakajVqGu5lF
5Yzw6dwgF2ET1TukvDFy/Eq6CAKPR15Ps3e6AqMqARXfVbcMt1OTEJSIfchJV6oEEgVcYhYfdjeK
TcbvgSG5vZyHiAuealRf2RjO7pMqtMHlBeN1OSyn0PFUR+oL1F4ilYZ9auuvtqfgSVnBrUACjKcx
oksC6ue3SUbFO2jrZVmibx63ic84Vqtex98Z8XSHlnnoJouRjOcJFTLS5RsbX8IxVy3f0FBWdy7X
8A59WvhOTUHwE4effrDTD8F0cxvzHFHoF9YmxgtFRE6pDoxmq4cAvZBPvDYQZi/alGVr+WZcON+Q
nEyYJo19sJAnLYXL+BWcarKppqrYJXljgZww5xNEUAHH2C5OepDjR99UOG+R5ec7D+cH5p20JIyQ
Q3L8WnrdQyxgnb1uA+XCTSVya1Wz2s3Ww2jUHyoFALRddK2u5t5q9jDizW2qLcdPkmrcV8FMuz9U
6R3BYfONVoB4VmrMSDidBqpCd+yWX3OC6JiBETmgCrLo46y0vpolBg7d4rxFsuSid0rFRlLJ/8oA
BPlNV/++TF5BqvUYd0vVX7eaQ7QjhAqDt6VU4KNADvedOft15qZ+0UUTVrGK4Ueqq+6JcpdtdzaD
ZJt+9xwTHMe6VemPa0XeQTWsN8Y5Wd5MFCJnzArM2UUEnKmWcF5XhSARMlYcl0xufFUSpiLDykfV
oW/7lM3Bisg1Yy2xdFLskL67s/oyWIdOp66GjP60d+z6FanTyTFnqAJCOeqcAZrd472Y7jPog+y+
ohwhT5G+1pmFD0LkrOL7prkZ8fVs7WKWu0pdxmftuEEiT/JIP6s7OEF6q5w4PqIRW5Fc3e+tyblx
KfPWdu3YpxlbFoWUt2yksnATsYmgRx7iK2wUxnbgMoZ4KyjvdJhfcVAlW14Z96UwapCnYYPNt7Aw
P0kzfGQbgoAuZqP5qPXU7kZ8xTwfxN3duqEDZTBMNFndLBe2nLjzqrSKbDd3YX1cCNVhrWkmVbdl
mnaY0SK+GYkrHpWukf/gMGmfMG9S7YWp9VJPifCRUgl+q9izK83vH2pVB7cwS8JjPZFxJUYgUYNS
ijoH5+8npt4PQDMx226EH0jc8l/D7AQ+50N5rpdxpBwKjBssN+7WDsaXLuFihYJQbMIsqkpfTWqA
MDGd0WI5N5WCNLXqaAe6lcfKmcN5VPFJpA0rZdG4v0Rn3RloM9bIWxYKsmC+w7Cnt5PRzQiXSGi6
DE6ItkbdMyXdAUkNs6kZJeuzlrl6UwS4ijbiJgn7+OTUXeXP9BtbwmuL+CaY1Py5xJn1hPFK/IxN
b9APeOqux0+daLV0Nwhr0/E6GtCS8d+K9vmSfdXKvADiLDxVlN7zD7IRaECtknuINPW2ETmEcJES
sNnPxW5wAYytZtaXVFKLCiXlsIMtJU3iZVy7NC33pLEQGaQKk0vv/w32/BoDVdmWP93fuef/DpX+
/xEc3QFlIS3G8P/1YsEnF7H5+HdI9X/7W3/Kwe0/GNVbnq2VhSiC+cz/WSto9w/TU8jOJSpsIa2L
ZPFPObgEqG7yknv4LcFKK81f+lMOLsUfANMtSlJbShMl97+0Vvi7KlLwFVwPoxvSaemYzt8yEDwZ
DxDSJ2fbqUuuMIzN+SWSyKj+8qH8J/Tzy2rir6sL4bFYlY7UnqMR+Fh/+zKtFnj9L0WKttPhfWDc
ucNOEuIg7dLBD/Nq8P/5F/wdefL3r6iRerLJYXVvun9blnikAeHECXAbmxcSK+FRWbTuDYxvxJRY
xYbg4fjBZQW77wL33I+CNLWav/VeMGLzRe0lR9JiLVr/QW7l0idH8AXoVgn4vjKntLr+b77fS6bI
379ffuU2pyBEGyQ7/365gzQoncepcLYAR/PvEff4uuUCIvyOLN9NApmQQZajxxVly3dTiuUbtsf4
PIeAfRRhyj9h36dPJCACdpiwBf/zb0/+x+fE1Q4YAce0LZwNLs/jX3dPBLswcmRove1xAl7Hiwl8
KlYXnnk7Rtj4WLyvCrMqT1lnTVthCC74kIkw37O7j4jsfpFwTW/nCZyaWR1EZNxPmIxQ3gBN4Q5g
HPPGPNP14eI0dyAcy88+NFM/n+vq/M9/FhuXxX/4qF2HV0ha/5u8M1lyHMmy7K+09Lo1BYoZi9pw
ptE42UjzDcTczRzzPCigX9+HkdJSkVHZUdLr3oR4+GAkQUBV33v3nmthNbyHFfz5s/gsmUYPSXtd
D3n8ODstp5hpMqPVVPsx1myMNXcmk7MWVae+SlfBZsmLMshgwoKvntxAXNEO9R8uQyOKZCAvRSac
2ySzTdc5R69N7lFHyUizV0R4hodx31cx6RRR+lE7dzpr6Nw4z1qnHsV4Wc5nH7Dwrkblsc/a3D2x
1TWPNiUgBVCs8NubiQw3MXousBw0TZgE3ulMyqIRb8RfvtuiiJUDVSt7tD72AH8odVmNGNUb8BFo
pwX9qtJTevv7a/nHg/uX2xaTFmoW5pLScu+2lT9fSw7HXeZ0s7OWnKnPFUmQROsq4w5H3XqW/C1S
NZ2HGZUIfX9iB3ZDm6vfUKFaRLRND/tZMXMxsVTt6RfmKzY15S7KEuqoCK36gjURNRf03ukQ1cX8
FQxKPg91COwln8RNWln0WGtwOcu8xvU0R8b06GdDuukH1/hvbhxW1v9y4/Bk3rcE/y4j/+PP/zSA
rX2jHkmGcwllbcYT4klit7i0NrL1qr3g+Q02jaQ/H8pcX9vGjw4YOw3FAMSHGadt/5WMvPm7VZHx
6++/h3+zvvq4X3yTb8A1CLr4168hj+ZizB0iB5RvOkurrX7H47y3eyBE3jQ+/P2L/ZvL4NuBeR+V
k2LBkv6vL1axPyh/vies4zS5GdVc3Z/i9Pz3r/JvFsR/eZW/PKU5Mlq0GlDVMitJvg0OHhQyJRHI
DKbmzd+/1r9ZEfyAIcV9R/Ut2/zL5eOWTOvabOD+o2s8WKLQX1ROFKJIhZ7MqWPZLSsFrp95b3lB
+9Wu/v4N/JtLGtieHWCiQRrGL/9ySYVy6obmD8kj3vgmcRfBJMCA/vevYt5/zJ+fVsfH5WQALmUJ
Nw1yUf71ZUyWXB8ID8ZIp32qO/PuYZ63aTJeJ0JvguRMUbu0JvV151IPcS7OOIch++rKX6UW2aHB
ALSbwNoKDFKttvjyezRqT51JhzGbYxIokwgL/xDva8DC97arbnHDNt8prfK//zB/vT8c5NC2zV6J
j+1+rrqnrfzpYdRUEg2gBG/dsO0sQ7KVF8xuopV2MTP//Uv9l8sWGO594yMoA/kHITL/+lKxDs3c
G0QA7diNHsI5Q19u6PEQtRRNVheS0+LJ4L95UY6Cf32qaZ6y3nBcYmVl7PPXr0tR/5mFVOF6zNUL
UCN6hxGu1CCc1I20b7z4cuqeRJTs20h9eEGZbjw1m59pRFOzN2Iq2OkOTfOQSrmXrq7vkYNWs03a
estsHg9+mHyEZvdRAe9PDAXjghjOBQxbytOcetFT097JkJC2XmdcArIUab4w+kqQF6JZoHJKjNnA
wRDekyVC7K0tpilT5BtvUszfQlMsrLq4Dk0cQFmFDMbzNAMOZdHfZ7b/TPDkcNbuJ5PCr9LQ3bnU
9AJLx4luiOiGs2hSc4MnhHGPRl1YNMSatp2XbmkTwUMpmjz9QL4gV9OQlPEymLoRMVjQbu3YphlW
9Jb9MSUmsZFG8VLX46X1twOfk0wS+SukS7CmeAT8I4h79Ry6fkRmO+3GabKMIXLAbAtULGONtjjZ
TZpd5OQCTDfTpmcOA45RtoP53VmZf4SygQlPQiRgJInCIpBjuNbK9YpVyC71A7KaWtMjBK6cIvrI
3WcH7/0KxTJ2uXIAaEWYcDwfWiu2r2E8NkumPeuJHIIA1D3IEb01kSDjOBtGilNGxLj/g98z3pxM
DS/NOHynnC7fEpMMXnB8xTrwx/ciBp5UUP93Q49ow2zkW5Om1nXM0Fov5roq+Fk5VNpAB4vAaq5E
L7xN0eAfR3S3u75uiVAZIkzEmQ/PRYp+PLeTnrZS586lx2rwVXZ8bUOLERYyUvTbH0lsie4ASqPx
6yuxAvJWNnX+rhJrW6bYDsAyIXknkbe+ioyuyWKKjNiBLtTMkC3G+TWPdH+1wnl4rc0UPZBomW7F
6DxBP2cnUTfRDs2OeMo4aJ0GhHSod01jJZvC45XdGsAXLEswBMZ6sH35iViwhfNWAcZrATPFfHvk
aBT9NR7yn+3ozT/T+ydUhiO2bTheEMtsdfViwHle+sV8ZsR3DIXXbVMjVcQcZNWvMJTxC8n06Gut
ARvW4MuV32TyQeB5WvV90690oJl/TpFzxRQWn7Km0iuEHBI0XVv+JhN42ojRnh8YG8CVcfxv2kMf
JWGYwHllVaN+NpPp3eu8amdH5AczWMfKbTHQGboYeJ1CaDq00Xtbd+91wNRy0Tuy/ZlXsn+L/Mzd
kWRRbANrrtakF5gws1X32BYtob7Iw3cpXINNi0oJKT9vShpu+cbMSRwT3tWqlgBH26x8YoWdaHw1
CnSl5TJvKKOt6alHAHbfloNumHEbbJUAX0NpWBNk/Zi/IKL4GS29vx6nUWwyy/fPIcO4tawEDehh
/tlhdXnKW+WeiWjG4FKUmtlCMu7zwrno2rCuQ1zwnZgD4LW4U8ODLdEUA6rFyxYohUgfUo1Z4ZZK
GddngHAw2twVnKGOX3srxvZo1fpgGA0fsMKCTKc23Th2N7NBgG5kopl+dkM5PI5ERJ8SHQLtmDEm
9o6ADV23mKpQYjt28tGQHLJBdVKuGNBDEjDaVTaitZ8Y7pyqjHDYWUwI6FSK2t9viAAPkImhS2gu
tBfxTYaUdqjeC/vNChs0bFaUtus4LlfSy86iN4anKJwPzE+WA3IsTeZTiAKHT1xnV8uYGAzPCa5r
PeVP9Zhy0vfRZG3TzvTglGiiMqbWPbema6/KmrkyiSXPEki/U9om7NoQnpg3bBEHYRtrzZ/l2Bxi
6RDokP1EMuviex3trUJNhVPaeK6ymrHFNB5LB3W5Gqq0WThG3d3o0qE4b1QZ/ogoz8ZFHBbeZk7n
nupat4ee6fYS2+F66rLoNKCCW/amkiCKGTjjiKAvJ5oW10USlHAOaCDTzGRWXanwgWMHuWbpXSpr
ifEiJHOxxCjLx7iq6gc0u9WT7TbXOIPFWuF5+kTqW33q1si2BKEkb4COAEFONl7osLVuvOtqDVjI
IQ4IGS9hH3obQ9H8DKRIsWFDLsEkxAjDnNF0FDU0O+KGlui5KQfzmblNVBV7etUJS7/TgLHJjGOu
6gEJB4t3mrTXVv7OYvoIyJrn7sXvvRKmZFxfTFroT26U+Ye6ze8dfS89GLY1w7Hrw/cS3ddtAI3L
yDCXT1MEnRVuEnthbKZbu+2TH37laJAkXbMZG9+71ZFh7JM4QBluRWy38XwxMJyvpsyKLnR2epqr
Q/UIPcs59OApHkNrcNZxOBovphEnV8Rk1r7tlP9o440HJZdGR0Ln+VUXjCd4XF910cB6cwpjSY6Z
seMWXZPM8hPfTbwpc86LCw/HIQCPOCbkPq8592vPnfedjelKtA/1cCb/Yl10bnlWeYIdqkbKh/7L
JVdu8L0jytLqqdeJwyimKW6Q0XAXCPttDm1nhaOe7Q/Q39bBuxGgF+3TrWEH0KFst7iPNVzWMJtM
A48YZ0irIP9E2zwLZyQHbdJ5MG489Fc4biGhoEu1EQcQyqLtghs/7DGLrabStfdw4PS+9I13H3Xj
xeffL4ZJiGsZgCbUSfPldqgKaRpbnIDztnwu2+GEPnLndfZvgtEfokxHFycL3BXxKABqAW7u4dqh
a8L5BYudcEraUccugqseMU8Ah7TBo6+goco5Xo9CBmdFGtO575nAUWK6ErNHIjeBXbrxwuvG9mRb
QfjmtZ58KoreOJq9qh9gxk3HaZq6r47QcQBYTRzjOufNCMN2vq3JCH75GNkeQAGka4wyBiQ6X2BB
LFs8Cxz6MHOmFmTJyZo/zaDzHouxm8UiwtS2bgOvfMLeTKZTk47fuULMA4pH1AfMvtC5GNDWC5KS
5KsIOZOQyReg6nPYr0faPwzQXNLybFUz4/CHJnyxaznw5ecBx0hAANu5seB3dWHj1ljLgV8iGM3f
KnzLN2S0OdFqHcSDRR3HYbhOwUu6i6ZKgxMU53FjZkT6WBRDIIxC4XxEDVuQV0NAcc3B22I4B+yT
KeamShXBkai/mjdvoOnnPJNaODREA7aZnMPzlNGgXPVtV5/rOe6O6Zg+oaD6aXvp+1DYAxTF2Xxo
ozDaDYO+DbiJYPiiCpvjrN0Nlq7WzGnLhX/fbgyEK5xuW93cW0QE5iCdXNUgDx6Z8spNDG9nQ6we
qB3hlehuinBiKKw2UE1XaZEHG3ZXYuGtgtEr+ezpASZ4/VZO+jCEX9r2nnxlvjBH/JRNvPfnu2ix
u8Wmbe8K4hiuzYhBoTNKb4lQ23vMRz/rV3mVFKvKkLiKKw2aDA9yS7hKoHdFLpiIebnJOcl3SojX
bf8suixbycq30ILV5nDKSgDei851nM8Jyx5wQmUOlyZ0oisqy+dwKiwUPWX5MRESVi1aBQyI1pL6
HtOwf9YFPmXsfGKNhM4jYmyO/IXDtofrzR9pvjK8iOz7oJpk8i1Pso+FqK2ujL/VbjRk9AHxCM4c
Utu1W0UlEXQBeMwMC3RGwwUdCkiIsUvqvYdY+A0IHpuO749WQ9AR4GW30tSsRgLKjxim5Df/BkZ8
W2hQ5zPU4iXHmNiGOdqJh0z56Zrzf4fKGu0VWsw5W7dmUDwSWyicReLCqYQYyaA0MJh3JXZlEb5h
ik0JE+hZTHduu0fT8DXWcwWLx4PxZyUVg18z4OEG4CYiESEN1VeJF3CEdvnV03TcTFZvfPIMm+vZ
UqQWwPW6kM0zrCcvQPk3oQfcW6UvjkZshQiWkXwc8xgtQMvhY+3EWbmsZF5th9AHLQxh5lBE/ms+
Giicu+qnxt2K15x4SfQg1bN24MoONVOkBGseRV3gXjHvGT9iRIRPQ2aaR9MjT4QfGf26L4U/iqiK
nwdVYJTjkCsPbeqQf5eK4NXTff/ikc4EoL9PfrGw5Kd4VNOrMtAswZDJqo1Eb/ODiHbyEMo428UR
8Mu8T6KT1FFzHduJ0Ke0tvZ1NPSnRDJUr4QZvSf1EJ5rE2JcndN7Ua6fHAoObO9o/ixQkgOwKs48
db1uRlv8IXJgQuaNgNqGGLhvFxHfYtMZnMRcPFTB2BFeV6nuysTOo52i23kH95D80rx3v5VszGah
0zK5EvdSXxs/ncmeEwpfMeYfg0Mf1eSO0WFJwkMC861J/XJHBlD63nVF+9GktiGR8DA4WFSNNoIV
h/P0dZAOOSj+zPC3IPQJtkRBYYO/zSBUFL2NcInxkKgXdiMq74WwsC+lc9xe2CbTTWvp3OIpaSLg
VP78JmRZvgLIIp0w9x0CBjQWOUygp8ybrhBvPW7+MSPXj48gFrVfl7/5X9tdKhth4hooFbLmALSu
orbyHaROEabQNuUUEpqZvWyIPnmVvaRhahic7/jj5ldeh8Dq9Gie5ViQNyE48BDFJMZPJw7Tj9IR
ZbsOJWSYZVXaCrloHPfbvLE47Ao9DyRL2R0rQzTDLYRDv6zBgFBUEUPBpg7kx3OLXWbhkXgrwrD7
PZopUDqTzmH5YNrI1ZYUBo46gNxB2K9DibAkB3OHZz9qhDgbkAP9gyShAJi549yGYip2tfatp1xb
5EiIpAHfDDzeJx8TMARPu1P7a+pMde4b1bAUaD2gfyJoN94U5VRDhkRd6KC6qNfQGDDl0t4LsQ4A
KVzDxAbj4yhk/DhHK5Lmg+41GR2sIwLxsWo86jToIb91HaCVpPZWD1pUxU9H1uMGuABb5MwOi7ZU
jdZj4RX6HTFT9xstuHs0tCO++OjNxxCqjihGpCMPbIUsA3w3NpEvQ+G3J/RB86mr3Lvcjsz7zeiM
xiPdsIj1fCxyhuoWKNwG9eE5GQPjVBlO+oPSknLRU43/M01baJkmC/d7I/0gw4itDgh14OMoJUqk
lcrFXtKgmM5rO7wxUuK5GvO7sCypnssx9B/De4jWBl/AzxxrhqW6eGn3NsMT+plbjDUPWYYfUWta
YDA4RfSESDV/mYap31hGHR3q2JfnjLk3jY92aLGCjmW3mUvd7+eiMdc12uh+jZOxfbfw9O9Stq+3
CAY/RAY/djEAKtk9tDrNPrFGyLVSVb/jUY0O8JTkpe5S4S7YAUsfWDwpFst+6kE+T9Mcwkb1YnbJ
adTHVEoKA6rhn6bT+Hu6q9HBHKfvTo7fbSdeDUqAO41R7i0Jp82vLHtjK5ZQPErDW1tH0YMf1MFj
iu79e/QKSAIaV+iJzhY7Q8HBGvOE6eEvsiVt0BYTpsZJ8N0FChkbs7Xfnemo7tf9JZBFoucNnrCF
x0jOzBFrqh4TSnuXcSZhvNZMcp8ktNQO+XDVHFKC6zenbZGnZFr9xH5eZssRO9h5Cj3i8Xrn2LMG
k46pQ0gqE2DdACrNYQQduG+V3S94Oj4MfgraK/KwVhQm2dbtZwC7LBETucb6hz/Qh0NGWtgfXuur
810zd+v46A8+2/CC/mK/Z8ZVrekuWW93QaIt4oa4jHB2TkJOAPZKtGcqz4gqkvoYo6o/BG47LsO+
qb/mfKLdVgxiC/hhXIopJXOxUX0Ip3bGC0asPJdQIq3kSAssmM1KoQ5lS+4zc9q6rRZbgnBJF2td
6AXRYNanzhTlBhKxt8crG0G9iyP5XPut+4tWBngZlfok8YiUxBTZPRVhG1/kPdouEDjYPXewjmGI
aS7lPpzduSKVwq+ArZRDDxnXtBm6+oo7Ng4OmDluSljeW6xdF4F8izvc15LWbIGfiL33gbhf6+iP
g7vyOa7cRummB+AFxZLDQb02pxF71NhU2FQCdZyUn6F9NcS8DqyYaR0+2/jqzVTF9qjGQ+sFya+o
1WzApGcvLYcxGvCJ8hUsT/YSRYN+InbJe2NeX1ESJWFxV4rAw/Qjo1rmLj4JMrF7/80XCRadOjef
+7kMqGcJB6AEqvdSdx1pB1DRWtWmy67JxnJpl9wqgY05a6s4S27ZplNUnp6B/jdzgPAHsR1x3JpR
ryZB01P+OsQhBJXiaI/Cs98zhfYhdndNXWy6xBueeukbO4JxworV1G8UZZcJRSNwlLgm+ZyemqoK
H3w48LB1kJMr5biPk102O5VJHOuNTlfO2FEDdfeozjCtL8lUXbrCsl7lRHhXa/5IKvczyAMHdaE7
EQfjoqBxY43puWzdZT/nR3cInV0UxcZTXTnWEjii/1DMKj8mXfZSxoEJQmaMfzfSlM9ea9vksVfh
PuEIshbN+ByaOAUwhqkn+GbGbgBBfZrYSQmmL9ddlA5PodDRs6uBsHR9627Mgi4zDV3rqEp72DoI
21D6ErPAMOQD5JNxMKJcAOIq9mPeetvB5jZK4/53T7XyNRN/QcjHtBzQ0i4nUMSLkclXBo53T3om
kPS2zLZe3NEbCj2StcnSi9YaZftLPwwbzTzWavC3S2Zda2PuftldgYZSoVz3h74FaprdvYiClbSk
/7S17872Chdag/OeZCHTOTdEqy2aPqvHZeuQs4S3CPlSz2i5XmO9PED2QTYl1kFags8Uw0cROF/A
TqPtIMiFR9XO3/ZRqw5Gu6w699HU/U4AylhUfQQ8vYnP9H4rZgeAqeL0WgnH+IkkW7E0UQ6bqiBm
Ej7pgQbYaxbYtBUMb8ngAbt4QrNvHOo9klrA6KlNLTHlXxZRflBj2h8o2B5x88poESUV/Gb4sVhs
ah/WnydI2SWJwtFOsveAhRIOFDRFjRueSRZHDw++HGjoVlMgo0HE+W8h8fRlgTfyXk44xDX/KNGq
H4oxs1dWhXTUukMEWHNXhheRepMnZBcQyvLsNlFJphIEpHahhOlusL30u3yea5teSwWAWSQZKPBC
Oh/tSNTuZ8hv8Hi2RKitrEC+WDBgqbVwki2yGbI3z229pJZeax+O0oYBBa2MNpmvobDDZ3KjMAcN
QRVsYUzuAwdRs9+YD41jQmcpR6XmHelUyWfoheyKHlrxBciDKn0RiU4ZOUIACz4jIMPOQjqWRzBT
LMKDm1CfQAZwpfoIgjS7BpHnWEQ0+mhN54H5CANaEPzOHS6OcnupGpOeqNtDKo/YD12DEQLraYC/
kNTIp1SN2fPQ26y2rBtkiqSaniYxDZgf3cT1PuoyHz5nTPNfZKmAyLaDoSDSjXNzR123NJGybrTu
TfDys+x3qcN2j4yYbgQpBVSLISGYV1+0NxrFsCxNRQTb1HsgeRx6+MKDy4ywMtT5iVTRifq3OVup
uSd+9TM27pRjKDEO+3sENcuCm9elvXi2JaYNJOBldHU4kBy54+KPsEkbKmJE6F1kEHonv1pnghyJ
RnaHcyVhugRcs0iDLbnSP4iRfXKa6QYNFvYYDy5PvLaa/QScOvKjfkvYJCkSlhUs3ZYbvUhoNkaO
eRfZyOGJvbtkh8zokmHHLnBz3xMVesDj0SLXY/GtR+JMcZ50cAxiLAMx9AEPOrJvjwYqE5epFI5K
9XzHiLxGoN0wQFs0qYlwPaUIGIw8O95DKNaEIsoVoZ40KboqDNHy3qNAUKUR1wonez+Ss/MjkWlH
gIQ7Twfdd0aE1S1LOfgS94xEkk23GCKWPAKA6RfMaRTsZgOXhUGpQyB1VlQnIy+d50YFkoMW/dPE
EAxHnPQDsavcziMrLr3VCVSL067McNK32aNqK5aMsuhsuNwsZ7ctbkpJ6xppAlg3XW/NP4i6hQHJ
6fhoB717mxtMJYwzHY7WpIctq3QOjOOUC6NZeB6XAT2YSLdFF4Vni9bQL2pTqhCdhqdkjEoaFVw/
rqSIPbkOHZm/UsIlq65tt8SVLVUhjYMdiDuEbcxei77ZtUNNHH2h3vquAK1aRa8MkLe19L0dULZ5
Pei2WxrzDMndaR163Kk4WxEjRdaV5LXH3oNipKYyGbnRFrlrtL9LnZxIT4Bgksxbz2zhyeTV2s0U
WzaN/KX2EzrwcU2EJJl9HUob8PNmHW3ApxNrWaGGgU/jJD/NwUSFi/EOJBX1580oA3qrrt3sndRs
vojhwVo3mdwgCssi8VpNMD7naFWnZSP7bActn6oBAvWjF/tkskwurMmBZh14PPseXqG8ZjGWwK3i
Jjv13sDJYqyTByYnjBzIbt5NLfDFVWsMFflwROc86SkpdwjPVLcyMd3u/MzIc/QWENbNOU1vKavi
Ly1bkrwR1zy7dTjSJ55qski0zRLmeOOlzxibjfhk16wb4gBwrqZkaip735pYQZYu0PKT4hzzMM5h
BBitq7FwxvGEYFznFQ97D+ZhpXou+VKYw1vWEejm+9pfJ+7YbpUvU451BC96INYWOBy3TscJCp5I
bx6p4KpFjOMaJ1rT6GsJ6zNNxHeVTWLZeoN4zO4nXqXN5Am9Hk46MquWFUifS6q1u+NRsi64MfWb
HZve2g+Eg1tSI/t1MD1Ai8XKkVXTErss6xac9kd0TjbHspGzc9hgfWj4fkbOcpuBVXrrWoC35qq9
T8aaUL7ntBseQqZAqzrDmFAmlvuERDk5Evnp/JKBR2YoXT02jwwX/WqwHezNCu9rHpNXQw/JWhnY
4Bd1JvobZnfnWXJ/XuNacitFVk/fQVdPYElhijGHggRqdauURZYGFeRFozGye17mnKyAMxbPSVFn
2wFuxXsTstZVhsVAX5Uo2xazkfKJCzzy4zIvyX2s0eXD6K7iXzY62g9n9BNIhl2zYpyIiB+hIrAx
y1n6yN2XpoF3x8nyapmW1nyIhc+WE1Uj346qGv9TKPFBLNV3NHrW0QmsCzcU3Xq6Scsi79NLLGQx
rIa0vVcOdgwYPNCMrrc1Ve+wrVg8MQK33bjjtm44Plq0TBXcRuIqkujVa4xuvm9EI6TCIIfaK7iy
SAZ08FgCtto5XtH+MqFgWfTcQ8/qz40o5j3pIh5QUIFtBJgT8pmYDKdrRLPombsrec/KWt5IOMpX
rtdF60g40SasQn12yypfNh4EJMBWI2PnXBo3VJf9a6ZNGlN+0dAO19Lfx63ZLJGNRd+gM/1VDchp
Hbh6fgZxXz+WxBdu2C3yNV7C7qGcjJp6FPM84xf5R5U8LCerbA6Q1QhCgoj04MwR/r0+gHfOHmIt
de7Pm84e9YlGS7/XcSY+M4w+b1bHQbukSNp1Iu7ow3rQZ0GGbGTvrnNzGr4EtsF9osxQgvqBXbqM
ZfJIRNd04Y7MOVLb7UfljukvK8jppceRfvY8cwQhQr1Tr2bGxygYVnSNIXmk/Jd0m/FlhhI64IMv
ydszxr57llPRnWxwCs7J8MvxoZ9liXZJqAFLRpDsSNRggq4z4zLDFaOSdAtJRmKcr2u3R6Mia7p6
EBReiNEwT7gQOIhIj6ZNbiqeZx69OuoYYvoaIGhbICERSKjgSh9FJV69UnxbSDtfilo0T9VghxtR
Tcn9VHsPU06SN0O045l0Ue/FmrLxScygodL0qmi1bkyMyTe8P93FkdZ0A6rfr1OEKAerSnz8KuFw
Y1m5uVluHWdxPx/caaYQEc0DhBZjmxMSccEBli1DZ8y+xjHsNo0yjWVbjAmlisHqgMBqR22YRMum
NknRQ/7h7HOva7Yj3I+PImpwifSkzv8ir4zzWFcbAnOKng9p4kQrYN3BrrHLYtWRrb2MyIFbNvZd
GlEOPktTVO+LGkz1HwY4yxsegJxWRPxJeXOCnPA9n3dVkH5WyCvN1uSAzc/a0LNN+anetKlqI4On
kVuX2mu6dRFAAhdx6R8GSUsjLX8r+jXuxJ6Rh8O05RhNNNts2WAN09hYhl1a7hoY0HRYog8/jr9Q
KX37dFuXEVPsJJSgw+5u7s5Nt3VTfWeQBhcBgNQywSl3jyCpsxksQzE+Rm30qLzqbSLuyYcIsZrI
vl0IOePGi+I1j+xyAII6Jp7c52P9jJtuh2Jo6RE0tpvTMl86Cs+/w1Sov+MBva0/0O4pOvJGTLHT
RvOQW/ZuSOdHu6H7PUuXiRA/cteR+LKx+wg9cq0TislhSH949dxuhBelR99LsmeT+deLU1IxVjqh
FV5Ucvu/dAX6uGV0v/ayPvoUcWwfKYGNjfYjDFhd0r3+oZj7/xgxRb2IFC9Aovd/N4Oge6/az+LP
hKn//Gf/dIME1j/QSuMS9NlfPISE/yRMBeY/cEcgPUW97d/VjCgz/9MKYlv3vh9qW8MBNogQ9v9Y
QeQ/sJW4GAZ8hJ24TNz/J8LUXf35J3XoXU7p45VA5OhJ6fB5/1XmOBENg6EQcyWCEJo17Dtb5aAh
alN5stou2Cfh+IGTc1o40fBtYjw9Rk5hLf50yS7/fL3/QV/kUiVl3/3H/wz8v6hx/3gfyFM9x/Ns
NP9/VXZaQSSgBIQQrrIu3/Ue9YGVESwA9O4xjg92w5N8CQu0X4lKF/M9edOMwmMa8zw1rfUyNB6N
wZ3u3jg1AwA+WOlUgya6F329v1Kud+DkAmppZPjp9Nd5mJGRECvp1BimjeFVdSm2AMYMYblOi+4y
ZdNZZeGDaTFfhnUQdsW7XURnkQKFTenHDQmhCZ0VfdpMwmgD0AN0XNjh0B/aej3xQitOdzR1q+TW
dfWLNRNnHM67NLIuUAssKlLYDVzYzrL6G2SZjGOLJqY14ngzuY9jWWAMBOk4m8dKVBu3IXDMfxeZ
5jyZPjdu94BCfoef/qGMyVzMmDp4zfM0OR9+n3OsmrJTYMOZsqPRWcIF8neIW96DqjixuD+4k/Nd
xcnON36Iznili7GIeu/YIhJ2Qyie+JXlJFYMyZqF6fE23MCk8s/WdNZ+Vvn4lTCY3w3aIls+c39j
YAz3ONmgJmgLAE82ALL3NAohdRSARFZehEVNSXNp4aot8mjfGk8d42zXsFyUG+q5maKLNHBmkk3G
1cJ5QZI5J/FV7yqc49Zr4fvNwhD2wu2em3L6jaRlP3XGh+6IhKgN4E6qvkVEIs44AclxgyQ8kUQV
gmvwglduLwLTNwgF7AU5HcVqIl5sNpD0i/AWIhsbXeuJDmwJyGN4hUm1kvKrKopTZ4yHYZzSJSiB
VTVptZA97OEWsUAW5qtg6n+kHIcBb2rGt/mN8xqqB/c1KQxjQTzvV9XQiyCaeFV1KYMZQ6yLtP9l
9NQUIZxZRH4PPdllFENLZ4zf00K+2MW717b6nGYqex91QfIOAtFpvCdDqGDRupHaQ1ZeeWNGpF6w
cpty18fZjY7ndyaq46zPtfPa2eTyyUbgDq2Nq9lj1xFKM4xN320wpXds0ooMqYsOvcdxInrZdag+
rLM9X1u/PnoGmbltzGDYniukRB0qCRmtBje+9IAD1hGNLQbSdLTBOeAHh2zlx5cxko/Yy8EY7Tsw
iku6oAuWg0tCVN8iCqf3mp6gztyfdI7XqSpRmQrZHptA3rkpWb5MXGs9Tz1JS8lPJ/c3TXZhuoLn
WF6LAoM5GXa5od8Mv9iNRHfCZ1NY2Nx3QZMbsd6WW8OjdDGLvcWZazFKA1TH6J4q4gKptM6lqZnp
mYxYB+8jcV3O4QkDGboE82z9b/bOpDdzZM3Of8XotVkgg8EhDLcX3zxpnrUhJGUmg/M8/no/VFXD
VeV7u9GAV0YvenEbpVTmJ5ER73nPec6ODeMN9Mm9YLjK2W+deyy8YaW/3F7eWgF2PwmrTZkEsavW
uYkU0J9EvedJdYw650eRWEcajO6mhRogRZHtkjRnt2AOFywp8a7wRn9DU+59CNwWjpN5ExLB3+bW
bU0bp9mYfPJghEPTOPpldJVF+bBxAxsQZd0jJS41b65z69TBHYNktZrg/ETwZ3sdIC862lrxpvnE
abMh6/qcMUu5/D82IqZqjjD1BrsGJWg1u/36Jsjbt27KygV2ptel5z/Pw/TgDdTsjepq9NpzEQYr
1sKPpqFu0KzesEm/i1bsiE5fzKl7o5DsJZm8bN+W/DsgRU0GkIOeBLoXiftJGvfK5+PJLGDQXn5q
O5x/XULHSUU/6EqznD54/nBc0JtC2Pu5Ln/ZSbYHAfLhhzPw8Ck44m4UV1XAk4+hmBrtyv8phPdM
9x27+ERuq2HaVTQLrDUlwdvMJsTbWPnBn9UHsse4qhpqGxUR/dTlSihi40kUNoXuEwMm2W0mgpdK
5Z+T51Ws8Tton1nzESceDwYBY90Ob70KbnPDfzTw0zFVXM/CRJSkKXnf4NUQRXicQ/mzYkSjxjBM
N1bUXGY+VgOYatJTcp3gU5UFPQHfgCFccD4DZQhvdgwwFSRnHr1ja3U5xmXjFpwIOqoO8c3GxpU0
HTSyMCL8V+6bOb03W0CCgNnwWHf7yuP3ofb5JDGzuB7F7ZBwZnkaGjBb9cnVLTd6PzoUhKTNKTi5
zltnJ09B1mzBHKBkYYlETKJiisR7AasKWHVZu5uyeKdc4JrW55e+to5jqhgz5Xlo2sPQlztqVzeW
6jEq+O7RjFjHJKCdE++hCoZN1UpGCvY77cuUIZoM6YGBEU+DhQeyvREDGIelV8RT+6gNko3TBIfZ
0PNm7OtHN2g/6oSAFdCm5OTWL76qN07aQYG1WZaJw5B21I5fxtneZDJj6ZPXd8bMADTy5ipxJauY
R95wvFtn1D9L2gLpoC0880aPvzIGVfwEu5gVf23av9qgqLZ2F28An525v4FQiH4BlfihQ3lju+21
7daHhTRmTsMW30m4cmr16scIuN0vbNdrGHq3M622jcPSvhp5CItXHpHnanJOXvqOQ+st7vP30Ig3
IBUundndeLFLIySKtAj0lcNLC5nyrm6KE6GL607Rsl5mbGEybDlGupkM+am8CmKnAOUwXTGsZAAj
7XWsLLBblGVa3Uc3d686Vls4vIfEir/mOv8kFI4QcuVjKM9HscJ37axcXV41QGioEGjwhK2G6EFk
J5uXAjl9aHxlN2805DHZdrhqQW7bV3Psw1FIb0zF9tvvt3aKpUQGnJ9Fu3fHTdpjjdaJeVWEiEkp
bTihTO7ggaJ6ITahfukQXGLWvumrPL2I5imWycaGhs4C/7oE2Y7+R76qj569yHNWxiy2OYLBEN96
qIoMSek4HIqs+SHVeNYovGPFB1iLC7VC1sqlc0Wht4cNLVEjDaCe+1yP9aequmDbQg+kpYhK9cpA
G09agOxx9gT2Q94Ns7LWLnC7lWWiYbtFEe1BDmHyqE8J+42kFQRbpXPL5uotjKcvEXQvTZ/ukaap
kJH1c52Uh2KIn2PQv44zrFnn70MUHXemwxEDNi/eJPDZ4Gb3VYl6HTRMdM7W65Gv8OIOjloPerwo
xa86I7EafqWwELvorq3UCVvjbdBGN3FzAkGycVNvPd6Ps94VzU5juMX60WwMUY+bRGvOj2hrYCfH
Yg3CDD0vHvazego98RIO5n3UmbwP/H0UPiZRsm9t59BF8pag9K6su8toZne9dZvZ/AIBKJqjd8Ok
rbbC9VuwEZriz2FoD+4Au75c/EHVeBoVG8ihcn+p/FnzbLJBPw3s3eK6gJPFIFHi44brZU2sKPxH
dwh37J4/IhKtpqm6DT1CdPVyf+gM7yVpbRYF1TPdXtsZ200nzjRBrCnxbjlogarB5awy94HWp97Z
hsUkiQGQxFQA7l3k5yx7Ck1wVTlo1pPyIGTQNs3VsplPXpAnV6XvZl+GA/0xB0d3DAK75g5Zq/YV
cbh4riDVrHApd+uefj1w9K1/q2LTpz7V7n/0QK+2sP7MveNApsFiFGBrQNogvj/SVO2YX26e6jvf
pn6a0AFQcF722UGJMnkuPKIQqZWp+7m3+SSNVr9n3IYPaVSCfI8Nx9q2JVDRmIRnt9bQ5unNIVEx
ptERH1R4YCVt/uRb+l/kS+ZPaLTmIXOmdh+QQXko3NreWYTxblA06pOZx9nZNLz6gXmP+zEXs3HV
gxi/q6g8eiRXt0iTFWdLrIcja/4Sd4MMj50Bt8TDA3uLj2fcBBPKIdYrkWCrStW+K8rqKi/icMtZ
A5sFb+nRUGVzJXIvOKV115xU51GGAmGvwR6i+NwLt7xqpYd0L6arAqIm9xk03ofCbz1snOb0hZBW
YUlyqRQCT3sjyRq+jTYG1hjFEayuzfPjwxz99GO3e6Vp2MFn3ev4Rvat8+ioWN8r25zumkGV19ZQ
O/e9jMebulDE0uUzLuUVPN56r+Z2vA8KSz4ZUk495r4JOdk3ht0IPWUjSVfckQXq2BKw3Jg4MDFK
Rt4hKzpcZ7R3fMZkLW67dGhvHatt2F5b8TGLJgKpDlBGFS4cP0wsO6gxIUgDzkHXLl3kSAQqOxDs
tmRMIEcDo8mWAXsRxCe8d4TtkpS1A9tX54UmKfg5vJ7eYycV1yUgzYOMPetsgGbgnYKfLEuj2wI+
lgYijha/7tt0uhFiWjwz2dQ/NPxmTvDOGsoSisLKN101fzlpjCcVGRuka9A/Yit68nMk5Cp5c6P0
ICHra4ra5UyJpmyjg+GO1MVhlC2p0YSAs6alJtxIMpAOyNDc9DDDVHRuAgJFmfpBzcbahtop64QN
DOhELGMtGbScmxsHg3SIvcGhcq/9UJoUD9YvhHce8cMdI9O/TmW3kda81rHN37jb98m1MOtny2oV
9rDmFYyTJtodcaPM3Mde9k+BYeHjptrD4E0UaRYiI7hdf7rxWQEfS6uSG8cQ6SHLseqjht9MMNUX
bCfrv3xL6f1VFQ0NUXUu5Q12gk7IHWhgLL6G2JRkR146jSmgaM5KU2ejfFoC8l9l/odO9jX+j/Bn
8Q/EDnupfPyT6OJL13FxFTrMmg5ZNFP9TXShLoQbk+MOBzd9YcyPzjPWuZtxKAWSYjqdSFxV12MR
zne8n/T9ELnOI5vX+KbGBzDg2M77Vz/ps0/v+1FJlqcGxKO6dpYnSS/PVLI8XdXynFnfT9zy7FF8
mzwMNlLrquDR7JZn1F+e1ml5btPlCQ6+H+YxtJsTkRV40AHP+rQ89SwbS4a6Itxm2VzR/NGo/dAN
1FkHYeAf4yCZNrlVB7fCdiAhLe8Wa3nLzMv7Jgx485gtAaVKDvbjUoR1V1kN9/MQQ+kDDTPNA2nv
7EzYnXQJsLObcGYaU8ubTgQO77zl7ecu70FneSMaYWH9FMtbsp7a6Ig0v1KEqbckFXiZgkkqODtD
sc2+X7ZdqobDlPj6PS+5Z5TmpO5lnKittkXy3NuagQELEgKKHtxzNQ36TqqCsChNS1u2ofhyMHW7
34cALleo4svJ0CxnRLCcFsVybsSRmn6Zy1kCtRvm7XK+WMtJA9OAQ4efZnGEI6q21XIm+cvp1Czn
VOClegHHXorlDNPLaWZxrCHLQwzz52b+gUh4ZteFuF0Jq3ke6sx89acO7t0UpeJlcjxErawT09ug
Rko2J9uP2UwgQJGRU9vO7bElZVzgRITnyaZ4G05Tfq01YCFRCn1d9vzm2Wm1KxnaDq6hVbPGXxd8
yAzMyKGgLofhBrf+rnFMr8Zs+P0dQQ5klAH6jcc5TeqBX6Zc63VDvfNtQakfNFohzlnMS2IPPYB5
1bUkN4WsNXIQzGBhPnGL3uFnVQE1Q3g0iVHY3EuYFtYd1TMIXhmo87j1UNWcctz2VXWvmTYPgyHf
6hwppzN7JomZeyVG/2fa9DIOm3GrjOAxjqvHtNUk+4a43sxGnl0PZt5ufQb2nwwxLwax+Su7U2rL
Zvipj7h69vAptyY2H96w2l9HVZgSzHCNix+Ni5MWdxl7tOjRM7E6uW0Tn7TrPrLLffRZJp3jSiWH
3OOa3WXmKbQt9vu9HjVbip5LT5smuHddbBQmWokV/ZomIwHrOWtuxUm3FdZ0odXaZMHIfz7wi7GO
vf7V6Sw6L4AK7XJ3lOukLsS+mmhdtsgZAIaWe18XUGxzLMDarJwdYiqyill/pJ15x71QwOwcSTFa
w1NJeV5Bf/zDYJSMY36q97Lreh9rZVJcAKwDuk3CYt/iWNoOhmVh1XHLne/NRBBl3+x6wbNW+Oia
QVMwgYX4pei0fh/owThOVhK9RnMOPDblBuGU9T71/HZPkUy9x3zT8WsVNasqw+hVW1hNWhZtIBqB
v5n0WGPKdCSno8q4WpQm4/ytUxHNC21uTBOcrpX2gwKqbMtPeGJqxYvjrgm1PfJ1zjEkdsSxC3Tp
CXB1fi5ah/baUkEo49i9KgLvh1U22WMiQIIRbTYPBjENpphfsU0fZeZa69GCfE6UVV6XBcg70HuC
wUb/aBR3ijRuONqrBifDnFuLc+xzmsTrkL5hwb5qWSBiDKBgOvduabITmynJf7kNvTxWQQmW37Ew
SltM/4bvCTzqxCQanAobELuUlZkLxC+HX1xQHvrQW8J8AnnfML1aXyPr8q1TxU9enR6smhcXaRrK
UNOyXrmhpS+hZ58nj/R9Y/N8EQ0dCFpwHUCQvu4DBzdIRz3VIWr74qgFNLIQOvNr7C9DZmhPu5n1
41IN68HLjtt+fifPnuFGk3rtATJcS+hjNx5Ito9YT/YxJNpw1oOKj2krm5ug8Npb2h7yWycwxs+A
98/ZEpV3GJcbVb/crUhvdNf2ct9iV8zNa7mDCaOlqXCA3BB8385448onf7myEYPCYMIn/r1l+H+9
oPr/DmnGTKuAj/zzHdb5J6+Cj7+ssH7/kj9oZt5vGA+BpVjsnEBCWdxn/ihJkb/5Pklu07WwpCGS
sNz6Y4Vlid8807c8JT3bZxZzYHX8scLyfxOSVRN/nuDPAhD2n1phCXe5Lv1phyU5+qhqccj7U7xt
2+4CWvkTFUR1sTEkiZVsKQfaukFB1UhXULi5BmDdXfIYex9eV3F2SfQdyKa0R3jJKM1+pkraiYz2
RQ6SsTenzerVLevBWYN8KY5pYFHhofwEmEZFEeMuxIpyY+rW9Y+96w4wGuln/5Kz051ZZaj61Jku
3t2uiLp+F2L5i7hca5edCQx54lhRuahHNMuwU07DH3npOBmmHxoxNr4d1zjfU1uj6vbjmJ8HI/Ge
TMxQUCksxAJnNoPz3BCnpoTYdF9gJoqXgAXjY6ON4YZKXxYKPWm3FZSM8NSDR1vMPYvM4aedOgkr
ma8BUuTjCh8cPZ54pGR/Av0NwgW7JO0f7qTFg5kPnbNLEhWlBOlmHMFJaJF0GDj6icMnegxutNd0
M+m0GcGU2m7u5E01pMON22decyGVjuQngHql6xKR1qO40RrJ3lIsQ+I4zspf1cCFR3RG1GzNaKov
BUOFA/GioUKAWzOuUDnE0wPuKXaNQSIivWPLkLYUbrWLUUcZIJZAkyRfrDvmkoOnS4vN1CR8Axm6
/qsZcV1OjEAd+MnIR5MM52EKguk6KCZFYrvHCAL4uB63TWMWT8K2qeYEEDEGe1pEkhNBJqQhSYTt
GWeMd5dUpvtljj5qS+fif+W+NfLR+CTe8KnGLnKG04iXqou6Fz90JJW8qSQO75sQ3/Hdegy8yMsP
Umc46GO/QuUvW8tgjzO2eloHWThu8KCwHnBas8+2XWfb93Emi4MTVtFdk0nYLL0Vu1+WqenUJFhL
gCIhL3FNHbE+qxCzEOUj7k+JhgaAYHYoWsY2N/IRBLM6EhCMp03lwFXedORr+O8s9x0rEQZiLtcg
pdHFOJfdTJZyN1B86xyYsGZ2Vx0taOx9JFa3rmdrUlHlzrbGXlaQPmfHRpZE2FewP3hnm+hKv1xr
hlbCH5EHeDxLHF/4vygLEn7V7QILG/HOtHO2GD1GVlGCytwlI/8wXHaKBPOUTwvdVLT1pYK8/APJ
KjSPfmbgaQ2crkYUiwvAaBi2fO4Zdps9KBWR4fc6ys1WWI+EQWWGrOPnkrEIkM+4pXph8BDCXQXn
W6AgdZ6LMdsb4gN7l/g5FwOpZopxkDrkfAkVsuKke7GrRhHQFJEM3nBF0UVr3Vl1VDzXA72TPWFx
C88mtiObosiTJPj5EOp4i04/9fs4YL9+zOrFVp/EzpXZMUatWn/ZB4VkQOTKxOhYftpY9S+i5z63
Tkp+T06GYJ56ZnqsKD6bpp7APPtjN9n1HW5lVP8+pkI1i5PoMzAqRsQudz9RFDBHmSE43uNAYeB8
EyWpBe6UR6bbqe9N9+CHhCZX1D3b/tGl5nTGhtpN85VhGPFzO7X4TSu7dbpdN8qJSdHRovPAXcPR
97nyaZ8QeeLRCGpU1Ucxlue8WbK1ZkJEHnenyZO0Lp2Oaj/H4V+7+u9OqSazKzt6rbOxvG1E3+6t
skx+x3n91+H+OJU///VfPn6w69tE5Eiir/bPJ7XN8cmp+88P98ePLEr/2/XHj+4ffNnvB7xv/mYD
KiUgQCeNgnOH3eSPA979TVgUpLkIFv/mXvm3Ax5XCwTRxaICTxTJU/zpgDdBV/FVkhcbQFO60/7X
//yLPtL87X//xRzyfx3vtlhIbcLhuwlT/A1gVlMT0LkjIPIoLFnBUgCWGNV7Ju2QyEa7MtrkJJtx
PqAL6//Al+IuHpy/3C3w4BARUILPxLb4F/0N0jYaXMwHD/CvhT5yCFqXlvjlfV3TJrtqO14ocxqj
jje93ne40C9tYZlfOcLcVpUjw6fmhkwwd57H697xsU7Oo3PO63lc1U5kn6oax0GE0ebKpgNw09V4
AAE+zeEEPJzKprr07kh5OkjZGQn9immT6Jha4xLhD/TmosQBOVg3kkj38o5urlgSkS2gaRRffTvv
li4PPI8UG1x7cjYeLbNqqE/O7PmunkJByXtjPHqz5MXvF9AqbHIZnmfLqzAx830EbeEpjioWrV6Q
rtBEZ7rS3W4vJtM5Kyzg+4W1TjBESuA8tbGYDTxtJAfpVYLGc2wqm9qIuuFokKi1zxWvK4jQnh3s
w4hXWE3bAE1ymPLe/UCy20pQJO65joblmvj6Eigy+NQaezpMfdxc2rA2CInB57mDd9nTNjCZb0Rs
G7LzpJWntYlcuqBWhuF1IPtFnsAfsofcbl5QFJxtH9BNrkR79nN5VlDOD4B5oE3WfrSPK+Pd7UzF
a1qOLnBvZua0azq0Wkqeo7Mb2yPehWxkV1dWMz8s2usJZGb7lEveXnAZWDoe/eKSY/w66nTMDjYM
iEeoGzEENzbrUd3Nu6bxje3c8eNurMT8SHPX3Lp52QAQ87Jxn7BuB4E6XBThv11S1uWVbST7QsBB
IE6ngbMYjX9Aj463iifHwcrSWZcpGnS5JnzoreuY/OmuNFJ+/AARKHMq5TH0/HGVG4J+KppeNhhc
mxeGR/+FvI15VRLMrMfQOfsW0yi1oeFSlonV2FTyykYgfOypC1rprGs3LO0aNteEnxxu0M4KewSw
jslvHmlgT9XKAcT+4IcNds3e4eZerCeyl3qDERdDeUOv5nvsd7a1K11fmHzEZg5vp4HSv9XW4CQ7
Oc8Zg/wguEZlVP9e++B7P3MZtPfcGtDcvbjFI4mtGzkz8H7OoahxLjTqqW0b/EqT7oz3OBLjJYLz
8WgnVCvS+j7iEZPATJCox76oN0HvBMPOMoxqz/wSk/KmEogxOKnC4tgm4fBZTiMJ4T4W4hLXpBHe
fb+ZaDRzJvzuFqYENbvxZzPW6e3AYUxHbJc+NpFwDnlR4X+JnAOc7l9zS2Qhq0cuOblt/woLr/wB
HTU+TKETXaH86COSJ2wOfEg5H6fdX7tKc01xIvAE3Wi1T6zg1Fcc2MHRKNx5s3D41nkzDLQ8NJlz
SExSSZvIaporUhMa2ERev9hBWm3TbrCuzWJ2PoK5z3eA8KJfAgvudmAUuM+N3n+Acml9ADl2by22
ybTZB3yEo988YaMt9mnfmJd2DDPWzE71jPPefgJCJI8guqgyKqc22MALBLVODHTYlw3aIv0B6dis
0TCt+otgRh6etV2HqJRx6kssGFExsFRog9d6DvYBVIRfrOZc7yC5KsxbizKp+SAGY8ZcRCBqW7hc
OCZtc3FxUDLZwHM9X4cUWbKVHydoZJaBVWCMqb/mN20keRAgVKwJsUWQCpDAtlRpcB/WJDwBJpYw
KzZc+blme5WnLm0JR2K2JwuPtMT/vsS6/WNQ+da7Yzjqtqvn/liZXvDS2AxMm9joB2MT50NkbIMA
mtiZOGTwoV0Q/PgN1XCGzTQ8d3GOxBGIOgo2kARhg1S0Xy9Ln34bUCH5kWNSvG5r3YgT5QIKYND0
NhHSRzsCp7fHQ2885CB+fxIh6o/NXOjt4IkeklPXkX2f+qmtNu6U5a/88rNCzWbu0+thSpRN53BL
20OHgGauqqF3hzXAFuayriXhyXhVWm8jZpMNQmdi7TJt5jjruqp9Q5xtJKbhUr4wCpivFQYUYoGz
+Io6Ani2nNVGwdjYUX3U3AAPUj8aJutrkxKbeG8zvlAv6s7Ut6VzUOyncMR/yH8WnSuS6QU+cc9+
DLjNctuXPPT4ywhQTXHNXyBLZnyMmZ6HALNgjMQdJnFmrJKG6mremZL3BQgWAF9FQtyU3YPTAZRg
sh93fjKUxj5zC66oYjl3fNspnjl6AhbjceyRvhn78imJ2vmcEPfY8SOjVDv2251M0vFSgcxjT67o
0iEF355IYDb5KtW2QX0x4U7IOE23diSPQ8lsvqbI07ltqALTW5V59k3c4zKzJGpDSEvqJZvqgbfp
rM9A+Ya9Tjqu/rQwxOjkqC8QNUtb30OIstzNAAaTzsR+MJcHnb6Fua3FNgT++yOeAHOsoSmrEcOT
an7Vk+nfzHNiF2uTpPyOGB43IVW0+jWTYPx8hHogi8Xebt3xVg8WG+hkCJ9xLX7vfbx1QBCLlI1G
FsS879DjrOpLo0N903gNj61wDfmU0pb21dPeyTMTQXAgZzNR2aGpFmOotc2VLZ36yp/1hUYE7EY9
B3JXURRkFoQMPaEf8UwO1/1c8sVaEgwTSJK3KaUJ1xIbRo++bUT3IxWupDpa9ERSckSpgV0V6T3Q
dogpxWytuZPtIhNUDBfYL2ZYBy9vfZMQhsKhTwpGxiXfjy90d4QJvFNbDMUef6Fg4iz1Ti45HghO
uX9LcyUyhttYFMEkAnPeit0XfrjERy5QEgR1wS8V9yAuQriF9HxNVBiPiR9RiecKkv50LEW0ig49
f6Gj0JmsacQGSRY1Xf2TIQqlW/pR+wXdvKbMql1aBfu6LA9eL8wLTsAexqqPAWAdZx61a2nv5EAb
rCwYjnnklvzRUG/wUn0rBXKqzs3Uzos5YZESvG9ZoVwUhnbRGobKTLfetwCxXFXcVfstTKDhSZyV
i14xL8qFpLTnmcDETMqjj5JT6NulDaaP29e2XrQPis2bcWt9SyLZpNRt1ZTzNeuD/lAv2gkcenUw
hYiZFFFWQP0hsozfgguArbE8BoRaEv7SJOFX/TLrQXJK6SShFa/+qb7Fm/5byAGXOD04v8s7zSiI
0n/LPuZY1JfOULrZTmHBFmJRiNpvsSj8Fo74uSAiMXwiKCF28hKL8NAAq/wWnfJvAaoODcQo6oH7
eStDY6JNCTEl3wB95adefgtZrPwQtYBEts7OWbSu/lv2oowyNLdxL0R/IrDc+ztr0cp8qIOnrvdS
HHaZOXIDhnu2siaJOhTErMiQNv1H0uvixVsEOR7quD9Z8KPP2SLYzd/aXb/IeBP79/zM/I66Z0YD
QIRkRDHd+JGqubJSCXSmzdL4YKiOMGEYswduyuQatR0ESY21YHLod+23usjPBKVRI2a9pGkfP9cT
/UaX+VuVdNohPKZFDdqsroyfpgWPLPlWMU1OleOEK50w7CJz2sOieEaL+MlPu7xiFc8CYl7EUWeR
SYMmFedZhiSjnaC9gIRAT3W+tVX+6Vt2HEStRleOLA+dVG9wiAcNulYzEThUlfNItrLCM/OnyfUf
rM6tv0u9TJnKJPtCHhqutZRMvn+Weum8bLs0ki1QIjM9QhUAZ5k/VFb5aqvsQTg5B6un1YZL5jtc
2fnu3//+i5L8Z6V5+fauafqS250pkZv/+u2ToBFZMhiU5CzRAWMuc0hsUXr+97/L90T792+jxDJx
Ev4wHfW3oXNqIDKB++yACpJdQHIr6ZA1bMM/SD37/Trpy0yshKJ8jAgf7gUxUIy9skBGv1rj5Bwn
A8ipW2btfRJ56mr5yNYudSTXxlBOr0IwKEAhCPN1x7nY3tqmi/3z+x/xX3rMf6DHWOywMZWY/Mz+
uSaz1vqjbaMm/Kj1n1WZP33xH8qM/G35NaPFHHw7nS1LJ8zvygyaDYkiNh+eif3997aY/5MeQrPB
V7LIM47nWvxd2HS0+l//xfJ+8yRiCjcMiy9lkP/PKDOe+rs84vrwLYXFmCmUzff7G7DfDOI+4f/G
nQfbQuyIE9VrkjTCZuTLAdnA42VKrYG6+BQeBxNkJ29xmspRjAYHVivXg3LFJR++HYdFSb4tyKoL
MaH0IYkG49GxAn0Mx6K/dbNc023hmeGuJla7pxddbT2b3GqTN9Tw2VxG1hS2+LSqa1sfgtFNn+eQ
Vrp1kJIaDC32HRuKDPw1fPXpzh0LnqJ6fgg7e1rPxiEF4OavRE/ROne1+qx9la9Hn8XTDmMldLNg
hH2/9tLJGPbIxRVNlRNXxC6dzYfAidJXexzDB0C5+cY1RfxZwXG8mtIFnz4Z/fwZFsrBw8VZ1rZd
/TGIgderlSwx/EUKsTFUFbGVCHquWKYCdEpvStDA29zg08nFeA5JjWytjMpZwkdixzuQHUUXlZu5
cK1PP0KLWEL0uMuADyZg6Nzkc0DlHdnhpOpHWBjhk0DGWHwFCiNv5BnC2oSizzetY1ILRn4UXZ/y
vDgOxSnmB4BjvwC24sb9mWP6eYryINh4YoxwXEA2X6dxDnxoHqt8q8Hz2xteJljR3SH+iHKZ/TRp
LFR7UgFQ6yr6rQnJqAmHvAJzUDqNYa/wEwk+h74NuXvRIrYKDZsaYYFzlKX6oHCc5uWbboKGe3iX
Ms7A+0FqJnKHGdgouPemGXELsuL6YDdLhSnjbw/Bd/DR05HDcwJj9JOtiqAG6qRVEB1SbXY/yjof
9M4GLoIp1oCg0nErw6HrTvhiOkCdaN5JuU35tX5qpS1uE8paL4HbNY8618VHaNoEiN02r9S5ZQdP
kaw/ll8VLs23RunC2uAmJJHAnql8h5EKfX+2YDlRx5fXD5Znq1spLSPYzOUAZSwpmlvg7RWV7Lkm
KaVGv77DyDA+N9LIamA0pvGzK2OqvH3Lql+ll2SfVFYUe39kSsDUpYbHhoZcPDBthtpTAzeeDsMi
yMES0vmZDT5bM9LLe6NF3Ar1MDxDPinvnbaYgaDRBDGppCKWoQ0iyqXLnMAi10TYcMaKLapIPkMe
ruVLg9RaseFLq8Oya6u3sl/Wok7k3qaGYxB0kulovoSMn68uv3ITBKGCgs0g4wfos59lQJl82CZ2
xXKjMWuaJT3qU4jwaUBfgfszSMX8NoRcTbFI29lgf8HjQgM1k7j+dLwxw7VoyfFt7MF0V50GIGo0
w+M4dOVF+zawTUeKUw4UBNkMVg91fxEUpWlsXubGk3oTNq3cCh9oUzy2ePDNGTMK8bSSeykdjcnE
gms1+sFhmjQGNDZDRZWW5ATw1DO7YVEAybSahRc8KxFn67y1PbJY4ILXhtU1YjW1dVmthzADQD/n
TA5yjqhVzYYxAy0bgLBcC11FP+Ou1E+zpzUFdlYSbqvWJtlkSDG8Gjwo1g64Tt1hPalALtkxu7fQ
aA3ybBGyMrOPU92WU5RNO6IzzPwwi8aNhb9n1QKDxejIxvK6qpb67ykvkLaypnltUDPWEf6XJOtj
inBr3tP0AbtnrRJNE3xnAAKdVfVktiK+mn2BMqVghL/IIKwvNjWrb1bvxUA7nIyCPQBzXIhHIMTI
DBk1fzAxvK8GQ8shzEi7VZEs6SXvixNHibP0NKbVDwnNbMDOiVmVD28YriByhy03TtQTtNEY8LPR
MEytWQYXPn6iCokIOCj2zIZ7vb1JTNX8nEBQgqMYl/RzySkj++xQs3M7QYXNbzI+KSa00pkjSknS
pN2Lxm40sQKSTDJyW0zVc85tnlwmSBArdR2QRZ2Ns31Wpmw2/GpWv+hG8U9mi6kHia3BVjqPvJxU
CjLa4HFrZkTwDeu36i3yGjAdNO36d21Zi+fJK5hS8dyKi4nb9gmkUfXqFbF/AqUU0izstQvLsAzt
m5LF4I0rlPdU0ZfBx43zigg5yQN7N5UWjpwm6q8mryUqJkcZPiurMwkyYhH6ZVam5Z/5G2p743Ij
J1/lT/5bOyIHcEAJ9gItwO9DIIXDi2FwXMpFvPoCoyi+JpYvdtT+EGtHHicsatTYvVJopBoNJ7V2
RlVEl3gKvBcGtmFFAUB2k8TKXP9v9s5jSXIkTdKvMi+AEhiIwSCysgd3OA0ekUEvEI/ITHAOGMjT
z4fs6pmsnpXp6cue5liVxD3DHUb0V/0055APULJK7qlPKqnyFeI+ZUXaiipuXobIzJ5r364DQVys
NtF9epyh91k+WwFdqPaxcQvzW2NWxg8rrUgSWZHF/cGm0pveBZyQceKE3+gJ9+69KvlWVaZxzwA/
DBB/VuZMnGb3RmqJLd3GOOBQ9SCJsN8tMRPJFefa82OLt7OXkgYJc7iAfBNyu74Qmgv3E7gZckNe
NoB9rkaCcL536iOODhykl68cKAWU0yZtQb5V8R2Wku6a1jpvhz86+SBC9V7U0XKYBn86hAm3T2in
gLYGmAGVGrNHiKzlgbHHcsS8Xu4bEmSS0JQFMXlsVDAPMflIq+us9saDGfiRx5r6CCWsSe3gMgGB
KFvTOeURI+EtTA3nBP22/4bxowK33MY3Ppf0Xd/hAyhgASSbrPrVWunYB4cFaIvPT39z2VoeyEWi
ESEX0y0Zc2nfVebYXRZQxTeqgzu8Y0WIQTyFtESbGg+IMzBqI5Ck6dh0vWsz0vLJdmPQ+ZCH8L8i
gx7ALKpbqHVRzwx4DXX4Zgx0L/XySz37IeHCLHvsPeH/bGlM9diVOUow6qlJz4om6wnSzqDatwTL
yxy+n0PxqmvzEW+AMYXHtuthZYAMm1/xEaA0Z3N9n9XlmgzBqJZsbJSci2Q4RkQ4jeIX6SAQ7Edf
Vcbt5LaExqN0CTp3DMODHUNwxjo/zOPJD72uOvZzKl9hJlvPGLD1oxc1zaHPCnE3WjHgFBSWHtec
wfIgSy86SGAx79GcVevUzID7Sy3oeWjM5krGFDdsFsz/wMBsDJwStXXLbW144AA7NhtoSvFbLCgW
3uSj7oGPZbH9zUyn5hVnbH3vd1h8mG+iOAySwBTbljMFbtPyibZtgqgyF973ynEInve4Pm4NHZZn
vy7pHV7A5W3bsTd2lIYg+CBBUUrSOvOlxyc7M0IrjZ0z1/oztfKUShwbrN+Yxf4xHZaRShiCh3/7
VzYOBt7aafS7r+GRpMSYRlrBX3k4sdk2SUlB8kj9etwUz+B2HgksJVAwou7aL2LKQ+zQ4QuIQHdA
UvSZks51H1BNywcfhtJ/rQWmSTBtY5RxFaWbGY1Q2S8gTZprX1TVo19V8hG/b33D5YXK+2jO3wwF
xh5HSqe+yI3G6HqGCxuR4qRbaoI1Ocy8nz5UMpvzuZpsPR8zX+jsHJeWyLFGMkUl8eR+hXmE/7Q0
MSqVOA5zECweNlarVf4tFUXLEaik+mGITv6IorDl4o1aj3i+mAqvScFnTf7ETqyDRWHWs/Y7C5RL
Tm26gTRo+gWuZT1XeKxUTJMXvKVHb7ZymiiG5X5J7B4OzLr5ArJEIxnQwPUYhY9zPHefU6W6G49B
5LcWBKho1qZsiCPyEldJM+1GR8U4kkMfHJ8lSWyipAF0zLwxMNf55iZO5obPOV/zKEj4GRg0ypRP
k8anCuCzAmKYD5b7ZkaimTbo+8DizQSvWWOa9Re144Q6qxZ3LGBGqOFj80oYAMNr4/rHHDTEixbm
THhunqITBKuu3wu8W8m2KPuIKBAjZXqwG/NoecmErM4MZYO0RpCGSzKc2bYfrpPYLupDJhWY5kzA
WeBKkBxlO1rHejKbbNMjp+2EG3MOnVfNNB6AXAeUSOELTkMXFRhXPB8dCNhzUaSh3OiJsxyAOAEU
dB3MA4lZf8DEOQ+uyWAN5r2BmmoI6xHzsHMchSw/VbXQ+MQtu+cV7CIPBsc2nsyhHe5JRbav2dTM
pwx5mKMqG/7WtZlh1KJz+RVtcsQwrOqqM+f6mi5rilMTKmfCbZVX6aWo8jY+WqDP7wh9rwyurPYc
ngdwPoNf/Gx7G5PflJOrbCGAGW0CDhW3eoWFwXXpXZjg1XGvNHEyh/7jZKWomAoaLT0wg8wwlmsO
JIQUcVwlLlRLEEl0UkedrI9d35iA+MrE4GoaE85Be2Uk2PYdHw3HeLPw5yvtju25Z0e6IPzQ6lQm
YQchkSw17dnCy8Hc9H2IQcvtp/0y9hQNZXSh6k2bepo7W7ZWJzvxVWfZKSk3vXwvlJAYh6eiX4+R
EEK9IaZVE7tWcgIa3/2Yoqy6wUvHSmJAZiLw4ZnPhbveKXrl5kGq2MUhVIn2zhmEfV3IPjwSri6P
OvO6UznMcbOPymJ6AXVg0TWdygoXgQ4/eqb1zRZJO78pfQeUlA0sIXrF5cXASDMInv+mO/6vmPVP
xCzLw/jy3wlZjxcak/r4Uv6uYv35p/40D+P29SQ2YMe2/4K/kf4fDqKWJV1TONJRDmLqnwKWvdYd
W6hUSD+okr9Kkv8UsCz7DxPZ10cdx5GEOOr+KwKWWvWzvyi6AvHKM+Uan/FQ2H55i3/zDldo7wZH
im5vUg5MwjecuvAGOiYrfudXkvaYCA9wN+mOTpo0xVrcSK5CQWFkoEFan4BdYUUKrHhm70eauq4l
GRCWx5kuoK03tjWA1NEFKZkOhTWwWU57egRstvnGG/vD3NocqLWul10UQSbbYnUMb7AqtsRs6H49
kcWpW9ygBUuonNPsfUmmaQxggk3RjkKwquXYR7nL1izD6HpSWn7a3BN3keePh4kLM1lfuNyNgeek
QE2ilh6ad90M2SNRjuaLyZRxmUmdFs9mHsrPAqr6mzVEKP+zNaQYXUFAx7iZu+i7Nr30NVfwLtk9
LE2SavQydfB0MT11pjkcEnQW7jke91TyI4R6lnl65+A6jZuxNOvbBOS+GRSl4GApy37BwIoYbQZ5
b9hYUtKoyTe6AELJ2IyoxiaiOuSuaDktbnD4+u91JQDumCWc/g3am8F8JGuGCKBE294iea7oG8HS
1Y8xQ3wahYxz19k5XueCrTgwAAYSpdKIdoeOm7A4EZVst5SLkv0bei6z1moguTaz3CFxNIF0a9Iy
/bT7IbteUqdmfNk632Mhpmd/oCFrM5BdKQF6NeW55sRAmL0ep12Yj/VL0ZX5QS8E7DDlYH3elHPD
ycNcBvcl5pr70jR1FgXN4oPsahanehQySpsd72B60WOf35Okjh/WDbPdh3PvHzn8dwd8N9FbStjc
FSzWiacgrwwAHJU3LK9kwjTgBzEKA0Av5rU9g9TZOhqOTi9up1l6/SqL7Cvh1WW7cdvV4jULbWyA
1ZjfukYj5IRKEnAVDnsO9u31GIz5E1u7j8PnZQCYsmxJxE7vqezVNak3SD2MsUIOTX1Y1HxhZyvc
dpnEHYJRtrQPY1G1zSEcU7ve9U0RZQEXPn1wcKVe42u2HoZuVM9Z2rnQWmNe1Sg7EOq+Lpb7MO3t
/JHSLG6xQJOOSSPtexEv/RVbMhJM3qE/0LakyneGQ9BwPOoAgMRAg6970wtEWShj3w52f07CmcIJ
c7I5VtMos/PLSr77TBhRFig7arbVYER1UOvBH7d2beV72VjtSWH6AtzSxsPerEyKjsbFQC+uxj56
dGAuQjuGv/Bmjknzmpq5+pRaOVceJ30C7wZ/eYofYwt+6XXQyZrvYfSGMiSci4dYBjjFiSq5Q6WC
dOhP+XDXlAutq9kwOOdWO9wallxjWrHbenhzsch/xmlEJWbuzSo/tKwDKaVJC5lh0LQzbixp8sqh
qfF1463z4ivmcEQaKsDs4wbvoNCcoP2ayLHLBX2XZDZUgyapcTdj2hYBBrwWEUYhvKOYKh7z2Oxn
jm6mn9HaxBf2UjlGcsmM2mDD9uP8+9wMYp9iQb8uecIZ/1PE8tVKWd0i97uHyTSXl9gfAKFYoe18
tUORUn9NAvBqWmTS3kZDpT+MhVq9FC/fVpiVfw19NXrmG7We/32+lXgmgWC55vyeDXN+20QKQH1r
cm/BWx1ZBwLaJUllT3+lrTNRU9utRU4zZq8YlheETyS5KxL4Wl5HuVyeWGxcsmC+Ci8qNdSthfOD
F/CaFq5Wnb0lsx0i9HBm8jZmXhjchCY6k7hv/hzGGAysSplkQAFq8PzwfF+bUNq/93bj26ztCQcW
BJVMvTiTQSwcocY29oPmsr4in3nMRoeT6rYvF9u6ab2Zfouwcr+pUORwmMeBXpOBJwVnYw9tPq3i
K+hdH1Ev8BTiqNr0KNSXfBpq2nu0g4yArOpOLtBqlrMCOmsD4XTMFvzc6zR+hz1BX1x/AtpF6QSF
xhkICW4T+IqAYronjxgi+BJvYMBQjWonUGHKYxv2ToIcUEwuvzdMXoAlLiblCCrHUA5vJpssbhiZ
s9QsR9QHfIdM6t0B8bQ/DEMX9xbht73dTMNLHk0qQd/uaS3orcjF4OeO5QeFMNOxzOVkb4exTr5L
+FLIPm2ldmgvPohbxBjvG9N9/ZNDv1UESCXNh9s6Hk76DkDVNkwjIhZGgQoIjcbVcNS8YgeLOwcU
rGfV7NwlvB9avZh4+8NIB6ShWbUQSeRrJyVpBzsLj+ZimoAxfWRlvJpPme9NV8QIrGM0aIo/iyGm
n4MUbR0q9xxm/fAORQifUlRUBnkVYFuELnkODfI2Xnnt6tamhAYQSg7025bNaxXBjAwZwpCH4SpU
JW54xRyHXODUOd8nju6nKPbBS7jIfr2u5wDi00dWAlUPG++HOyWfYPSNg0jIuvRhVJB07sieom5P
zmufJQ3VNzUr8SZ2O8rYrIqw9Yk0OkHa2WnS+jQ6IbQs1yBjuLUhSekgyme7QRnP8aVOrWqnzRSr
71XVgOe0RC9e4loZC5HpHi/jmCGh3S58fb6HUnKNHTVHHSfOix7iFmXdTp8SJiS1fcyi1NhZ4ND5
ruQA1CYG2R4PRBfkdpIyuc/NXczw+TEjKrqndjLHjulnX5icrZ8qCfv3XAEUnhauyEaD1ylbpJNg
lEpBnDhuKG89Saqy9MdS7HAbcls36UeQ13NaGcazEycgCEKcOtWWavimDKwmAQDUqDIhFc4XBjJc
zXRkR+eMTaNHG02nOjHs20ZAQdnmkx1Vu0oM9hvTkyw9+Yvd/VANk7VC5iPfHVXnp6LoqCRlRdDe
3p5+2bK4h26WsvVvxoXiGLTzed6iscSfRd3ZZ9pcDFKrdLd81hbQt03vV/MH1XJ9GmCCwtc9GCQg
YeiHi3copUAmoauBc2hE9v1QzC59yzQCpDeiVQD3h8z2KHeZKCcpWkjvFrojriare+EQBUELNcT6
6pq5fRvwh50pWmU4WqLAr3CtbLqNCPSzk/ityd1RuOB4CZCmd4MngC/Y0u2DmjT4EoisbyWtqUlx
cluhUEZY7Pbj2K673+I1OduqyetZebHcuDmP6ZYmWBUUBHIfRn+pXrj+et7WVUl1UobnvaVjM6RH
gm3UhMFWqQKFh3de564cCpLKm5M7Gqajmynt6A+1rY7zi/SbB6su5GPYtSTCQ0vSIhjphbZC0u98
T/Q67ciQ7s297tKgVWO42hspQjA4mD64EVVTdMVZ3TaMMeYRNlrcF1yDy4pejOeaPmxAbjsVg1F+
jdy0+mG1BfzurGcqtonG9XSU0ldRH8Khzy8cFBBx9DRH16quQblWTQ/djBtHVBB2STDxzHRZTxjG
nLkPcNP2L1nocNMP2aPvBoTsq3LQescj0P4oBlc8jpmOu0DUfv4QLxOwMvzXL5ae3IOlff/HQPfk
84yj/Uq5rvE+kx5iKteky8NYpcM76y/HBafp0Q2I5QO4Lx1kkbEw1ckso/mV8qJ8YcIuctxKJgKd
kzmA2aPcTDGY9wkYJ8e3sahGpJno+6CkCJS3QSMo4UUIHriZVXGWnhYNYkRsn2h2lPSlmZmbBKgF
XLydOG7mQ2jTL3ZeeqQLskBzcxocrAFUcEPBC5jg+D91qYuvroXpuM1JL1m7jrvUi4MVOIbNNE6t
oNeuQtPg2xs754R+Ts2aldY0+i7jCCVNlBWtsBXV4JhHrVxVAe3LbnqKy5QQ8XbRXHcCwpaVekPO
EerRhQTWHWDSWTXSzCRcMDzhcHFJRHYzZb97dFQAIFPu7SLLqWhqgXAMRVBafDEXQxXXseyB0A22
o+3bBfazu7ErCnmJznwz2W/oxQrn8CHzORPc51CKmTmvtDPrOnekER6oYx7yXaEoZbVM5uS0juJX
46ZCKUI7J5tyHf7exAui3V1NiJQEnagL5xbmVxmeXUHI5I5uokHeySQMx2PaJT3gNLd8ILbVAClw
OZN8m3Oyewe/mV17Ty4mTk4urPL0jfhMWxxhB87zvs7U3H0Uy2xe/CTNJAa5wQ0/Vk9QuPGmSHgc
kno7ZDILprtNNpqExR7mVJNshQUzmunpTK+gLTVT+bZvScA1YW1RhO7O/jXbdzMeMyWGszMXot1Z
kPOPFePjQ88k1uUYKKenuOyL4kT1W2riV6vJl1GbA9O4crzRw4smqn5HDRSebNygRtBHozzMoKrC
M+SJadjXKcPjrV9SbXIum2FurE3SW3RpsTMU2c4wGNi8TxnH7bphQH5DCYXlbYnL4SFnDN6r+lya
RHWOofJJVfREJ+IXNinZraFMquYHcxyv9WirFbxPxKd4xuHtpJ9QLHT1EA09yBNZrwygJqRxyeyk
Zvrl++8phztnA5qk9oKOfw4DIRpbkJkj5WnQbM6S75C2UQgXw+v3nrUmBBfVGleEd959HJecyEUd
3ccZEdfCCesPw578eAP58j7tosdUN+YQtElG0hO4CeO+xdbpIZskAAfKXJorqy/YpkrKXH4u2Pws
mFKUKkDIGVEn+zyev+aote1TB7uLA6upu3PT6OFpEI3cMoew2f/dmaYiuwG5Ssng4xAxmQ8YlWZX
0cQTy6klpKIzVLMrGb1H+rPzFCghYSoTL63EqgPagXvNMelaIP2dnqOXjikrn4daaDXIk0jczdLO
rRvfLHUU8KcZIzmlNg388hXJqKpAGd32rTkdpqj0vmPBbpPd1MCS67Ba83ilNXRmQ5Yn2r0M1Ecv
vPbqHKN2X+C12OSRS78UI3L7zmXc+tgklXMgh12cUiJMy6ct+HFILMVXfC/7v3ldaU0ms9szVq12
49KdarOcLlFnRi/znMA1bCL6ikUqrLO2hXcaSp8yddrg83eqgDw6wtpCmbRfC4azGC6JcJRNauS3
/jA0rEs2ufO9wT/spYky/0rB5KeqKFtj66UKR1pluewHXRtSMNu7CdP+JUlNHYyDClmxG1/u/v9a
9VYZ9asCOZ6s1NL/+3/+lFWDS3/5y3/sOKlSPTr8aOfHHx24x7+HANff+T/9xX/78etv+SfCJY44
psm42/4bE15w+d5e/u1SficciRHv344Xuo6T34XM//xb/tQy7T+sFcstBI+sNP3fcpLWHz521FVD
dB1GuAqj3N/deIQrUT59hbFZuNLCsvp3LdP8w7TBGeDvY9TFii/+FS0TKvlflEyI4Bj65Gr6E7wR
8x+gUikTu4nET7gb8ZGn6XSQTryHsRRkk3P47ed0/19x3auB8C+vJU0OW4gqvKCAAvKPqmlUGOBR
3C7cuVyZtacf56I5dpm3LyuX83/zXpjuth9ffRtK/XIXFYu5je23HJqKxZhoyuu9LK3jP3lXq/n3
d9vsr3dlW6jKLm8Pmz6//puWG9ZJ5cuiCXc153paxE85i/wW+9NeRO1uwdfjGQU1S5KoCO4K7oHU
keMLAM7m9lvHqv+JWxj+xH99RxzDlXBtXKG++4/2yAKeDuSHKNx1yxAfrJQUHtXvj44vwrspjk0c
cAYev1wPVAHL5Qzfv9j28CQ2aaYdKjXKD6Mt3YewF/mVzfN/5TjJqfbKfT2Rggfl9eFNXzlhJk2V
mazKG3IVJNVxLWm8PuyziKM0GuzsDvhtTHvpmiGtloA9EDwfgXSOYz5HqtrBKZ87OAoIfsfJWRqP
o1U9LmHBpNth0dGc3ecVNMky5MOCs86RDDFAVdedtI4o1VDY3+bCONEOydHr0yivJOgYckb2uZ43
ueUwmn3Rg37VQ0YF2UytSj15J6d/CcfhpGa6XzSWsLYPii4nWhs9QLJNvPSWNtwt/dNb5c67gp3e
jXuuQOHGD/MV2P5EQ/eZbPN+Qh2UWQRGs+iRbekmMUZcaJYXWJAiDe69g9Pe6FjuOxslYQzAGW1z
imXrSqNQIPK7r1L555REjFdmJ5G7GGeGjUhgefT5NnUrPAnjNso7fjy8jM/Uuxkfq9Z94PPcpIZ9
HHpZbJZxraqaNhbUKdF8xt6dVTbXdJ9yhlAMEWEQmP65dngyNUYPvB1G8pTh6TDa27n29kT/LjRs
7xzns5mqj677Kls0DdKGWeTf4bRAib1PWphlKHmFoskCagPu++HWJOP/BFb3I/IK44Z9is7PIbsz
oJc9WsuEPkJcCo07BDAKWeIrsjm3EOHjh1ZobsObqcx/UE4eP1hLVF18O+F2aWPm20pmrsnqxPVG
58kTg/UsM4tE2hhx69Al4iwEf7BoHrkmmbNTgnsgjYGEthFhSVmalQn8AbAbiifGfgATZedRzY6U
uinHaUZXrOV04RScHxF0BwcGqY5uYmqkru2Bvbvt5AMhPO+xt4rmf63q/7NNUtJW89sau27Df26v
t5cC6MDVpS35f9nlL5vi3/7Uf0z3XBfHtOmD/7f/tu/9BxqI0JRrujYQ3bX54j/He0L94dCZyL6n
eAN40PmlP7dEIf5wPS7IYPrYYy3BGv73Q8Kf+9K/Qg6Q2Obp3ZA2m5VU9q/Sid82BNm5Ru1RWLRz
O1gm5Xwnw+wno4K9JmxrhP2DrrKfjYOK8NtP6f+xPypvDYL8ZSuS2LSES82pdBnHi3Xs+NsrRzEh
GsbTAzgiv/0ROh6XCcchLza63PdOlrngBk04ZNgbb42XTb+SZnBcFmrSu/onE1CSaDwoExrXGlCr
1Fxdpb9Sa00yO9zZIzioXDlmde/kzdRxWdF4md3Q2satTQROau9sRL3cRyDQF6ZP2BDzNTY3kZ8b
kcADWEpf6Rqto74V9d7moL3G7rymZD8niNczHZCGZVIyh3HOmcDW25Ngh5km7r/iV5wvEhk0QYOM
37DG/SAPfot8xesR8OwOqM3Fw+xWO6gm16mddjfYIngH/gL5M5xMEoXJr3ThuAYNizVyaK/hw95b
c4gddQN35Ffaa3eNKYpkxiAoiXRv6pV9Y62BRjtPo5dkJOSImsnkbYlr5IzqIEZreABI4gThmozs
f4Uks9Yx9vOv6KStDXU3Gl3/M5wsopVoCcQsqTTwv/f12FENDPVvgz5mPqNsEc6MrDWoGa6Zza5q
YCEgraxLnAU/YFNk83hQpoqvLMa5VyMkgmvsL3T4Gq68nZLCuTOTJYl31poZhWwIKnrNkSbdtNIq
J8z+EUvpduGAjZdsTZ9KDGtrvJpMauUM07Vec6rc5nCxrdnVdE2xEmOvn5uS0d+2qTsjCrw18Uqy
glY9sAkUgv+KxA5K+9V9ZEEhIImZ0U+IqYTUti4beN9d7TMfrQbnyEmVaGIVM6wpcstk2EMwjsAD
Gj6utZq6rzt+H442C9H1h2t4rrlDGy932u39+1iOgKFNbUTudmhlunWFQTVwpx3srSCEIWRrsyKs
wcD/4MQeXexVVLsvWH68ZbekswxxriI/UJGk1EZiSCav6tXzCWA9LpWocuubYcBa1JTYWTOITG+R
WcU/wt6rv/jJJI9dVvp3XuZiJISPOJe7xBniNzKuXNGTAZiCRUccKWdTkCaxBl5lsWJxtEMUmy3R
bedjrB129yWV0zZ0dB5uEgoyyiC2BZGAZLL2tKHNT1a12I+lUFkT0GjSL0FaNCYbv68nzP+eBIYd
jfWDDoX/0akqfm1xnSoMPW114+c4OwPlR/JF9wKWwzCIaUewdMJE1HfP4zqt2VhlKy+weIku1J4B
GUC00t1CPSJ62YhG/DAQ/p/ivi5eqKcPybLY3luJz1cz4cu551ujbX6L8FWhluOIq3cD2+pTJSF5
ENGTI5SBCD9hmNK3E3T2UNj7JFY9aYY2N0QgJ8/C44/Iv4u5vBxEzBEVnPsiNhrQ4XH2Fq3JNMft
I7Y1jGVcmfOrJUNV2yBrsopk1KWPcItH426u4aYTl1bZSzobSLSmScM0WQ+v+jJR7c1AunTGLI3B
yF8YqTfToWWtF+uEfw9+ITRqtB5sU0Ue31uY2mGs+q5HBWYpxoekUvYLHylFJbWEGyFVLXehI9s1
2BMH0KxgDdhu8ZAL4MZLzcRnw2GjeSMrwkB+YhlCOXXkB4s5n6jCYgpI0ROlu0UHNnxis1GK/DvV
uItQAUGg8JD3ZGgn3ik2+/NAYoSme5X6sFt1ybKgw9CtAqDY+nbs5fiSm22KEcTJMQAy57BqArW+
9c5An0BmNLguBcvCKGmjnM30JvWt4d5wVf2saDbAxhdqT+1CWqXfRsz933EsImoU8doCmJg+GnBv
tRFetRxBm5MiFtWTCGmmJ8BiZ7e4s8z4vjKjMd450rfPlZZRfOhyu/fPszGgIc2D4OmC50rfDpMi
4zKG1FNsadRru11pYZYmYwWSayQ4sXdsMAYBsnlUbeCoGs6WL05LDSbdl8jPlVFAdBlNP4BUz0Ba
0tbEbxEr1Y0R03DddnXBH6GECINxzdRC0ZQRt+0HfHxxY2StBzmhLc6YNjL4wSYLMdJafpTxzA6a
YQx7xXzGohepZLx1+kyVuwJM+zNVVpDRZjwEpINcB9NsKeXTlDEpSRCCAbXRKFfzyHntz5mh3kMr
bebgSZn2O236460qRgEPmv5rxj/Fa1lF7TnKFHZH8AGkamQeZRhXlqvCKmm79Zgoezx6O5t3fln6
9JbJMK5hortMgYS0PqPQzW+dEIPDDg5BRcUeZ2ryvLXrmccQLDpJYK51F8L1+NkH2WfzdQVFQmyw
t8avJlMlPmgi4ym1cxN4mVrwb5vCeH6zF6ClLL/1/dRa8kDaeX6v2J+vpRVNCY0bVv4OpI5pNAwy
zvGRuUbAdeolXAVR+bgMzhn3cmmY7QfIv/7e8Qx9GxIBuDe9zv1hQ6LYqjBZnnFo219cI0OCYKZM
MM7nB8sBgw7xlwLuTZv37fcl0YB33Kbz3K1Pmyk0Za6GD4nTDE9YbYbTgPybQwLV3rs7xPHPJQuL
eMsECAUOXKziB5fGC1pzP00Wl9/J0XgygEu/zaKWF3aX5EEKktUsW3UhuGCB5ciDqq9xaW8a5Ic7
M2TL31JJ6Uz0GJZ4hw27ddDSQKBPzDV4CGZKBTojvTSWH95Wunql4YaZWMtgDUphhZexm+M9BwMy
KUNvINfOsSOf5GLHI7MIBlrbAlDRvo4now7wfR6I7884tGoDZ2Rhqa/G6u2rMiY6SZUUysM2rOhO
apCjr5mCvDc4np+zyXY+VWb5+dEDNQksyuqShtZyDgkbB6zUTyUNgMl0FEH7cLB8Qr6RUYiDYDW6
qoz7XhBPQ8rTaQ+AosfRhpundDGIHbBDSFhqmIyK5irHeR2ZRwhMLmXJQSgndeRQ7Xpsc5PwoloU
2yUbvPjZZiFJK5Hl0RvXS5q9DThIjBoY8gTmXOgdXmNa1T1Kke3rbCrmc9IkxmcI1EhtEtdJgAC0
KJ+1m/UfdrNOg3JydTSgIMhv7W5OL9NIigD+UoHYKRZDPJWqdpxjpGvOJmTQx+cxG7HazgYhndMc
kgOHnB3SYp2l6RqmtE370WTcq/b5SJJtkyx5A3ETAvqpl5b3vYC2QtkZhep+lgdtUwPv7jGqutqJ
XwluKabfCyc2qJfkpwrqR7Q5t8AqUUzWUQJz5F4YXzP8qXc0LJwRIEIcYIKpvwBJ7lVBaAiAHtI3
41fgFtupho07pIrmeenGQcGIjgaaOSiSqTxG/lpUNKfKeUhrw9iNRan2VtcCbiB/yZarw/s5dCmr
9SiL26u2+PIXS7zyTbR/juTqdq1OVsMSdRL3mLDaaxrvRpqW0tx7XMQMHt/s/fjJmEVxYw0jPz8e
ipfJGVmuctteygNzwPk1dFT3raMrywySBWJOgMLfCQIY9fCT2trhy4kpcIbr3NFDUtkhzpSC281P
W3VU1FLQE39z6hnGY9VZDt3HTLkTOMLpNrL4FhJEG8s4EKQrfiYGbod6aQrgnSwqm7oM6yGg85ZW
+/AXNzLs+8k64r2GdckQej47fBE59MJuYCrNTksVRkwXoTPbtOyGZZPfFpzmgXYsqTYZQOftLhIy
eaqZeT1W81od4tnYpApvUYBqWg9qghq30D7wYrjNMMKYKqVxzvJQs9+TlIM+Hkv/G32Di01Pw8xJ
kI0ypwKthbURVKLJKeZcZGxskrrhhGTAQnweCTk/C2ZW+xreodwhZJkYmCZoPn23Rsgit8tf50H5
2NSpM/6RwbCIN5DTOBWVRsERUUjiMkySrerFJGP2bexM9d0qouo4zjMojSHhGS25GVebyG7TS+pU
kbnnGuveMbDHW28bJYQtKzIFxE/N8RBczaqelATIAz2GmMKVQ4KIbbhqHpiAp5pJCF/DDUkSDtgD
5QnbzmnNewz7jbjKVdvr/dw65jevbG0s8/mPcskJ02WTovOoFd5qty+MNDq64MLO2Pbd26qHJ7S2
Y/nqnDDsOIct7Y8sy252guHd3tOLSC6b6TJuE8flmqenOj0kuH1PECjdemtU6XdJVK4lxpuIK27J
7gNonCuhsBeNTXUqLGu5neLsOV4krUdcvnY45+gtdfJDQqMVo1HU5NGSdx0PwB0sH7WbZY/Gm0Nk
YdLrBy0AH2j4Xp+t7icuFsxRgvjf2TuzHbmRNEu/yqDvKXA38mIGaN+3CPdYFArphoiV+2ZcjOTT
z8dQakpSTmV13jTqooFEoaqUcg8PJ41m5z/nO7OmN0Da2aSWjLdFbRQ3ym7zC7weXDUGu0YCfUQ1
eJuRHEpZGPFaA+WxEOPA5mJI3LPlOw1Sd7breLAtE/aXYZOqS+FK/UEvcvwFtg6lNpfNlyKg9buN
TaItrufBBMQgw8D5TCQXF6/pdO6utAd/zwwTTVNVJgEgB8145Qd1fIRDgp9Dxt601uWM7AfRd5h6
qexlGfjBkrxP8QZ/f1t7evNejVF6CXsKb9u+8L/isfQOIjKxsNRu+OrxAF0KfkGdzEr+FbvT60XF
JNdZ84qpdpk+LBqDxYSbR3JT3eeS9JNJ+Vq1UIy47q08omY9KAih+BpQGwb+nytRp9+CTp/Uksmr
9g4etmi+WSnHIDYAMfjUIvD0iT7RVCF+2uawItYFzDXuquxVMyC8jkbEzrL/AL8mwwyBNT6AsNnM
hk0Tz0detQHGwltDnHYUsZ9Ir2avTExjKMdMdgrYJXlmVh8AWusDRuspSxFRnxm11cey0/KjfW0/
ILbDB9B2+IDb9h+gW+cDegvbjES7WTZ2uqxEh4HSmhm5rVDGW/UBzrVNn54Lr/F8wjAzWjevVRMu
rQ/kriLA/+aFcHjjmcjb0MN2PUJMFOCkIzamlMe4L/ID5GvPTF9kAXJonWXd2u2M/A29Gf+L/Vat
8P+E47KqIO0t4g9WUAxMDW7QB0PIxbR96iRgoeyDMdR+8IZKbWhfMKBAIfqQs/4n/fCvh4iMB2yG
Ov+c5LF6y6LfZ4Z//KU/FFLB+A9cjOMSLviYAP4geAj3EwgbqBlEIH9opz9mhh5cdcQa3zW4tqF+
/DQ0RDxFIWHM51qGwSuaf0sh/X1mpnukNQhnGC68Ltv3fpsaxoXDVto3620s4aotalW3910fqseo
b/uzNah7nhjabWG1TQr5EyjhyHh84VQG5lRHJZwxUtk/SQLCe2SUbo2Vk3nNhO5g2G27ibPYuRlc
fbjl5TlWJ6q6YCPL3hLXfVZdA/ts8rV1naDIuqVdXipfBfe1GZa4+o3mi1Xa+VPpuei1Jg1OTZCm
F/YhtykVtMfMYMuNxqgeKKnQGaWwyOOg7FZ+2pYcOvxHvLc2tA8Oqhi7BtRMyB1M85m2mWa8aohW
YOGv7zDnRuuoGWb/fuvfkglJV13X1nd2bmvrJky4OREFFzwsnV0cpERFOS5+MTmd7xozyN79oCpO
NJ5Hzx4TyAXmmvYZQl9zn3RmDgY6QDVF7PVXOIdEjF6EN58kSWB8SzEhIgY6MP1qzz8pY06emRP0
CdJ7hButPIkRbn2218Qcev1raQgAdQQpE+jjhixhQTtXTttjqCA17j1Q6tAco9og7woRpaLfzEe0
+59A1H9pZMKQnvKDf74c/Cdu3aeX6Cn7Xxf59PrW/EL3+f6Xvy8LvvhEHAWYFYN/ZiEOs/8fteCM
QOhrIOFkGMLwBHfsj1WBxNTHkgBbmdmKMBne/LASsJZ4nk94ESyWibXyb3F9Pt79p/kF0BcMDkJn
Zfh1blES1IiSSI/2ntn0WBYNlZOuJmpzborc+qxKiBk8lIC/KKvGRcVksrgvam1cyyjD/B3WPjXa
pYIvmrYE3zVzZqZJQ7ngiD2Do4LSFRaZSFDpujY7SpIxvRjRnsGgp84Dmjkck3RSD41rpbcjh2ML
V7Xv9s6xiifvapq69BJ5cNRseI3NQk8sypdZrEofX6Dl9whNvX7OYKnoKzoC1ZUfpM2eyeS47cAA
HqdQGzZZ9N0xNewcEKEHf+zVguIohL2sZArgB+0DJqxq5SpSpLLzY36oHjm/5StFoXRAiA6Yt1oP
KkWJ931J2GUad54LjgYGHiy9bEtDFfFVqY9OfhJ27K2p2CWsRZxgJJSEwJGFJRoDO2/tNk1dKsPp
qznnY2Oxe47Cu1rBQ7RkuomBV2B2nOhP7jkXnnOfYQh8Du/stK7zpdAqdv4WPso2q6sNAwS0cn1s
sRi6I5ntysTy5k5PuOmcbxx+waQCz2eTFfAjTOwpVMqBZVnoXfzU9K5xGjIZPEZoMwT6LfeC0dyk
d9bNHjDdlgFjcqveT5gQ6V7GhHZVNb57ifvcvEBmNWk19YudwSVzrkVt3MWh8yLY4d7Cg5Dvluo6
SsmzND6MY9qml4I8S3LxwlH2n7PRrh4xSmLwJt/s21vf7p1r3La9uRK0liIaEgexpzuzpl7nCsbx
XDxpsjrq7J6+VU5nGIeBLyta6MIL6VSKqYSFSVHwdvSbT1ttCKenuqTjh4o5CR2Sk05/NfV87KUF
S3+T8IcCpiIGyJ3S6+wAq08zl45m4NXAX5beqqJWCohDRRGELlO0tBT3O+XgsBSatY1ZoqHAOMb4
yQOTUlL4oOF13ob+we3CHBnD9oKbopLTo00s8g1rd7eLkoaM7MijbmlV+N7Y9Jo4wigM2gFSmMwD
wQmPKHhnFA+UkKVX9LjZ1xEcIprgff+xw7R9z2ZS29QyCG8nLdUzJGpZ3E1dnd4b04SOV8e4uxGg
9YPrETSPatsp8XQ04hSlWV8gqNcOrQVueYS+gJhiu4lJLi8Wj2Og3vuqo3shBWqTrJSTONsUUuY3
CRiaEvOhq3myF17+1OhRf2dUmf0YDAK/DQAKJOrRAO667L3c+pabCvsznlLGlFVTD/eGPRQn0Jr0
yA2MdVLM84ZD+6HeZ2tbZ7q2MEo8KTHj1JfOtZNdpfFcXlvDZPI4R5qyd3g18dBjnqTeC645pcBz
BiSnoetWI8R2hZxGWH4y+1c9xxS/1NvG+2IUuoTdXsH4uierExJ5pG56kVUM65ZcHBKcptDNr56U
+V016PKzLm0n2jR2UPhAkjz/qFUpKgE3fNMhj/UDUmRQ57hPjWa0rpBgomfCCGThisqrv9RmAKIp
I9k8HVVbOcVxHLj7NlohULKD2O0OUWLKdDtJRMddFXUQM1qjof4DH3jRONGFwID3XA5Ge0coCyR9
KdIh44sLe9i+JXCLhVfzvS5lWLinqa+MPVDnYNy0bQiBbKjIrKLfxgxkkoF1TOgRe4phyrT3trOL
ZNHk6JHwuXWHK7ZT6PdT0X2dIst6hqw0Nht43AJ/J/sWBP64Dh+LAV7uJo1EuE+ZMtPdlYcwp/M2
LoxVHQsGslqfziHytH4w8oRTolYMZHNolkTyCjxSeDiRZ8g7NDf6bMn1NYw3z4lHCl5GZsH4xKA6
220k+T5CBGupByaApiwHX5p7YNRoUfeTJya7amvl3IWrxMHvvLTRSV7ogs9uXC7NCINK3lUrCZK7
WWaCs+WCOx6cMYQZgXOc36i5ir2+e2aHSidtMsQ22ItidEf0XiJqchxweSK4aQsVGONNEbTFt7Qu
YergWtXLS58OgGMm03lyMfXGSA5Ze+251fS1Gszmsaut5n0IdS9faS1hK4ZBTK5HlbHO4hqNaAnJ
o7leFnjWCVCc6WyQlIt9RJCG0bcVfZa9ax5GduLykMY49rd+p/WQuBB5rgs/kmfgY0AEohpaLZYg
UgcfZm5DH+6kaaPKGYMW7H08hOHGQA0nU6Iqfzt1XEBL0xxLce4mq2UWS0J2q9fKeurHQu6hnAB3
NlJe0RdYVW1pE+2UdsVTP2ok0yO/1gaYBtit4sxRL4hx7WtYZcik6KI5QeaO5/Ni5PZ8UiHOtK6E
i03MCYNrD5F+XAyOEjyZk/Eh5EhBtfM0jwl91BKO4FWkmhWjIK1f1Nxf43KOfJDl9ep9MnXtvU3P
qUEv9cBZWadClyJWTY1kQu36ytOIAmZkRhcdevhjhbSZgoTKXS48Oa9NKHmjRXegZkGnHpCBqlQ2
/bo3NEqhh9oed/SelsCQfJ7QMMTNcs1jRa2knvnEouo2pHF7so6N56X62quRAxc+EVfiRaSpjg2B
B1DJ4AbHg8qYje9JosNnD8DafKt8dg46GevPQ+3Xbw4KyV7X/OKL46TRgw89ZFxw0ldbRY6UqLJN
67Y7dHsMWh6abNG9p4aivpdIJfD6MSPuhHnQMPYwq8c1YzAP05pmX9hKlUx0PZpgXATFZR4K58Um
IEmxul8596KX02GydWs/tIqhA4kW/TpTuMdMONIwZ1RZbjoDJspM2AJhLCx5i7MB5FVNdcWaO4ZB
Qs/X+Tx5jkBYQwRbZqk93Jd4FfezgYLVRUziKmbZxQKQ6SToCr/+AmraX/Ve3G9Hp+Y+Lz1RnEtf
n1OLipHfYATtY9j29pF2vukYmF5/g9HP2eK8q3YpFm/FrD20TwA9yl3qxu7XMG+4PC0GpTQOGulJ
Gnn5FhEopipX5JZckHuLrkbyU59LpYVrFQwoZoi8ig7azD+zTymf2wHDJjaJCVS6GcELxLzjnxDN
x0NoDNm3MeyTO5IyTA78rNlpQRlvGOqVB79O0DT9kofEf68I8+9p0p6lEk4+//xAtXrKn4oPkzar
xC82NN344y//obPMDmwTx7awHYzAzLF/HKiE/gkt5Sfb9j+caKb+iT8BNIRZGJOWN/NNf5yosG2z
7eAYhteZbT0mtb/jRPudMzEDXG3TNfjHNjyQF78erCqp1YrCLXtNFOe9E8QXJRcxM4gkQCin5nZN
FRUyOb2lcWjeVJP7lVbubed/i8gMceYIj0E0PaSdu6Vkay6tWCcgCWC6EO0eREaOsb+KlP5Q465J
23BTTc42meROnx09mEmz6mjIpdt5Gw414MEhFydyZ9fZPnWtG1c61/jotqq2b+zAuKaq2nTDZ9pk
Ic/5ay+r7zytupuGYB0QW7IjApkc3bL2ecruxrBeJ9xuzuDCgVVXovL2bHZPRmVfF/bwUFHqVrXF
hfD2uhrHbYZJI8HoCyfgfoLXuqL55b5xw51UyZnhKuzraC42deRuYk3jBs9uwGvurKpJlrHTw3/x
79nwPSY81Tjr2FsrcPe4qtagKV601lrVVX6yk2z905V3+W7f+7mIyJi/pO//9/71f/8HF9b8JXIs
xvjPdQbR7tcvEcam2US6Zq+zmlER87KcxvlQ1WdnHM9Cas0iilKSqmKtdXR088389Q9g/+67nz3+
9BFhKnTRJS1nzgD8ZCuMa+BmvhkHaw2XWIU31uvkBosArpzRcdZpZJ7tIHW3XUBMqJ4e+iK2TmiT
2j53mSKKxdvI9mEz4YFfAiyJN4I+pXVQTvOhb8dhATaXF2p7nWUvn/CM82zNV9tCjT6jXYitnsrW
yvJ5YtO0WpaBswt8npxYAwEZBvqaA8LLyNNuoYbpptPj7YRPacm998WqzWMghisv6Y4F29RDCZbg
Ozj7bwnV/7X2zn/6b/0bLpOzGPPTdfInl+5/Ns1T/vPS+P0v/KEzuZ90w0IR0i0bNAc23R/Loud/
Eg7qsnBtW2duMf/JD6FJfAIOjSzFpWZYhmdxnf1YFu1P6EsOAGlDOI4luEf+xrLI+vfLLQVIHa87
74TE7PMksIxZn/7pii4jofSIYf+O1Q1PgD5owEc7I7CSrV5ScoLDZMouHmMq2M7cl1irwrGdS1YS
9ICoFVRfy49S6mnupy6YNRHKzOfa6kHrgnhbzpXWHpu9tcmO8A0ro0UcuBDxgWublTXsYHLYfh/v
YQ+vEwoZLnZcmDd+Y7jXoTli9zBxc2ISjfdNGAxX1MbfeXbVLPkNsk2Ga7cqS7O9ShqxabyKfk+V
rFlLDwKGCbDrbjVJNS3dkfC/2VYM7aRXbgTeG9K3nbm2nA6aSO1fBaFmXPdaE24pDf3G2DE+ApGj
7EZDnpj0xt+UjvVKTTJtKj2hgBz0TlrFHkqDQ6h3CMZ9UpXtzeT7ihOCHr36tUvEgVabQ2G0T2IA
IK8LXW7gzeI083lPL4az2wvjuq2H16mj+BMbEamNRLt2a4CqyfTs0yaohdaqzYMvQ20d8ZKcbJGs
2rE75LaxjWmOoZGp1l5gnKhNMFivWVZtGxtHR+qOnI7GcokdEV8wtsAyhmzmpBTiMPQukfgBCkXO
sG7JhJMDnWuW6CsVK2Znchl3Q732Q1iZyF3A8VQjaXYxYMCV43aM7e2ggRQhaHZJZTWDUoYmp/wh
N3f4OJ+xL+Gdkq5+wxTQPBNwNZeZtLtvORT/kYBiH76QQ4WICf73kgJu2GInhE4iO22bdbV3Zs8o
jtbgju/Sbzm22DHk45JM7TGtcnWSUXrWjSp+t6XieThWWK3IQS5wleA7iLP2tUqhhmPEvcVudUi7
FhckhumM1CdsCBNby47H3yXF3LFS7nRLjfdNKvStFiqBmharvdNn8TGuWxhUeooxy+9Lap6c8YWg
M403WvYtt7r+CvbjXjPBkHNeaNJbFAVnLZCSjkAJODW53sZKKkXtlTUtSzoujy1mKUOznds2bBrj
JARO0aUeFUa9KkYttpY5PuFu0+YYeJYaZwEAk37m1ouk58OussrmvkvcmZTjIuKi1RAV0rfwsWlz
00Cy3pLsRkxIrLzpV1hYinQFdEXXlx3JVfo49EGGa/KiY8jhK4rdJWHLQKzIrynYVYmB0a/TILcs
CiwZ4Umz47zddYZfIfaaKcCaJLXj6osGCzqmhbzwcOGmOVg5ZI0ShEYPa/jagbOBKlukcjwGdZSp
jTc4PCzDQkrvLjdppNunNGmV7xUoZZ/3TXzugCbKfIwtWuKSXw1oJeoCQuNrOv0YymBidsptZLmj
uSg5s7hrIsfU0wa55jWvpdnPBhrKlHsgRCMyK2xw55tuEr7nKdod/DYJLpIz+7iiHBTLlzsOEXUb
pkJLMnsKyZduMuClcEqiqyuRZvyyRKox5bHXHT8GnCSdO6T1uBViGAZpUuR3TRK2byqoS3sVw/Su
cUvFRnpxyyRPNrQmFR6aTN+E11EKFfdoc5DFjT2YiMRBCqdMdz2O1IBNMWnAORHG3q1lm73UUuvi
jU+4PEXL89Db7d6YngofDyNMl+gWyL++nj1xFORVKfaJvOeDVpHglBoMkk5YhJasnEhMmSbx8jia
iX3tk4JSb6NVDPVVVzYQUCISwfucDNyT52hLJ2rg0LuMz1pxH7XDo0dT1qop6vGr56h6M6VRdmMl
BsteHJJwKIr2zha0kvZ9430NzRpZ0mrt6ZuhT6/K7QLO613xEGhyVfnFSqMaZJHLvj26vC4d6i0F
C0gEg+rzUyvZGW194iFvqh8l2adQaSX97Vp9HmVmrDUakLstBu/WXCHBSbU2iyJTR1ZtLN32QIIr
qtu7JBeZdUsFWx9sMgGna+gaF37izAEfcVYMt04W+9Mus+tw1cP7je4yuBuvpNYNZ6HwIUYrSK7x
vUQt6b+FFDzLw2QMYtpEfUwTfQ3904hTmKdqeIYeE2Ca51rGBRgSeDPDatoYATtmOTT9pW0hatha
gQMUYtSVZ5GOSDt7H0RucsPkuts02VR81iZdnDQ/G742g1PdVJqODtNTCnTfTNl4MwYyzy6kCcrn
ghDmrmNSsw/6XCCKdei/LoVvN1rjU3Rltv4ZPQWBCiKb9xyaXvcli1Na6gg0xu5CWh0qIvAV793L
pvoEgEC9YxxX3TL2S0GNnlaLZSO02Z1nuZRsiVJPsveYIUu4TLRIh8XUu7c4cNwvOXOabdzHRD19
e3Szk1HgSacOMmKn7Mv7MmSzCZNMFW8mU5j3XmjqUdUmimBtUxfjOjmDVPrG5ubMYarPqD/WFUk/
DWoARWj3WmLV+amoBi/dpUZpu+sw1nr6F/XIg+YdWkgtjT9skwqUNgC21H4tNdnfkJLz7vWyyE4U
V+Nzkm0gPmfScL5NHU+QeGRVXYh8DB/dXtNvzMEIqRwbs+GqHC04RaAVd4HyASaHjnGMQrPd096I
ogo1jEosrG0aa0TJlGgWqhEVtdEGt+lPzechMrRrqFn5tBjCpkbrCbNJXuVazIAFXHGBYwdE0riQ
OjUXOHjGbB1lcPCbdujMzWRZjXMjkz57zJuQi64MQ6tf530fWIBXfZEcfAxj096DhUIrIXZADpsM
s5jbh5QW3CCoauPZcYPIvNH0ETPoUCZ4zTQs4x6cGTHCWov46CsF+ozzhpYqfNoelqctuRsnPMWF
hvraF6q/McwgDg82h1r9pJJkAtGKBcljhjCDg4dK0N2tjd0tpimneggYkA05zs0kS6oFzSX6uki5
5f0o8peKBNNVyuR1iy3Wvw+G3L2BLq9CdF7WfYIB8Q5Ag7Vj1IqT0YzB5zGPOVtTlu880XhbrKTM
xkZ6ylZa0kynBndluygaC3wDLLUaH35dKS6IXr6AKcakN4wl2wdLv25GFVMCGtzq3PBL2XCUa12m
NU1W9Y/gMuoj4/7wc8Lof4kipenUabshEmcYhWt2NwXfcEndKlCr6iTL0ku30DMTf+fC2+FrrVrH
gocV2e3FNDP9zHzHusq0yPpsKxoftlms4aUt3ZRlOW9dbBVVAgsBzrL1GQ5gzNc8jiJc+2PX3Q0W
yt7eGD2AygRCX3nMsVgGGAARKlRkhbss1oO1wfnjqTJyH2uInl0gGV5qYQzbJu4MdNOKOWExOadS
Vt6q6JxjPQEAL8z2PnTj1FjAlTkqzZmeeGAkd6Ews9eqq/ptnRJ0gcylEcVtZUCnIJWyr2FYsAUr
nWAPtEbtMgzPMWHoCNaOHUtkFJ0K+U1tCb2Dz8uDYKsGtu1XpIb9bVMq0+doOkzn1KapBlxP+VI1
40uLeECew4hzfwmlxKk3mDP9YGVkOca/nw5n/x8V4ddo4J9PPL+d4S3QGXpZtsPeLjOq4C2nkQe6
v5L7v/82NDn7sLRJ6ZvOb8aefsqLMgjolxeDpAADkTTBvl7b4l98nDlU/w9NZP448/eLj8lCEsG4
8Nv7GL5mtrgSuv3UFd1TMj/h3XbiRBCOXgZjUEvjt6yfIuYGLe74f/Hu5vzb+v3tCbEIrEuC0+3v
HzMGJ65VktYym4zVJpo3AqZHF6A9bw561WQ3Xm3VGzps4AaO5bAC8/FI1uN+Yndhf2wzjHCVzRuP
AnPsdhoug6Ajw4VZVx103LrVApwQuClNxdm5kZKlqhQYjchLM853/NNff29//kCchHXBkZ3CBpME
668H4skiGpeVXbWf4gbVvKYDGKZxGSvEFRec67yMe9b+776phbBkQ3RgZ+oK/bdrUgYBrRkwm3nT
cDpZgmaNvP2qy5AE/lg//fWbzUf6X78y3syY26kMXsm2Z0ngpyN/6FtmMUNk92qiPhVg7OuQaptc
H9p/8an+fKdZXJYO4WNmWjaBn1/fyMwboyoh1+M1zc32bBu08LH3N5xu99efyPjzl4ZXz+YUyTbR
1B3x25cWptRCOpOTMTY3aFDp2FIE3RDNTEjf6lYEkEzAUxNZVh55qjmnCobUhUjUkgdR9Np97P4q
AwROK9HudsPH/lB+7BX/+kf90+/EQDYHEYKww6/FmQkmv/zyNTtsZenFezz2uthXXtdehnLgsPS3
34e8tfO9ocyBEfLr+7h11ICyp9iYIl4BqUiYRYyrNcsOH+/ztyQ/2Iv884Gd+X8Ymg9R6h//65/q
fT+ja/7P9q2cg+/N7y/1bygKGi6ynAkE+6ev5U/K4P1b9lSETwU36Hd32yxj//Q3v0uEnvHJMk3M
h7bL62FSQ/b+I8Mv4N1AofLINn9UzHEr/yERGj7jFvREfIeO6RFt5pb4QyI0nE8QWHzfB4TjWUxP
3L8jEfKKXCr/WC/IwKMzkpXzBAiVeYiCTvnzJRunXtywEwk3jd7eusxPdjkBEpJhTrfxtVy9wfoo
mOr5Pn78fFyKIWs2cD7AgdBnufFLGsrWPbw7mhAM5dw0UGE2xhQUe+6EHFMrIEQRhO6V5YViT9lp
uWmBc71KMyg3RCESwUtW7TObNb25SlhGcbQNsftItXn00FZFc1WXkj7xDv5/gF1M945imLx9rNhz
sfl2SHklCW57KsXJKnU2k2wAxC9E6yRNmt6R5uL+0cUss3TKysSFRrqFp9co7J10vRj+GU2uy1za
cq+aMqGxRNCmVNQuE1MzGzhuabanFcsC8OAZ3A8z3oTVjtyy5jtXXeDFBQxe4XwupN5/xZOI0xeW
aruv/CS419t4gHytY+lZgFeOrkfOtBA9tIEgM2Vf8bmlaPRhPral61TGZF50oNe9Gq8N9ow7gAXq
pdQpsNGI2NXsZZvm3KYouStVZD2DacN5CHRlnVrL0u4jFK5HrSyIqBE46Pdj3Sui0mGxllZITGHM
+IWH7jD/4BQfwRGhYSeiwqv05K7szPKkZ3GL4jhkxbPbVc6emQxyEaW8Jj8kJskFtWzlNmWodjZz
n8R8KsYRDgBzpIWnYRcMHTfeQrUoATQacm9HgbfqG3UoCaRgSkT5Yfoc3XZDzLk2CXsDGslEozPG
Pzqzukk9hVGdHNQo1BUXVJcEc+hY27o5Ik3IYX8VScbaQ0MEWDd6uITS3cEeih84r7QrwI71EYNB
dqtpAvSKN9RngbSzLdE1l1qrrDMlXPo68wjdEH/Wj3yjwd7UmnqTT6n+rZ6m6RDZYXAprSK5GhMu
VFkq8dymxbAhNNrs05IyPMJm93WtqFiUJaeCLroQ0ObY58vqMyaXYBN2nv0Uk9s6xtibliFcvY2L
sc8SRFd0vfqaE/lbGGKAJlT3Dw0FIHDMu7agH9x34rt8UDs5JJfKBIAWOQe32nBUJNOKHoKcAqW6
7qpu5xRthdPBNFOxqJowvuc+EFeNAcrTTx232OntkBwyMvyPjdC9ewCnZboqLcMieZ7j8lpUg8X8
PpZz+L7W613KNXWt8+ujoI3eigWj3Xif0zQFybx07YeCxN21k3vWzqB8CA5djnMxECp+x1hWbaSi
voQsT9A8g3YmotkR2iIAZZCwaGMWitDVqUjhOhkvmKSiG/qr3RUAPR3K8eSFl2qoQ0ra2zC+HTyP
IKwao3zNbrz/WsUJoPvYVodRL5xraOu4R5XVT7wSCTNYT8Ythnux86aadCOZqf7e8wfzc5cLtXOB
4Tz7WZzfj61Zyh1tjfYz13f8Hrm9ZS08x6jhJI5m9GQEmZ0hw3kzVTgS4pzYlDCOem4yAUnyj11v
Um9VWMOUmCn+26pLizM0W+seu2ZIaMsx78hAWiem0yY/JH0Dl4hTG9Ant+YoJcENbzu9C8+TSowb
ILnuNlFxe2qjKn9JuIT5VgPLfCCm0p6ytLHo5Z3qHQMlsktJ5l0XRY5GmcmxmMsUA/3oBpWx82sV
Hh0MJScYCilTRceBhCA1w7jXHBcfpUDIws5viGuRtvmNJ0P9luiQiV+HIEN0qCYlPodZrgONrkb5
oqZyWuo5qUWhVwmuW6eeR92HZA7sAuoGzApbvYcirpXplvxf3azT2IsOlp5FO+UX13oiW4qnNEdb
VRaRzchvjd3gGTmptFYtHW7cdaPn8VbyHwssacVdQxSX2UsMrzz2zz3n9itCsTQVWX58Rb9PujEA
RRwQUvtj6DKUEK2jP6dTnV71vTMsEyxkIEEdccQkOg+HQvcU+DVCeZdQ3iWa4liMI9iAEp1nzTTp
2Wiycp0ZCC2WXbhfQG1tXGS1xGXewq1PWpJUYlSbEbpE2r/aJdWCTSXWbqONS/zZ8bIvtZhcaH2I
NbveOp1j7xk0nU3NFiugytoNEAJwqrSm7kMtOOihhNNduoOONVQbH6lFxF0bEGq+MQP23lBotGot
QVlRX31PAHPY5A792ZR8PWb6aO6zij4qV8bPDLFUdjBtU1iLigqKFfYibDp6Nw2bFtTGrdHbydXQ
axVwtqq9lqZ5FJ7zrRuqHQCPCnkFSi9UmI5qjcGgnNs8YYgik1tGzPwWrvSjFIMaCngpugQOC4nI
BdXWmAsHZw7zRTr/tSNOsq2t5EDWuUuWgUN50mqKQBWtDK/F3BaX+Ip6mT3lYwbpNnO7r1aGxRli
8BhfJWPbb+nmpHCnsLT6tm4zuZ1q5aFx2B77hH7ojnkUpvnGzGW4akbypVOnWW9YgPt4zSPeSdd2
1WIkRSnLlpXqYvoOqobnQGw25bAYTUgLyylL3JcCZfws3Fad45ROzIpT00pA7sEYx8gQmukVAtCZ
j+XilnLG5B7KW43847eMo4xADQ9BwBCQy/3r5ID7US0yiNdt0qaeG4uC+jZ2IUHjC8+tWSUe+FD0
qupUv94kaEFftbCG8CKy4ZBY0mc6i1C7BH0xLi1f4vPwUue5MVN4Y7zxIjTaYe35FraIXBMbaVXy
cymo8wGbsM4aAVhF5t2lSoLwIXWoM8kn5bxbusgeASRXG1NMDnn0DFwLubZQ7lThO5x9K4QjPjyx
ase2iwvPALXtsrS/Bnc7HUw2ZA8xmPsDsf7hUJteuLLqWt9XuQNFpxIOVtiiNDEhxN4+kvyuHL+d
Xhj+6DsvbJuVBR1+g2zH6Ss3cDZHzhbb1+fRTSeYsPFKMHFYVpZcmQ0DGR39zBvAzS68vFt3Sr5Z
Nh4Vp+RSBL86u+7LBQvxKm9VvgL7u3LN8UazarAbpbL3aTUSIcqD8slhPVs2NlsKp8mhmnqFvqkw
zvOEMVsMMjRI4oM0TmFQq01e0UtDSzLUqDEwN1VWVKs+kEsHkes67LsjBs53w2gi5HoeU8MSh5Tz
2mV40icH5oHJVuvaRwbZFBhWji2koa02MVVsFE8VXxr9fRvI9vNoQ3D9v+ydx7KkSLp1n4gytMM0
gtDiaDnBTooDOMrR4unvIqtvW2Z2d5X15Ld/cCc16K6siITA+cTea4/J2G8HY7zqUcwo32+aAAOj
hNA+FiuYb9YmDTWWY7bytxZHWby2rPGNP9SfMSvOX2pvRvlLguPWjqPirKvUeuF64yO13a7AW6kS
AUAhtTdOpGv7IrHjowiFuFNEiKzCDls1RN30xnREdiVhJbxjCOWdc+jc5z7WUsItVerc8oRCblIq
rs/0IfldEZnO91kfyURuwwLzmmlcnc50jzhene9+HPoXNpagCoY4ebDqqjo5uotDGTFU8qYZeXvh
2MwO1ZwOQVOJr8A1/L0oYJ1Etuyu9Pbem42pbVPIomAeyYueuojN6kVNFakGNU79Q5mzUQXAryZO
D8j90TwW24zWae/Xy5bWEdN9SLIp68q6OxLKEQYFms+jNabT82A1xc2Yx68lHNtbTF7p26B71d4S
KsErb+2wLKebiZiYrUhcY5PXYxRMsVFeayF506kwAmcIz77QOZw7301AUqTOCyHMREYmXn5TdRx4
1I/la4wU+t0vsvTIzoEfcN3YZG5ALGY50HUKkX4U30UmUN28cwFWq3n8Gk5Mrd2E917omXzy1PTb
RvAeH4WITqWonty2j148LaTKzF0dzED/xsjsgGNhl/st0+Q8+xh70rx5owIVsyh5A93pmlXKJkMn
Wy2gzWrJQx2+JsnQkc+h8qOs0fP2su8PGCyNoxihaLPn1oMxJ7dhQOfq66CDVJVJciy+Dcz3vkVY
NA4So7NHCcsYfcjqrxNhOKcM+A17zCRLt+YA5DvMGa0hqypxgwxcPnuwb2DvTLs5Tutb0OTEmrql
+kIMbHXtUqOHHNwO4A+kAInYUE5UvrZvSfC45KyD1mOUTA9hmDTUCzL7SA1/5q+CXD8v5vgrzZhJ
SnJtsP6Fq9yDCn8iRHC4J1KNIWNVWMYbXCTtPRd+t60SXWFRWujziZ/BspjHnKan9YzbmgnaOuyB
N3nkPxFC4LMDQl0n1sSxujOdXJ+wHuF+OWRdvJLwhL0qh6BdagWg4bC7WBqkdbQVosQMQOwGqYSJ
9+lT8Petfx4LmFgh6/axL+bAh+hPeaofAezoYDjz79Uw7mFVPXod+bwuq4Nbon60VZoV077xRLSF
1VNBjy7bQ8rf8g0Ref8x97DAfYgCz6QL+2cW5OFXjZqJfHSmx+u+dvwdt8fe+HkvLmxc1Nlt7fxN
sGSiNnKcAzvAaodUgzhACHnaxiDsTt/7MC1qcuy08VwVBUd8xSR/Z1ox2TUDI0BK/dLbhrX0vpI+
7tqrsHGIC8xC8Q7WxhUr/Ajps6JE2ih/8q/tMGev1dgnu2kR/7qmNX64RZzz7kgLA7T7RPaTXcx3
ESEnx9SZR7ae+L1XDgB/dErC3ISpmA8zk4p7n/iaj2hCiwQ7Qb0q3m8c8Y11EJOdb9x0qC8eGgKS
FFrAVV1r6OzXqvKuxd6lUbH09Xd9jvpHrXAHsYKn1lxch8igocMytCL0x3vLGqvaicb8TCCgHVlP
AW6HVW3d4hDV1wORG88cHIDa9aaLA6U53YU9snmsQ5Mky2nKXzsnpXKdBalTPO6gHbLyGuIsvWLI
I9dkbuYpKOMCib8N3+A2Fa26obhmvQYpadrX0uSoqXiJ3uNqq/1VEjMNVW6ORMmY6wepqGGJSU7z
PSYTO/DpYs5mZETrKiuaJ1dnw14uCRFTk0bPtvSSXViHEOH9uZeHoXDNldMM8xFujIJTPg+veAD6
R58q9K4zB94ms7Sec2Lpj35vyC+R6HgXhcN8ZSyLLgdSR3SuWQpcioaVdGwg3nRk5hx01ROEPlez
STStdJ2P3tZiIo3RsH8gOU+RUoh5fLGxaDBrkT5ACdHaerWJcNWetLkxNlbp0e1WoTZvMeASX0rS
2RsaAfXcCzxVs7JpDLy2WU2eWd6QhuY9uSIVR69mj2Z0vRMQLJlfnWqixJLYxqqVkEn/aojWDRxd
xjehPZq7ujFmAXovdd9m4F4UDbq+apWXnbTUoepMpChXEHuqjahCCSUem4c2eR9qYAISS1YbDK22
+kQPzt/DWJsg53vTWruhx+maDlqKCXCZPRg5d8mAuBHUGqlwVqYj1kybrt/AsHW/EEsek8siKZf8
1EV/JbQqZ4/FdF1fJxECPVFR3moA/pNQZpfEXgQd5lisndFGhPr/dv77/+Fo1/JNViL/WRLPs/NR
/zzR/fMP/GOY6/0BAslB8WjqbOV+pCr+Ocz1LEAE/M8up9WfKPJ/DnNN8YdjoisG6e0TpekuI9h/
DHNN+w/+BNxjS9cXuafu/zfDXM9lPv3LMNfUmQkbKC2dZVeoQy/4ZZhb9WQyFH5u7VRo2I8ysueA
nM/iSAHRBD3Kp11f5W9xin8JWJNHnHqeg9J0OnQk/MPeFYylL3Fppy8yjhMidmf3YviFCA/j3C6E
a5OkNiZFrkts9EDPyAySvjqNFzliWxWHlBfADhfS/EKrUn7OpWhf4lmgu7AttkSuwMuke0uXRYu2
toHabanBMGHWvXkPyK062WQHHlFV8r72i/YQMajFXGVq1ovmzqZ9Um0jTzIjaxk5g108onac9QM7
Iu2kSz6I2lziuGSggzvVycMnhBHVLnc05+T6Zf9OFluLdE7zCFeqxJQ8A6fSn+hVB5+9dMR/2ypH
fQ36FMU5og7zm79sVlZunJfHuhmjrdO76XUGQG2vZNMlZz2XAl8gHDLGY4IlN9Px+g6Ie+qvWKBP
dz4LrC06nuJSeJx1iA072mmzB8V8E6H0/DRQDtyHoCWRc3GufijDyY0VE7uerlybqisha7xSK/xt
ahsKWyMSIu7TO94b08EdHAxEk8XsoGChyWFDWKbqRHm2nMY5SMOI5iBH8L7NBVoGs3MwCY3WJ28h
gUIudqS2KjK73kstpfHCH9R567HVubtx55uYRr08eW9Igz9MdiE2U6sr6lJDPDilLrbMzepvU5sx
R5QN0q0ONc9XhXfqzYBjdET0xjSK+Ko715vMJ2wa9SV1Uums40kX2tZROllWI6DTfAn0jRgy8aL4
AX3cszvwb+qqUJuKyiBifm/nR4Y54oyhcjg6bYv61FGoSKU2bAy3c95x+WWPOUH1D8iy42Ff0sHe
JbNGye2xxoc05oz+VYcCfqNcnX4OqAONe+2h5K+EeYATiWMOUhtEvWbGKFwMXFKPxpZTW/PlXRJ1
CGlSYKTncGgecn0O332ysY5aatu4SnL3hKoq20dmbXKZSsO/1h0XauUIiBUr1SOLXBdImSnKfYRW
cOXxbqElA/S98pqZzBCkhNMKtI65Saa+vtcoOLfeJDeEIBIxoqp3pfIwCN0yD6q2154rux4xqpZH
fey0rejCMnAmmyUBnG9E6ltaA8ZKtf0Sxrg6OyJfylJgwZ1FfLZ1b/iW5dVX5l7VNQfrWdWKMrUJ
16GVbjK/AzKGHLud7eEmR0snHAXzQ0LcsEx3W+KszW9CJ+dXj1ACi8rAHLoIKkLFoUKOjPDKZmY9
MgmC5WXnHGu3Wg+6hWjCzmOL4X2bnyFAwxRl1PqEfLG4aCTdr2oDzHJmt11317ps0CF2ZTVIWX1h
zUMZ8N5xPxI00HotKcxjG8Vfqc50PeA0wbxc6jP4TTrlON5ZHRdnJZCijkjYB74kf8gBY4WTkpRm
bPPaeXBasu4GT6TfkNNCQjKktvVc6fCzaEfm5I6903tbRwBdGQejJqazH3RikyObghMjcPgkuLTr
ru09QFMO7ULkY85M44EhkJ5h4oGD2W1BXc0X5h76gyfr+d0zFvekmdQ90EuzPFgiTG/x4YVbotiS
T4WVu11RgZgUia0+bZdcsU1iacO4mk3BA2/13ZvCd75nhD5EpAimyZ5iGIkNSaS0p40wL4i0Ac2n
fsJoOKpfbbN2+DlMNQRR9n45qvZNRizMA06X+lXLuhRxPWKWgB5M7JqO6S7Xv7llydaB7lR29yUC
Zb9BZLGfI+dksNo6t6S6vtZm1JyiaNx3RMk/dKpPD7LwAE3gZr5xG31mFJrmO68orFssUoodGYq3
6ZYdWRIwu+yfMCHQ86qhMNdyFJAQUqVd9Yaa72Txa7oZVJ0B6eOExy7vG0d7yN5CnwYIjG/6XCVd
eeEyp3d5Otvv0AWRYFW1PioK4T68ieJuOsc9IUOMg+cmkF1rbQav9deN45mXOJ9pxoawSza2353w
J9rwDXqnWmn9fKo1nJQrlgf6w0xU3zab8/khnGHDrkMsqS9sGSw8rGN7k8c2/gTC2lzU85hQG1fK
b1Uadwej77hJbLqSh8yO+JUtny0SWokWGu82gnS9Nw3lfjWGeNq5rO0UriuTiWCRAQbLjJGVpw0U
9iwaOoGVHRGCO/C6V3W1NSQkRvjbwz2pxgBCWy0qdyyRU+L1pmgX2rFaE2yVveBtnZ9a9tLn2YIa
ygaqMo/KDqtuXcSWcYh06xuBlwTJGkP6haFmlW7mUqqn0egJBcKrqReBX9XiPCpPXkwPTPoCnl45
cf7BjCXhZ5zKq7Tr6AZXGfBAhkyRtcoHP30fOE/lOo11S2PUUpR3LMgN1CpVMj+WUHsJPiIM8qg3
tfvcVGn/NErjWw0Kbt4Rqg50O8os9nlN9F10GPEKd2F6T+ZorabGxlTO3HvcuIxvn2UthkfBUfMB
LoGkwsIEzwr8QkdzzjxHPQk4j98ziyYee+tC/KXJUnlrvIEKMF26rsoiYhJl/8ghOkaaxyDDkceZ
ndKrH0Zf/KjZ82h5p8rz5SY3SXLHg7wHevegM+wAI1mypqrCKxLuZfBbgZnthvlQSDWxGqp5SPYA
NZzTWEj3AbJxuNKaztxJhgMHL5YUHc6cNl/IU7oiWOVGTWZ9MGkwd0sCB1bhWpMB9NosKBxzuANr
1lDvAdaMyfHaKt4pTwwBMtbxbCi9wqhvoXCPT6mamZumUAuZJ7jLGIOFY+loj94oNqM9AcTUTe9u
aJz8WgNOR+qXyBdjYuPQM2MGmlmob6SsprshbQp0/UyhR1H4r66VTzeh4Zbf+sYct0PDYms1uO70
UNtJte9kS2FiNnsIdfE5LrtpSyBfxZgMasNolO6nYCK7VqFzo8w6OeUar/sCS8oX0gX6knw7D94D
YeGkZ029lpyyHGUVlWQ6foaswM/zJKOEsZXmXie35iAZxvJL3tfmBha9d4pCrd0N+ZDcuhN1lBGF
/la0RrqdpQB+HvpYVBK81bBb0H8347fcnZtbEJXXzrPavcEULJgMVjxeC4xVMMI+s/wjPLsbzhSd
gKf8wr4Brp3tQ8WxXmJm3Cor3ekiOU9t/AX19Ddl+DciipotPHIsWXaUiPtSKWUBmdeNbVxpJ87E
nCCRTMaPkM8xtJTTWEDWGDpJGeFXM1jkdthaU6vdexjs9bdBzZ449mFDMq+rfO59mdmfFFllt3Pg
Njzzkqp249Aa35m3R9VxzuHHrGov9b/1nWcY25lBxHtj98ODnzkisOduvuiNdkkN6dxTTE5H6RNh
YulNem7qxKeaW+LLPQS1+KsiowGvWDvWI/j1aJ839OMQIsJgaCXJusq9ciK0G6fCt+pGZg/Tn8Xt
q+JPnM1cm5o1deZ8rVuPYbrSK/EGyhuwcW3WZ55XJGWG1k7bupr6u1SrkgEYl+tdiJiFTaxARjMR
osLFyJRiGBuNInuYEb1UGzWo6A0xRH62mgXHbLC+vVolFQqEe/AnFKs5825S6G9TEg+IUcsbiJyN
MyTzOq3qiOD4mTztVRqq+AV0KiJzpQC5szTWjhF0I8/umkMJpuaKdcXNgrYBFdu74s6LdNuiAANJ
vZZAwtFeJMaXSHXexfVT8dbFUJux8Whox5HqLuAAiO/rkOHhuLZRIfroeUfsFKUyKqIXBu+xAQjT
rmoMN5vRE/DHW+ZuduXs/NTPALypGpBbzPQBzUK949T66BOSi+Cdl0Hs2fEu87D1jQmLUTO6ZWfw
WaGK24dFqR1GGTa4jnGnqnhvO8l1Ltkg9q7KA0Ig2gd9qDUG30A9gW6HKC9Ca53Z6U5bWgwhEG/b
3bwemPOW1IZ8k6PrFJ86doEgiTQ27cyjuREM51xeOUnmE40Eu59NV7Ye4uixXQB5RhY9acvol3Zw
2NayBQZqFuDOvQsavyrI2WdYSTtuaUa+IHU/p44MmLQDbPBRkwg9em9L8xQht2CiVZtBixk8mIeK
EUwZtwcB02ADhZyBvBvOxCnmFjFPPWpwFjNB0rMbdBnwMtOrt4Q0BHpGbkBfBcz19i1WvQB7183c
ifR2sPJy48b6fOHZs3fKCqHPDb4BKnoC9ErfZB1lQZZgqFCREzEIiL4CNg3TqQPdmrioilRhbee8
SSlKtanfjUTE4gFxDFZgWTpZa83viCUS4L/P7tTJZAmGL7EiZIIoQo1NgmX3e1sT4XNnmN1rIwsl
1zGKKzqxFo3ASBy2Cmaz7+8AmuTxxo2U/wyhevxorSg8ETY9OIRQqxUFjfOK56aLNq1G8snaWNIW
jrplJPeuimDKYOaf95B6xhUvDv0lKprsgdgPhduztl1MdSnBTUKIlhrUa2qOvF69sM55sHC17PTW
e2zb1DlxwOBFSJS3H7PqY1ZgntFZ4fIa5Rrsq79Rht5/N6cuNqlOdY/scsvb02MhKIl1lb0BE3bX
o0nyK+TWsH/nyUpwrSu8Xnke73J3dHcjGa4bByPGgVCu6Chnc9yjOcO/58WGv0nMGrd+xJnPKaQP
z5GTZm9l5ie7xG07YPeiEU8ehYuNUCUnLSuUVvqnePb/hJV/B/20nEXL+J/Hb/uPevpdUvnnn/kH
iIJhGgpuXQjHsN2fJ3DC/gPGIykqBh/xg+v5zwmcBaOC0RupdfwCUS0v1L//ncCJP9BmIpde6Bb+
8v/8F4Zrdju/DeDQ/5LkQzqGRePsozP/dQCXGib+yTQudnJJwEGJzvCcriJn+yXla8Tv641FbXYo
3CXm2l8Sr5e57UZPq37PCMw/SFW3D77NfyPoGdc8l9Qer+ZQiOs86/YTqebNZUBmeiCrVX4hwte6
dnU0Hgr+uXfRu+hrD1vZtK6M1v6WQvLqVviT2qtLcO0j1mKelAQj5Oc0KVpDz80eTYSbZKaQOreU
/7dNZcHnZMwStLGbHyIFfN1VoXzGANoca9wsz7wjyNGQ+TZhGITqDzBgkVc8Wuy4SEdsyRwR4K3Z
epig32gpysxjER85FVITt4yuPk32LmmSMrBHSPJW1aUbyxtz8tVqASJHttcOMT2cZtzJrHtX5Njq
Z+p7dbHiWDuOmW5vHYY9V9vs7W0v0vShb/X2Ura8sqVwi2tl2g02FlYIomFxkhWc/6zeiFrK2Aal
nXMN2VxjxB5xw4yd/2bUtoUBqOh5r5v2RjOr9CbLrHrvLJVDWy9Be107f/i5jYaP9fS2xEoQmHHN
lIPdzoYNP/MNWzefwlR9YpZQTlC0NaG+Y54Ob8jwomcWuMMra6/m0Q+78Lsx26wd7B8kUYDhOJAm
8sqTA5bBvNnCpdLfckTCxLZSaDHCmsX4LqdqsLdEXSe3hdeHZxbP48nHN7mp1YDz1YZbnQRl5/sB
jsrJXvMb0by1hj6uXKkOqSUgrvzTWPCqYW+YrG9LqHB1UxZnayGyhqNTPWQT98Wucn3dJOITMHdx
N8f419CtWhdCDJBzaEX7ArAbp7Hndy8sqpNnSl50OZV2j7JOnWQ/mJ/amDjw4iTUdNlVHfCvaBrv
TFN+i2Pv3XFEeAHYh8J0FOHJzCwn6IZiaV9laRiLhZH3pRDKufR9J+9jOJdA9pvpiGhU3OTKZ+Wa
Yscj7Hw1iKg/95VZfNRNN+8n0x72EUK0cz2p9MBGakN4R7gv8VBGqyXh4w7EenkztMO0nYA/HTF9
Om+xVbveJp177VUkTvIMays9FOkwvOcI/8luwd0V02EFJViq02BVTZD4Q5C6zl0yGtW91Y/52u+y
/gNbY/XsjFa8q8vOelO9Ylff9Sz4ie4TBnZ9fJB2zuQ24F9V16gBUEp/b0cnNLb9eha1unHGhCaE
CPQXVrQu4odc7+CGI6NFk6fSrSQtK+z1Cb0VwID7SMvZ+6WcDjdsKnjxYYDm++rY8llIGcOzS3T6
kX56Cui2yksoWobArTRvAIA2F1UQcdHGmGGbXtS4XemUk7WrlEuITJT0mzCjicDWbHz33Kn93rlO
dTHRsNbBkEOOZBcFW7AvCoXXvWkYTA6uPjwldVxUOwOMULamnE9FAPIchvsk6YzBUeBbs5b6qit6
52IWotuUmaVvO3zlBZKzVncCQjQ9b13IWG1a5DbJdhaad2VZX82rmqP4Tdjke8BLJC0oSJ3FmYnS
TiOIK2O4h3yEyJBjPQ/xGUV2+YoTKMoplKPubtT64lvDuIZYKlQu7zarQ2dVqCZ+Y7FtAaqzUmhr
aFUE8/jM7MTbVNioFGLN8p4MHG1X3HTDawXsvDgmzIFcSP/ldNAG3Sl2LUJZBLwUqF+iciR7oGVk
/YqgN4dYT0LArb70BFY5LYc2dBcORsZrgAFa5Mad2U/dzjP1pXw2fe3NjUfoqmk5aqjZjAa3seuK
XN8niUlchqVr1XXIZBVvxrG1RqLWjWleN9og6x1i+JSNjemUDwlZYO1q8GZaGwo0hLr1TOBd17lu
fEowl7YPChbPSdRzvu1y1dYb0cWMpSWMuAc9Sqk0ccp2bwmqVWcNTAHC4dANdrJJSXhhOKe5JHE2
TpiuwgxdVYSVqKenTY0jUxf3YKCFafCpJuNnTb70S1eXzY6AjClbs49ieJKOVXafpCJ86Qa/uWS+
/VlNWv3hJP69PY56uZqdCL/dmJXuttNz/9g53fg+eT3bHbvr3XcQ/I23XmZqB92NBGljImM3ZRBz
GaYEs9xG6KyYHdm5gXlA1MPWlz5/gVrE7Q5WWUuWGU3+QJuTyye2GuMiJY2ekQvjkuwyuwmoVskY
GlAefCesEJqeP4wtEp5Y38Tx4JC21DeCMAADtEabd84BZQXPfc2D8KqYCiFDdtPTkAsTZTVb8xGa
FOy6HePkfocQ1HjqaD0uKWkhEXlXukw2Bab6V0f0fGeBz+vo2g3psvMMwH7VMPg7lllWvTC5zu0D
Aa+Ip0ORw0qy4Kk1i0SBpqngxuEmMPB16A1f0Omj7Ful9RlqzkrO10Ijc27Vhkb2IousO3GGGh+6
0U4v7Oq8Q0Y4HzsSMctF7gJ+CjQ/nEJ+3N0bhLb5Du1u6K/i1B92wnG0N8JHxpM5sWZDGM5Lrx+d
XZgU/jPyLe1JV352Z1vYqINhdPogbq38YmVFCBYYO+x3Dt32RoYEra0YQbTPfW9PyPwTq3wHoKcO
Ppta1BGWsh7I84bIwamofSmwn84rvPf1koi4xGiZoUepwEIj+0hiNaud1vey3gCxQAAkk7KudtLM
9dc2rxk9kF3/XcS2l78YQ0hCfT0N4l5aMo62YmBgUffgEVdtWqa3fmwgw25Dd4mmiJzhFLaAUj0p
47uhjRlWNN4AIwFvsiHn7Av3im5nHj31PDQtb4EeIZtNPM99WseaWqXItmoS5IxlRaSYkGoiZVRh
Vpr+rGRqEWTY2QKpHtEdhFUJEe3bpPa7s2DnNG2AmEWwpWOnvdFZB/LzFGaTrM00Dl9Dd8wQ8o9k
QsG4bG/gqajnrhndu3ZIfMAjCfdd1lB68ObOl3nUOVF1z27uOyNT9wPcUP7Oum5uXUgyPPFRkh+S
eHLPEprxkg2lOCPYpQpc3Z2xNUimUmurT5ONnPWWitbA3N2QsXgDFQ5kbuQV5sdsiPJZq3zsQgZb
gqtbj1wRP0srHH4jV0jZKtkbY+R9gOa0vkKu42tFvoQjDdCd6xtPcSBgLn6lOyTJLOv850RPAInM
lcbh15rXdLbkJZscgqg0J5sR2ktAuJatUM65BiucXLKj2pVwBpBCjd5ptFtCMFiytDJIkrh5H2BI
AKrAiP6JViz/jsLZOjqhFn1hBzDBzWxm/8wcmhgRSz9Mc8Zr/kcn9H9N4981jViPcVL+56bx/JE2
8ce34ft39bNyA1T/8uf+0TguaC2ssVC3LMx9PxJz/+HDM/+gaVwcukiaLf+HqON/fXjGH0JfzHZY
oDFc0m/+s3H0UG786PaEb9IOuP+ddGNxAf6k3CAWcAmqEEI3EJCAv/MXZcdPtl2nHEKCZYkodIf8
6Of4WZG9n6O8fscDwZhY6BSYi9O87nahF3XoDvVnINX6uWz6V2uQb52qeXLmaTfGfbdvq/ZWRgUc
WNdYmgEtAdtHUGDtZK+t12QrHdkiwoHA76cjzhoT4xFI6UFp0KTkzU934/ZPN+HPaL9fDbw//nKe
BX1MtzxELp79219OYgNp5wnzwJjLAIMwzctnUatb3RXr/+6T7KX9Jx140doYLKIWxN9PlzHSakP0
eU4oncG+ADGIZFc2tWVgqCj4649aogl+umWspG0wgcsQwkUXa7vm4qz86bMmNxlybSDivXD7ryKE
pyLy4qUF6ks9agBuAXafuT1rtMpVgei7Zo0gmgTgqIp5uQ/tfu7Uzk4Ydrv9I16eC7LNOXCc+jXS
hhMi5Q+0YDbT88Bxyy/1iPtSWTHAEQLPJztCkukkIMEs/QimqjlYTcyevmdBbOvJEMTh9OH281tV
Je9WJQgsS9kM/fU1MJY794t71Ea85CA0coEmOsxQfr0GoSNYp1pQZkvP28US2XY+IuePWzYQ4c4v
X1XufmiEv5ms9MelRrH7/BvIjO9//UV+fNCvXwRYnoXOHjMJyqUfcMmfb0Y8jlEeOfEmazscRFUF
2kQTr17ULPuA7Ctb7ZMtsWBm2anuWDU6E7ZIKXaY2rJV7pt3qAQe4FIHNL87OxIfs4ze84nNSObc
/82XXagNP39ZgeSLQwh2xDLH4nD59aphn/O0lMZso+szSb501RgfHokfeag096La5LHpyoP03f3M
ODOp9Ge6e5Bd7BPiMQ7qWQaAohj/GwwswECQJPvIZtz+832DKTv6Xv6bx/Zf7i7f02fx7cEwtAnR
+DHt+umiOlElsAcKDcRY9sCqF2BITrob4uSbAVFkEzbkHsqBkYpLscxC872v5gdAnpsl9fSvL9rv
cM7fvsvvUTq6q4wMsji6F+gXo9JRzxgEtVgMT8xd87cf9+NM+u0eUVjya7K5U8j9fvtlY6ejR8hA
CsDszlddpErWfriQc8YAk/1gRJmJKAd9PaaveE0gF1vFeDrYevwuJkwfkn0KsTag4Qu/eA0hlkYw
BnPZPM6I409m7GZrVo7jNnSSO5+ePmilv9Ks+YyY1d5LFy2YArREoUl6gVkaGzaxJ89nOK8RNryx
7eqcVVq0xTVAQh0uEmbc+rSBmjavHID1K7PGStJa8+1f34hfD3OqqGWOis/G5V0FDpj33q/HHqY+
bLbciHm2N7MdbaW6jtIL0vzy1x9k/utjIvQlFY0Ckw9CVvnrJzmzyygn5Jm2pKApTb8XjsHuBOkU
6x7AD8iFX+Q4PNjVfGi76d6azLfQy5tV34TvdciwwGm+4ZhdFXpKHqfJCqK+LOmqf/097X/9af76
PX+jMejgmiKTIEOWdO55MoZtkwqGMzJ/JZlIZyvV09SoPmFegNEsG4tLPapp7anqNQIkw3prBghp
N8jgQEDuLeTJl7qp80CiR8be64W7qHLt4+zW6TM9drmGjH7tS4xRtsLcoVomUppJQADoOLl29X4K
2KYxFqoWXNUwISFCsr+Bo9ntCrt8GVv5EcYKqYUapvfJ6Z6x3bIno3L4zFWPRSmM6m3YVdGJae1M
BEH2/NfX7F9/RFQ7jk3Vw2uaAK/l1v90sqStT7lhFX4QOeG1LbFRtP06scQuVOb2rz/qN3zI8oP9
UXMIa8FMG/B4f/2sETZA11gllnFzto5dN7+QDGGdFDnOz/FgAMqrmIAV06WJPiOREG1JdDVcK16w
Qwt4YJ4Ml5vi1LeGP/3Nl1s++9dTRjD44Kn1eaioV3/7iWeyR1nmpSGZVdlxorV0tNNcPf3NFfi9
UuEKMPPnEBN8hmEu64+fr3ZtppitSFfeSIakiDzG/QRtIAiddkcibhlMTXc/REp9ZJXzJIfpzsFr
LHUSU4RdsLOccYhWdVIwSR9vEdbH50yDYVyjRP2bguLffVPXs3kp8rMwDf+3w6WVVpiNDvxSzy05
VZJ826MycGIF8QioF2pVsdX18OTh4fvri7SgWX65E/hdTVLk4MryVnZ+P2zIT2nnMiohpyrxHA6C
I6Ze537Jfti8ZwZHdHH1Nx9p/LvPdCHGuCRS8Z5xfrsvfj7ptkgd1hxVuAOEi/09USNSLBBBGG/O
CKG+xkigqtj+kIn7gXURgYD2pa2TaB1rZXnFK/kphXUwSrFO/hZy9S8HMJJY6jsKXBA/EEKW7//T
UwpIwYDX1Wq4oLogYYIYOuE2lDwujFGBDKZzdrL5EQ2j+Smd+NjN7ntT1niO3fCtrmbgTq59bw79
J2rybT7q2wjCKnrG5HZw/4e981iSHEm766vwBdAGLbaBkBmROivVBpaiyqHhcDjk0/Ng/p5hT4+y
34xckMZlW3WKyAi4f+Lec4sDsB6uqoZWXzZfpJ6EzBjFfhBGdIKhdlgwi10x72CzOyG8IQdnX3jd
z7kyn/rZfbO61QFc7wfwfMAaxt1AnNN/eIeCv2/LODtCIFGmsyZ/8ewwSfr7v0CdZZpuIw22TMOf
7Mq7X8IG0+JgIIolHYYhodoRHnMtJ+zGIAPissFlq2acobBfH7QaH1xFfIRp2GGcFS6ra+yUOmBp
xqQpIDl0W0Udac2Ouohu1WrMHN4Y+IEo+BbswoKpjjtu0e2B7oSo4YvwcXBYVtnZtQU3uCjtEzqJ
myFn6j2ayApQ7nyn+SABprRIj7Mt2TmxZVbssqbLlOeXoizIzm4x42i9NRzkeXk9HrT2r9mkHFp6
kN2EQIVQLHTHbu3Yu8lpd40BncEcLRYz1YQMqkCE4XYx/F6DKaJ1ZXvya0Tw15SvAbDXTP/898/n
P1yyAHkQ04GHX3MZCXD7+3ei9+ukDlgSbB07bpejFxyH5tjCBCbK8C8/6X/3mOX/JpwRcxD+nv96
gHL98Z3OH//jn6TqWf/1pb/bX+zfGJHQ9rLTMDHBhDwOv89Q3BWEvpbLIf2CtfbCf6Wd+7+FfAGR
TYDQI644fpG/7t6t37iRbO4+n8t5Hb38d5bvbNr//BmBe+b76Lo4tf4pwB+B/rQUS7efyj51t6bC
hs3oPb2Fmcy0xNPWSwg+k1Qn1rWXzJlH6yqsJWLLMcsfa9fObhVGdYLhx9n95ooEZFfrSB6SRtjY
XOq+T58Fl8S8MYwmfKaBtDe2tO3tZDhEmJnlQ8sg+0fgNV6s0364lbX5TI7ExHlRj0/oVKonsdT1
d4+C4BbYRX60XRle+VCaT0rg368Ineo26BSmJu5KXaFcTo0lZsKIaMubCQ2odb2cGSGNZkwy/Hwf
9cnAXibzy+bKVu1DPfnV8jBEXeOc/HQhXwsi0bDN0Zg/VlbDogQpP0CQiKx6nzhrOx1OtiiHduMQ
2fNtGGHPfrKtWSs6FYS+CyK0KEJcaAd4P0bXVveky8lvgooI8RHRVAzPhiWi72ZZpk8iYxrraKuo
rXY6cIpY5KPh77MoUvA8AbZWt14Y1OPVYnjDL3itmns+rdp31mrWU+PjuHAo3e9td/YOsEhPKcoj
40piGzQPqAj8z1llLlZlHzIJtkDVCkDHPoyKdAK77g8wdiyMT1mMAwoIUjSbTy6Rim/sa8R33xpA
Q80uuKFfmwMW163eJSm0jNir5HimeNKHmssE2gAbxAN/FdeKtcdiBPbSEOF8lZw9QzHGwtLi4pRG
VbwvfDgeUEMYLHnM2rwy0FVuGqO0cU0ICLQygY3BoSawDPdrTJnw2XQ6q0nSLexV7zsGf/HJYGsp
vnrSS9cRDyFHWdUw7M9E/hh2CKvgXRBmUvK6+zDxofQuVhoLd2o+zGYiOjDrnV9gW8IXV2H65czv
Cuc9lYG/wSA9xEE/fTpc6JtIDMaRkDIshuBJDgS76nSrifw6+7p6kPQfE9GT6cXzZu9+HWBgMi+z
azFmnU+QypIeWh2EX6piyR/jLC9fBzX1PS2IN+mNnxHwR+FoM1TvgdcXcZmXE9HxKbjYqw4b8yEA
zsP2shTdhW06utm6fgiZI+yyxgKc4uba3hBB/VS6LgZ3N6hjUw583pmJemkMhboI92GTwB8yk2r5
QAfSpy+92aRIwYCV0nKn0O43k2WM48kMdDqwm1ygCDeVCbCQqJqMuKJoSF+7McOgysZcN3scsph6
Wjjd0TYtRshOWEmcdO8WKEkpt0YLQGVmAVki4OPNYTnPChaomZHgcu/dF7YJrXHjuV2q9ugG0n4/
MTDzti5i6Dlmeut4+DdIf9rmE280TLDaA8/j2KKebtw2EP11MhApTwRcbqKEifi/HtIQzzNqV+aF
L9idYPtC9ODuJc4gbGJYCyTQ1MQY8ilbRvKu00w/YYz3TqEH2v+x6Jo53GWGjvKf4zDLy1A2DH8d
hopsPheL2El+UTsmTqD4WY46UjsnSRQkoIJ1E91ZwNIQzDfmgy40YJkjD0iGbbWUv1QECojgE1z9
SS5JAeWTOfVEftmUDpFy79WQ1SCKPO/bN0gfPDKtjbKr3vXUpxOVio1nWrTrogr+FezGjEMCTlPt
u9aP1q1Q65mF5e4JuhJHz5QtFW8ombF6GYKaBQ2WTQNTwR0m1w5VLAdk0MWwfVqsxh25KlYmE3S7
Kds0eu6CqWxeq/FtGOrweii8+qVhO1ptRg/SWj/axRW8ZYAXyHtxD/m2MLZTF41H39Lj9UCaw11i
hGzlwzyN9jn+23tvghPjprQH1VCnbEG1l6O8qEVzSlobM6AsJ6xC7ZydtR5hhuCwerJq23mptD/u
LcWCaKkj/9TDWdWbiiuy2k2GaX5Ogh7cMewpX0HYqwY5XPqDOffRBbOOEddEehRoAFCJp24tbw3d
9B+Ayab3jH72uUut4uT3Q743SWF74LbMwkNrBd1TY+XTZ0tE/DdMwvFpVNW4H7z6MeJYIoCuxVex
S4fmMe9dKE3dkq528IKTN7TYMlpV62xJHPAO6DuQo3quHpzYy8kE3YdQaBVwOhLCAsKgtz2cnTMB
FSAPBojYdUYzyaDEPOZaV+/ohdEJNfjxxqNp986uHKDvlHbZHKtqaHZK5eONhxCNDAuCR/L9bPGC
0ZuSFI/k7dIjyUxjuxaWvKB0WeBaqKX50ZYjNDKY09xd9SDdE16l4Ywej4VoE4QuGc5Yjd49w3Dv
iX9zrvO2iG5rVawmGD/84mpWlwVbx1s+IJtfWcbySk6FOFfEK/K7zBxUnjOphwpABUIOd4hu+V30
O9YW87mwOh8w29gsDzYu7VPmzZJNrE9ySZD/JCOrxJq+5LsxqTJ9w7tXv5mLuTBx1sYhRzx2aGyX
bWMjv/HDQzSLlvCGymXCLVtXr7NFIBo0jAzsZ+Pi/bJ6tSuwtPK8BZOztczMvzeRJKS4TqP53uoB
Gz4i1DUgQzXq3bYIEd0JZNqoZJq2Crejagaief1Of/rt4L7jShzuJ8L4nJOX1sVrMwohbmdXk55g
5m792bCw/sKnilWROG9lELWbzAD3TcwBNG5DgHJxJq3O8crgSuLMw3foMR/dzKmHBI3vtrpfjSAY
tqrJsOqy1CZkIdHevZvDCPBGuCir3tZ6noyu1jutkajEfHW1lRRm7UYihzrMy6h/eUBF0G0M/DdE
wv6XN+rhhNRHXtBjBFeekcn7omkw5XRQdtOtVw75j7Ju60OKO/GcpYl5MP3Ev4IcwzeyVIbagRkz
STh+x2Uz88fBjFoM/IZDyj8SO6cjXEFVl+/l7JB1G9W5u2snZ/7IZiP50t0UuLuuG4i6EaFLbKs9
zWlxZxmeOvPGo1m2+fKaabFELoPOuL5tmTI/UJhi+ieZDOVKFgrJvq5c+LAaiTjYUd68R0Vf8bw5
9bifjCWzNkkxSHRErXyrG+2LOJtV/VHMHgrrhFbR6ftuB8CoJxHZNZIzXjFSD6TlFaeAX2knODPn
OA/N5kWHov3C4oBE3mkC7wa0BN1t1Dc+Wrt5uqhO1k9N1PO7KdV4N9BtQZ+MMutOdbswYbZdQa58
Zs9bpQISFyh2GrlhSCN+ICBZzx0i193ORiPqV5FVMTaiaNrOgEMr2se5fQ+znKsGFelyq6rWc7ey
n/oPrRtiVkjvxRlBdNatg24b49ZYWQXWYRaBuAVIvNLK6t24g1L2Q2D5fIpaWYQxncByk82peaxX
/O6WmZf7akbekD4WaD3vyCVwyh0HTPitqS31BkXRDKeKm/muFrN3lZZNYm6ySodHp3EMHAJBigZM
8Dc7mlk0HDAfuxBJLBVgL85R44f1aD+ybIW774v+mbBVMEjgQ+7GWaxWaq/t7ktbe8PeBKjSUZLA
7aeyH3zgfIPAAOZH2W2O454iLyyA+ztt8VWJyXloJQf10XcaMikyGH47b/CMb048krLLzt8jrcl/
BvMkt5RC3o9oihprj7/efzD70X9v8DdlcQRrFCKNzZCEiXB0BXYneCuCYbmrTGV8Nlh5HqGd4buy
O12da3z3vwi+yuRlER18xwU72DcmTP28jNN8LAl3PiPLLLKtG6QmIw4EoDXhHAoaaFZzCh3btvKP
KPWNHyQ7lgOUMtlhBfA0EDeF73HOSKxpPUn+wtwrzIc2AGOzqMYU/wtJJ0uY6F2T4pbj/w1auJ9V
Nu0JiJAXRsYBXheRqd1YC6wOMNJOVtW/TqauNoloMgRCM0Mr7GPvSWOuzZQvr6bUARyr5AoJEO59
NgaYkmZbAL+cgbKaHF4bwD3PdkFOkquQrPIpRLbWRb8acLFEfarTJMBAtaEu97BMpkM4QkNNwIb9
TADN3bp2w/k3R2uy+UR3aGj30FQ6PYyUCER+TgO5VyR83E21l57aXHZ7azbI9O7G4twCVvkaCy3v
sZCzv0BpSuQsxPQnl7sPGuHYHccyEu+UM13cROlDVnM04xmkml5QuI1tkW+CoUnO0gOvIyO1xlP0
3aW3BTc1NtbtmI1fdA+akWGItYybuECuOervoq3NkbTREoFXjjI3b21EZ2Bw9dXIB4TcoVmdVWtr
isWCeIqugDgUtt8LObr0NG6yXqd0YzKtk5M/K3U1G/ZyoAVipocrBVwDVrVr/I71Lg0IUmiRmW2U
GOx9hmjzXlfmHALcnNTZbwsN1yyVp9kgZ2kbesq8BTXDPp3YoAts1Sc+9vc+OlmQgM/OMrp3DFIJ
7kHaE+NHhq9l4V7i7YQXhA+axm3J0+sUSWUR53NfPjfOhJ9rjXKh+/R7LtgWTo6ePjJZTHeAJlbX
NrLY63nxAxBFsOXI44ucgzl1LsdbPi1vbMluC9mp26JymRF0a4SSo6gAoVrRpzn9O1UnAdWF5712
czN8yqW7rtKyPXdljnffgvjHEeOITztKzE9BuYFBdGr2cz+HKNmN5TwAlbjJoZo+Ypbnngtbb8vm
EXZVKUr8v8rwTtVS2TeoBcYnHVCbz12hMSAxoX9rEySv2rJhy5A7tNGz032GdSb2ZRRMZy9KxsdE
eAQUhdrcj27I7eb77t4xCH0JiVYqEMEKQcKUGggiohq5Y4YYkEBNsoncNKBMd63RouskRLzWMbos
zRVutSCr6Nrohg1HvuuK4glWcj/8Yn2rgycC4MMptoj1oTPRTLQ1t8m3so3RWePep2O+ZPX7JBTj
id6xy2QTGLkUd1UuzeckGxrK76K6a3LHfrdTw7+1CTX+7vI1nKdwyZRA5G45p57uZu8Ha2wXjKHs
uWin0dsYobSzRym7Gs+qaMOdxJSBybpsl9chBXccMAE6ESZk0y9MTn1HoBhe4HVA8iE8w9oNYJxY
Qg4T4W+Oq7nDdK2NRwvD9EaPgxtzv8jHtAz0h11mHACdVR1tL3tXeZOena7T9a7sBaoQCFOEdFsl
CM+k8Z5gkehjVy+AJ8WEshfPt0KeaHf2Ehy0WTnG3pmMHOQaJNnwOW8z2zxIbk1n0yXlWjKKyzjK
fTYS1AGMJeoXQFyEA2/yITJ/SeAQN+HiJi/mVOEdTJGgY4PQQf6a1ZkCUxfVmMvwPGPRY7Z9ZQS5
Uz3BH1gea20N/qWaUt2dG1AkE1DPudplozGClJp5yJ3gLaraKtqxp7QOmGOcgBMpM8cYWdByTdOp
sPlyY+3HETtAIboRDzi8ahkm4QWwSxdTQiJvAMj1ziNHJDhHvu+e277KbwksdL/KvA9fmMwQCs99
RCUtvUNdlPLGi2T7hddc8DBFwrlM7ao8jNLyOzekkRzbMM/W+DV8kxtrcSZmO5AZPCo+BgYbB6sx
kl05ehCZMjles3EgAA19g2AeUbZdwcZMasCnXQ1kS0qximm7JjDPZdp7ME3dice9y9MZqoJZaefY
0YnlwFaI6DgMwWBuVeGRyO0q2b86SbuWymxJuHO6snwqGAd6ccLE8hasM/b6rEJ/iYObD+aGe7rw
r1qvcj+EgR9NocGe4gIKBBUOV9TMvhBUWlpNV2Mk/U/AzfLFr6zwdfHrmvRWlRp3ALScGRSmG3Yo
dbsZ2QIInX1W9upEJV7uB/jnZZzMfUd7V7cmAp4c9BVrt1C8u+0sD4R3+DdlAr2GpqsKjb0OepC2
Weh9QfRJDDbVaBp8twTIkVHzvOadgQkQIkt7zlvfuatYshzLipxyPsFO+VAbZXscE6dVcQoRBH1Q
JNBtW8qvL3AMhI1nCajCtnIKV+6GqkGcm+AUHgQ72aSSiGNU0u96IukPwMNcTHrAc94GnwaLVxJ2
z/0ckF7v91PEqw78RaCA1WykgmhmgDYUVMl9mVpPYRCmw87VoU+dAE767He4YyC+DvmHjYuEuUU2
GdZ+FhbAIhDkWCOigCVyjjsXCmSV+2gfBKAVa+NCx3xlZdQdqhowJgORIMPcidWJaW35XbeVTUDb
jNC+JBCxX+kcyr/NeqGfybHLX9rRxGDQzwlo+JFNE8FvRtAhWnJ7q45HPipXGmAn0BMVtkQeDRAC
q0zRzU82x88Mvv8zmUfNHMTGIXLhnMjI4DSB1W+6AqTQCRi6quEzRYOD7HzoF9Z6U/ClvF79KH0b
cW6RVXyoC5uR3iaDuwhoyGf2SC9AAnCBTB/jZWM54gOmQnBmncWsNIvy8AbtFILlgPOTAzsXLaoq
zn9AnDV2/61X6yWIy9piYOOnfWuiKRrkDWvvaWRIW0xvfpKjKQna/o0nSdkXZZrkwEnR9Rdpwkqi
Xg5Y/xhOJ77J9svT/WSvFnQyBI025lriXJnqCaZa7gyIJaJmsTdmr1s/xrrsuWuGwXhw/UJi7eq8
ZjNIc77MtYFejC7SELFUUyt2S9mU+c5Os+XeBpMqDyGVkaJlirpti5Kx3w2Zm1yP04rhVJrATSIX
VxcAVC0OVHP1DXCqOgMrvmlvNKPZX+bRQ8ljtNwycTnDMIkzBWc/7gLi1jZLGoU33QLCZlNys9GC
rRYWMKbwAUKnVFAlQxzqbN8Ew6K54RcGgAOxlmg/FrJlZf0aCiN8UKxwmTzmPh4igwwksLKwUHiM
S1KijFKqetdxbOLm061xD7ZhCZ9JOZx3wh8yGpgcJ1A4WoOxp62HiQ4PeH4vKci8XZ7Z2QNTXNKj
KVzbbToG2UNRhvORDWo67NNiCp5l1svzMg/iGbMxlXQdyvyubMtXaTjJDhhrAA+GS2SXkOWAwF0P
yZZg1fqDhY7x3WRyfoLr1RtbHEvs+gOOXYCiXIVqM4UY7Okhp/DYjussuxiiL4o59WnmYfUDLK3K
4kYCN6dZS68Mi2VTrElEA2yW9A40pVWcn5buT8uA98vUwtlPDBTOjHTcOHe8/q6DqN1vjQrAK2Sk
cTmixhUPuh3lQ7JMPAF5gZIW47z9qNqOMxs8tn7C4WhN8HR7uV+Yr4g97PQhjSujYxKFgp8VauL2
TnYM+fiCDWgGh7lllo7wUSxc3vtlsYblIlf18ZFUQIf1TKpDd5MVtnXSc/qYtq4fM0mcP8wk2zmG
22xBZsGKapdyJA7abekEWvuVmmzyuNvy1H8saE2INSpCubLaxJOyrfCJWlQssRmlgRGbrKIMyra2
fSGwqPlF7C21qKOYA8QhJPafdgddKQ6dlS3iTwz72z4jAG/lrLgVBz0VpfKrw/+Rzev/c3EzOJpW
5c+/3s/efmcI3P+obf/9S37fywZYn9m9uthZ/qpg/x1LaP0G58x0Pcsk3sV0/xhDbf/moXNh+xqs
oSrIpv+2mLWC39jhWijiIysCNO/9t7CECCXYzf9RW4Ozjugrx1/13y7pVPbf7+6zwW9Dt9ELYO0G
Q0ZTeSUiCUbd12mgUgxXKCN7cDWAaUEI7Wy4LhfLr8s9YqD2XOQEzyWTCfNscLJIEuoAk8a2qUE2
IUoddbBrD2GflaXBJuLc2wnGhlZcUwlfcd22r0vmlcghmvKUOSQSVMTaHvtq0LthBTvQtNa3mRu4
etMKPURbz3EpHSruwBT0ikvVZ7tK1Sc7LN1zhoo52vTS7TjGHOMaYx1IUZPkFsBO0WT8TLpeAUYZ
regzixR7LxN6Bdyg7ApL7jqbLZbmEnqO/9KxX5p2TEqYGBSSxxCTooI5bDs9maV5nT/nunwbFzO7
zlT2lKhlwUNdDThZffXh+0t6du02fcB37D/6i1tem1luH8D8dzuQM8yKZlILhtkw6FfMk2Z/sxdN
vewi/nRkXuYpV5JKNizpxgdFZmBcROF12Ezl2RY6Q7BafNtCehvoxdkDvWR+IsOj3OE+m9+npfEv
qcf8emWy1dxoxB7CVcQIcFWsOdRxZzpMmrtekjPclF54Ngj0kLR0xA1vytKymOZOIzd4lQbYKMVi
3vlzB9F3KMvoRJ9qd/TZor0tmBIyyISM+9EE6dieRlYKZ19gd9qYGCdumV3R+1VtOKzBs4AdziNq
YbpJkni59wPgHoQ3iuiuG8TKZNUwp/Y1MMMrIg/wzcoSCIyZhC0hWgxasz1iTBRYIxArEXX2TTYY
+bsxkNuZdGN9qGk115c0sO4XUfgDIqW383Q4XYhOHm61RcQcFoCBys2dQhxV9sjuPbQYZcG+cOyX
3hv950ZaaiSiQFn3EbbfW99GGr/1FCxx1AHlsYrcEUNGzyBMm7b4bL0sv++y1OEOSMHJAd6Z6fh4
ScO+L62GQVa5ThuAyTwQChYCzS7Mo09puqeiqyjwi1UxI4PmmkWLRor1aKsMI8k47ANmXs3YYj8s
5uGm1/yNAXDmb1RV/Z3XKKKT3JTiQNW3mngIZ56tbdFPy33RluvYx+BPZsCYUqyIrgEIOazOPU/z
VJO/fBiVwsJCpQU3R4L0WXZ9BPwuNuTEdtQwx59kv7zRFqgL7Wd9PbbRBHaA7T/hgAHcqK5yoVlP
zVW9dDAUuXKT27zr2LfXQ1Kf+8xQyd4eLUg7ysyC+zoru2cLNx18bTrx6y6y1Otkk3SxtZSkJCKl
1j97EtLOaQyp8hllCz/bmYMTzu8uGSTOI9KAcdt5dfNdrshvwVbW9yWoQvJ66SO5Dq0XQ2A7OKX5
WvsTZBSiknLcwvxyABZGl7phGgeJkctfBysLdOwDDJvAF0gAJ7ho/kG2hrX1eo3H0J5gXaUNlKaM
qCjsgdrr6dEAu1gbjmiz2AVeX75k2UQ8Q0Q9G3PYP/dtNF4sR3c3WI1rom89UDioEZhQhOVkfgcB
DoduSsprZUNaHSCK7gcysn0ybhbntrGIw6m7xHorFSKxQGnvOPEUccJKwSxAy6cxsxlFlCYxBxNG
2Lb5FoNu7hfXT34CSCUemV7oW40TMybb5BtbhBSLXeks7nSYBATSp8yApBu7QRcKRDFNOD3MXRsM
iEkxHu7RdC3uSbDy2WoqlHGXYTkllteeUMVWPQL6awK5pH2q6JiqnWfDrd9YhVieWFKuahHSWKlJ
sOmkyBRdimXbq8VAFRMV1xPLJ64XAXbMSllaLT1yX5sU4cNMe0At1PBWluK27KryogjCgZIwTYip
XYYJDhfPpho7edX7OWOUPvLHwzxN1bUgwusHe2jBHDry083i2vK9hw3rxwquFIGz4wT7Iehb5wzD
PFz2+G9wE1alDPJjIQB9x7CH5i/TbfGkDMUcfQL+Yjcic5zUGxmkCzy71qyjAw0tCjyzmrEYupnn
QjJKybbqggA+aEWaV3pOCO3Jtn7fC+acHPDZLWHOiv4OOvspR0Z5GiUohOvSbcaj4/k8BUQvn5u5
zOjBUW7RlDN6zNk60WOk+oEIAE1itTI/Wr08uEMQOmyckv7RnAo6AEYRaAM0fL0hruoh6ACuF/6H
ErNZbgs5+S8QT/sodn3Yr0e67iHd9a2/wNVK15GnSV0em/M4/xRWZP7w2LA/avp/QqmGWT/6jhmd
CY3AMGTY7oPVte4LxIaKANzaveo8YOZeTvzLOM7XS1S6U9z7KZ2SV7C7JbJE88Ay/y2X76pscAb3
zmpXtpfOX7dbVbdGLkR02Kwn1Lzv1GjUB7d0nV8o2uZ+L42wmu8dEHU/vBSWA9+dyLmCpCxxwHPs
/MinnPMOS4BmO96sClC2VvrWCHpGlQYMlxdZRtBiWQ4CkIdm7hwZHA4AVY0E+6mfUq8BK2IotO0K
gK+094iHbjtcuXoXDl3J3LYwb1UO8gxVACEPeEDmmhoiYsOD/KN/a+GJ3fY2GL8G6J/DYtXrHrvF
NT7gQ3t27PVdkO16wdDfNMFR0vnYbRvbONlvedXtVZLi/D760kSXAJiy+9mVEBm3lRhFuEnQ8gXH
ZtaoTVTvBGkc4h+gfTJTDmx/sQymdboar4PJlAQo1Zq1t/As+U3mqlfE6GPJuU5xZMfu2H6FCLeP
ElrHV+8OCwqKKQkNFG2G18XcTMtONm1O5ZCb4s3DeHCByj68GBmJ6RuSrfPrwWp+hGNLjkLJehie
C5qkc6W6fJdXQ96zFqq/TRc0oDcm6nWpCZhVbcF7PvR+fzMVkpR1ABhgTBtGl1WfM8MofVZse4zw
7V2eIVzbkEiP/rrE4M3gt2UKkfWF6hmeoEfdC/CKUFsqlqBFgbxsZ4TsHgw3FD/6yU9/9iWeddY1
IwlSTd+AwciWNYkeT1q7XbSSLacyM2WogjRzgeX4RJjaOcESfZ88D8xk8K+n6qD8VfnEcD02qnnZ
Ea90oCA9FmYB+AMdcb0nf10C+Fl8DSEB45gTsrdiIOwSzRxwBGZV0b3g5SYHSegp5t7nPCn4VF6J
0EmOWhD60MCgeWI3ANmAWdrWsdwJ375flnGnzPZToB5DYZOmztdUwUJLgH4UzfKG2/TnkOHKN3xT
HLvEHsCDzEzW2LOE3l9WxmzCEkTtDJHS5TDPqT3vDK3MV8vlNnpJ28aoNsvkeHfO4IfE4eIE3zkK
YMFRaFkCT2PPDFohqotPKTychOh8zC2OFyZyfpgC+vWbSB4V10WsuQNOU4YtvYmy8TkhgHvjjaU9
HrqcKtNI6/Ngs7Ql+IHZ7NHoSAIkK7tG1wFIY3xi+8Xeymv95gCcsPrEX6hebTTa3rZinPJTuQZa
PfThfO8pVPecQCZ8X9ORqA6Kprsz5RjBT7ZQCsGuje4K9EWPmKa84pD4DKZZs9btu58FwCI7mdfW
lgJtfgsZJ3/1IuDpCDRLljMPHoVhVqfNR+T33ZNnDc4Fr599V01W9yN0iOzaObJHx+QIf+aeZUFN
mogRHdg2Tkc+PSPq+tTsv11YBtmxWbLojKafTD+zCZj9kfASMgGfHTbheUcSm22SX1iWlSvYTwTi
FYezT5LkCNei7Mt1k9E4WseUbNZHFHb9lQVcGOxU1ZAlEq4l2KAZRMMIgH5bmg42PGrCbrNEc3dh
fMnasUVtZgApTszokNZu9ZNDIv/IxzG4LkMzdxD0k6fH34zdLGDdKR4QQRSoIOqEZPCkeYaaO5x5
WOEXsWiIB+lYVxa8EEZigK1Tj9Q2TlVSOAPDBgkURImLiGfVBQlwtz+IoySmJiJXZ6OI8Pqcei+/
KOlF9ibIIE1hElPWp9Ozr5/MFAWFURD8NNM3giiXeKWms0qgUZJXlO8iJy1vnXyp75rAz22spcKP
ow5m3EY2JGjg1oo9DsmPqDSDTRMCIidUbPkEcocBUIazuJ4Ri3xKu4HVMZXikcl18WonlfmI+Iv+
D3B4ezNImYwHdDodG4nA1kXMgwVsAfxNHcN4UGebx2JH0IxGB2gcoT3NcV0/IkYpV4rlghoYF0fc
uNIZtj1a7DOI3bKK+0mXyMKc9DgtFBdb5ZdLGrNnSL99R1IsIqaEsR5UB0RwC4T7qk7PghXSnW8l
6ankDXhCPFE+cl60F+HwMqiMMOMNRQr8auTCnRn8PdmjceXzhia0X29Bzmk7Ra54bJvlxx/GH//E
mvoPSm/8UtjGCFUwMTb561jjj84UpqJt5Ui9HAAR5fdyXPSNm/oWQXlWcJXh2zxYNU7Zf/9D/2zX
gR1gOs5qBkHRbltrOvAff6idWc2SBMV0gFdZXqgy9B1SYRxCpIg8yUX14NBm/9SNY/sfzA9/tsut
P5mxCRphLClE//7JLic9b4QnDUi9JXeJUifARj41vnFWYIGXDaTV+vv/j+Jqnen5P7AmbOgQjK/+
9Sjurv/GdPVTqfnvxnH/9WV/s0mQsuOtgzePkx9yxN9sEt5vmB5Xexl4E9yI67/87pOw/N/QRGOI
RBLsRyFZjf9rHGf+tpoqmBE6rNAZAVv/HZ/E+mj83TCOkx8Ph8mVtK5hwz99ij0imMxe9i01jPeW
TD3aKUoEIXrWM2sGARkQ015EwQU86dcf/lL/5Kn9h4/xn370n4yyNpGjRWF27Q6+IaVVym41zcGK
Fsnn2LLO/Pc/zV5fyR9f6Wp4tJy14oWr4Nr2n+xreTLk+NLrGQ9h4V6JNtFxxHBoO4V2sZ87+WqK
PD/wTre7suyBcQVDEKN29baD378ODbehu6zLjOIOcfG1l0+x05ceOtTkpV3RjQVSWjIt87Pl1N3u
3//2wEn+4dfHHBuGJITzWeED9aczzlb/k70z620cW6/oXwnuOxscD8mHvEjULMuyPFa9EHbZxXk8
nA5/fRadRnBv4yZIgDwFARqNHsrlsiSe4dt7r408KAggbJysI3RmWamkTZKhB1bN5Vw1O9jwlBfM
zMeufp8mjzbkbHNatDWY7GhfzVs2M7nAs/ZDs8tzbNk7xgDUN6Gm4aU6AAnhjDrya80CUnfpzTPV
zN5O0EWFDqCaQ9SYOtVYut0isFIQreUB+g6GigdV6euUPonBiW+2k+4jNX6gMdI+Em8QUIMpBKsb
JdmDG2e3mmZhu/lUrU1KYFr9pAJx3rlKqIBzs3tX0c+QopZAqvf6hdoqyp2UkIMdjx9mKq0XuzWs
nZmb0ZPI9AfUYyaIPt/ZaoacpqtJvadFB77HT5k6QK874QmBlI+lyV2R62sD2+iTewURHvzj2Ox1
N2OXc7mOOVSSH21tDM+Q8ueV7afyOg6hvZ8LidwqK+8nkHw6s7Ew3wPALDmeLvNn5mzYsEJ/44yx
+VE78/BV951+HIzTaMbjZaRVLMbIJ+UWfGy1dYQ5H8ueb6GLGVBSaWwpg60/kyT9TKJKHEAR+lho
UKdsYTxosgZ/peJjCJx26dJtbP85GuC0uLw1jlQtljG+gL5PLvFFCAe+kM0dFzC6VKonl0KH83/9
gVxqkv7hceKowRhFWGByOA66f+Wd+FFlNChyxqbP85JwijNX5ZokOgkPhK+aSYVjPYGhm85z3Gs/
Y0jGTHgXoZo+CkbervU8mUANl5HdSCX011R66tHK9HwHJ24hL0v9hl0/e4VX2nO5DPXf3z/C/3ay
7/+cvmQx/WLx+883teeue2//5Z/E//78yj/3NfsPBpKmrpOSFstGxYr0Z/zP/QN4LjuXzxb2HQD8
j33N0v9g/QJqhI7077vXf+xrpvUHsCUOcOx6toEwZP5P9rW/HglJ54Lh4ZwkeBw5nf1FZMKF5Qvm
TsMO84r/OPatui/pnAM/5iftB35gQHs67uD1371Q/2RPM4RNuPEfHgw0Mh5Jg8cC1Qyt6y/fuZco
H4Drhp2w+3CbtKRr3gtz5BqVDIYNPKQ2ALsn7di/5XVaE6+1qxpx1cUiyFR+1MVOz2vD5PptUWfS
hAnt6ZxfV7ahom7ttZDVdFmHYBUL1KX9yA2BJEAPE39ljB2Grbry1Ic1EuHrMIJTzYgfq7DhfCsq
NV6ArwL/xkMxPODWYgPMFjp48g0K9+oQlOOw8MNLG7eKY0Dg84riZCek+8ghq3GGij+XH0z516D5
hmCujCqQYfVryFuDMoAxJYOYua8+vI6dFWpcswrIJZRv2bReclMKn0ELJukGGmd1oKaPJuRQfdE4
QTNCYW3Zps1DR9iFiV589eLe3UJQhdrB0HytGeVLkhQDW93ErHY0HwcPs3XimzdVNPh407zkHlr1
08q37PuyhmQ8kTUBBRYFEeoJ5o/G2ZY1uBWN/BQk4zZdt5P5DveHY49vn3SHms+Yso3IanfEHrdj
Ww9ECxGvyBvvhGjlWjpzzi+qKF5FArof2x42XU9ydA7bZWuU/ZYMThFU7HAoBXq57iNJcnBM3E2G
JBYwhO92nROxu+nS2NqJ5Rxs0rHLwLDZGG3fH0NdJjuL3WQ94y5d9w6ZqSxM+y16J9pAkYmdv6D3
YXwluxlPy2Yg10EsEBbNoYRw+FkvNP/epuvV1YR2oUWQsBsFnTdodDILSqacAX4aak6YwWF6Z+Rm
wR/y4iIKbC4VfpB5AjfUaNnyHfsdpQT1bPG+M85xf0S97d1h2jY+ysEsPvEGpe6a2YRDgVE89lRT
Zmd90mhSGVFhLqnpNxgYGmj8VCVwW6uPpFGr1wLcEK912jIeoKQpnjftd9uC9PFyrnS9EoKiQwoZ
CgS2RZaDfbnCclwGZgFp1f7ucZgMixuYLAyo+ah3u0yLvUc63toGBwdFEM13JwRjV/DUM2yDO721
mBHLpUDCXKok7ChW0TGKapJzjU7hhPzungiXGorGtSqQPhjbbgq/4YHMEP2KYimvgGJmHug2g5kf
615Epi23n6q2pUfKEx4AV+e7FsNS9kg0XdRMDYpqeCGK50De8N3xMROTuagCdjtuPECnzRHDlvFV
NXWzExZVHZmFmwRorGH/ppKUihImQcifFmEF3VzNyqH0Q1D/IZYikEx6KUlCx2ytNc49DN3WUhvS
mwmJvYQukbamVIR6EfpFnKVqpKcFfGRYA106nzW6L9WniLIPWcRnY0h39VJZ0iuTsp6lxmSIfete
LNUmjd2fkw58LBO/7OwvBSjMgbGK6pSiFLPW7VN6UiAGyCvpxc84M+BDVC1D0S6P9hTz1Xcl/p+t
+V26stSvRAsyKV4qWaalnIWqenNDTK76mAXVLWopcdG/+1wKFY7ncCl5Kb77XhIatU5+jO+ID/DS
CDN/t8O0yjE+3HRMjvij85PvuveTW1Cp7UijIx3FVEV8NRUpKkrfkPUpxNEKnksN4Ge0KTtJQSe3
tmcmGgS2yqF/gPSu02aawCDvnGQ4Qlb4qrEspmtZ2fY2busw8E3l3g0wUInyMsrHABBtxiKiqbqL
i6umGyGnNatnDo9QfeNYlllPgza3wHFVRnlv1Ay/Oq3oL3LsZbaJKxjdFHSoe6/FRgS5Dv0vtSZ8
eE5IZBID5Ic3pDKAAUUyxVtiXwvynQkNr8Zkms9ejs3Y4X2EmkGQQk18gKMxu3CkxQgZhfs+N4vF
gnHs8ti9q00Bt0M4v9md6HtkurrL2yZKV4JPijxwdJ0o5CGMvMF9oGNFlJFBJ4lq2s9Eo+BohRam
n+GtUwBjhmlHfrBFTUKNGaI7eEK3RNGNxeyKLjnX8r702Oh3KrGY7UIeSHZOM3jDvq4FSaphGLxL
02XFi8v7tB4mo93TIkxafhD2VU5N+KHwDdiPeENZZru5jMn1dRalFLic2jTAQ4FNjjA6uTiY4ndR
gjaS9vpHHVOR6CwDlNw0iK3AOp3a8k3Dql2s44myoiAjLO0G48BFf5cUveTuV8OZW5kNidoxMwnc
hUZqX1zpjtNGiRY1Yhibq/LKh9BCqoj7pA1kXWjXvLPDywQakN80XFNSuaXNCvhraRuB2UT47aJD
YbgEAdEr8ceyMzktfXpZEvEjxHf+oH827vRLsb4fRulyVNBNdUhmH8PG1Jh7TUNoTagzCkwzP1NS
O23mvnV23gDxMIxMfJQxcGus2vYpdaKXyPKJrHQjH4BwZHmOLNjPxJeQ77Q5vhXQqDZVmmy5BW0S
cKhbOinNc8wsNiBGYCyJveRzijCIhP3Q3eUSPRBV11xV08SMUjbmKpLUfNQuDeO8Q+OGs6C1lkbJ
VXSan8McqYDhcb0pBC9sDlzgrvIG1AJZP49OzHCxKlsaVhymEXPpgo1pu10FeWXHCkRxk1NHGy9r
xUbvzQwvqS32THqZAqd4OjTF41uY9j2RAToSc4anZjtMNp0kaPoYE6MdgXzibVZr8cAntnPiuCC5
VS1vauw7zraXMNZFUvsQkjrpbaoyHH8wk8tvbjfrJx0W7W/MeeKAikCkd/DH17TOBZ6iqRq2o6NX
7dqe+jKIXD38rcdzvxcOaRb8O2YdsM2GO9rjnATiuxFfCZizc2bRoB9p4+bCaqbWOxaF5jzo5nRP
XWNGrUpd+kAMenzEFAmiJQ2QkI6oSMlj5BvOSfcG44lwVfiVy3CmcYdw5w4FO8lYmIzwQAmDcyQj
UurreUr9TWRpyZFHRZJribjD7ypCZjskDeOFGx9ZGcceCCGrifpSMweVkJX6sM6ZTFa8CWVxzYAW
PpmMv/fQcNUJFXTelboa3myHuFiPkZJxP8eHCyFZucVU4XN91vWMG3JszU9ZqtRXnwoIoDUY8htZ
weHmExWkAzqBh8DRtl+PHO0B2mfyxWO+cAnjsjzGoaHvlIm9kc3PXcjgOBrfEruxg6LQ85MDCf1p
GAt7P5TJ8EAeouM0KcIrJn3vLjc844SQ6VJsOGbrJmoW9Ht4oJjTwQcbXVqPRJHpRRo+XpAUgs+Z
XXByj3UoczPMG+7tCTKPRZLKbVuI1yYHnjFEsXAbbharXi5m1Zx7A+ZpJywu4ODinU/SdGUSrFqb
hepugjDPwa35E5ReaTxbYsDoXbWd9RSGIw0KM61HxpUtIrJhDeIxYQEzBGFrlLg8l5KezNLfQkyb
t1BqKSSjKnXt5j5YqNrAz0wmMvFKtaPiTmybpo4/ObTkG03Ui48LdYCqqwmyfOGM7aFuBvmDh3a+
abib1rMzlczR+SaeppuUZ3jZBoBgRFzTiq7V1JqXUerD9F5ZDJce1JQ0+aOGIOQGHcXgITcRLnjw
NkB9rPBwTCFo+EFnl+07zUO3G7Sdg0xyK+wxeppqI/k9I7bsaAqOqg3ZrWjXt7p8oBTP+NFXvv3U
TyNKq2pN/62HoEGhR5KUj1GhxZ/TKNKjJmzrHbYdvnRs3wlvRy2mm84B9au1qvkYjRXl5oQFm5tq
gbeJGZAgBzZpsKo5XRPtmgkz/aqVVv8qeLvfM1Bmzw78ofbJK2zRXQhIU8syp6NZbpZByyYq0CoH
S6XG2nMiooV+ERFxwqGjkkNt8CEMetoGUs7tst10BWZ8XP48vbZKqayo2A9PxO/pd4BoRdUDlPk4
GDXSPo1Ww4TnbxTPVgMVEU1FWUQOYmtXGn79Uvtm/25yJVo3dt3cWofgojYEEaCYoF4qKDoFCIqU
H+XBS0EFlpDxZ1T66UGAoXhJ50F7M+rK8TbCV/YPkajpOCyVF8NSfgETTzxEYH2ilbGUY9i0ZBD5
yA6cqOMzpqlx3yxlGj0v4TsZowHPiyaulElSkaWhs3SVe7+A5o+dQIfrB0o6Sluz7/xuae5w/E43
1k2dKDzcjU7+IlfhqWqBBdhL9UdE0rCP4k9tKKaHvtZDDOZNW7BaE3xaSTH4v/sF+xDjy9sCVMUY
yXjtpV0aR8aUJydfWkjSpY+EEKF1x4StOib4HMh+278jO9bXZt35t4bj7DUnuMbpKqm/YHWQFopG
c1/KTDzNg98dZwhzG2PuRoL8FvQDLYsvMnTSazW3NHsupu9NYdTdeQohcrWg0w8iKmJIAlIEVk1s
H4l+rK8IjflHQ/nIA8aEjkZOmOnSq9r7wRmzQ+U2oEommm8YQyuOBzg8NlOFXb0dlbnNloYZ2KB0
oU29Th6O/hlFOwfhtMqkAoUpRk4D11tCDf3PkOqXHa068sC2OtxUVKmfydJ9Uy4tOLMMuzu6yrLH
jlMeqd+lM2cmEnW0bLu+C/ELPA+S9d6tq/5nkhAPoM40eVeQCpxV6nOlNnD33Hkul7UVCDz7K2FX
CeKl5Ie2CH/jjc5AnJI7FrTU7byUAlFIG77kS1EQ9rr0BUoSF9SlRqhbCoW8WpHpiSkZcpe6odAd
xgBfZf40qZr+1aWWyB4nnIaJXppPHufJi16w52EeDK1PL8q4YeGubU96JEnRzCH+Io0PmrGBSYB9
g46x/rUnPQpcQrPr126qG59712Q8ZsAYntwWDymly8xWXKwfJfJkU75JmYfvY6cTqPQj1pcT6Sxx
nVn9XmaanYHbl/mMFUwUdrtNMy98j7qR+5XTJ9bHIEq8nGZBXaDrVu/TaNQBorf7WgmGNA6Rp3PE
SS1Zjawd/IEIfmall28TUks3X2P1NkTr7Hkl5X1ryOFuzobuvS8AVxhDg3+WMuANAKN8r3qLuABN
2mdJ0GNVYaZ9a1092UbU9t0cqG70DOohMIh1xxJP4WlVlZ+oGGK6+FgVnT05u3HlYIlWUCoi4wWH
YhWDepmS34OOJdZvAciqVE2CxtaR8XVVKvWacYcMojBx9piKyBXww0ecCWy4SVz8pV1sOQW0Z6UP
8Q/TT4wnNy35ACXGzJ9Bk9VN0esxMQiKyhe7aH7LLCF3SdyxfJ+R2H9XnEEP8CFYhkJtxs3T0F89
aNpOTMlHFjHYMipSUa56J+CAYsDWDGuls9ZjnBL6HvwXFhkq41v5qIejuYvwg56iFImckbXGuD53
IE9V56yvQ07p3q1LpH0fWmFx1iOb5g0L2gxms5CKoK5kNm2X4pBMio+DxtCPrkzqZ4Oc/C3bVLHN
qq4JfCBDbFWSJ42ULiAY7y6JKCFg6EHsbUnzUhAUfdTfEd+spKk7X3K/ItbpMeIGtRW51d1S5V7B
KRk79ubxtrSREO0yiBD3mjPucs0HqsxQ6t4haLzMhH7AqyB8DKnKgPynlek9J7vF5cF6hZXewyk2
QiOMVn5sR7BwuHiSoplt5m9zF5B4zl90GMpi5Y+teOBokBNXjbOQBG2ypFddGMLI6Os0t5LAkiAW
vFDxXOY43rvcKMJtN3dLxK+v2pPdMktc272JGLaEuGVbw01ZIt4YCeEaiVhjAbcH58FK+uYOqSxf
V8hm1xiZ+07/To2HfuWeKKpygSyQKTcTJU819fKnBA7GTRh5vS3pD4oCE27HG2nu7p7hmiS0b0mO
NN4SXm8GTY1YMGtgObb65c/NHHRL3B0sl/6pzVF2GOgfxlY4hCvh9qbNdkQ0TMxeto1SiJOtQzO1
L5m+xaa7oEDSwrublhj+rE06H71G539pVrkXoHrfp2GBmzh1+iychlVwqiTWOgv0Ys3wCrvuwgHg
TmC+AIQmraPrA2cu8AEWGIF+4QlEsBq47qF4knp+9rqBjO7CHzBUAYqA4Pu0Sad8enBDM183ytMO
3UIv0BaOAbCA5qe+sA2od04CSS8Yi7GkctvZYVJs7ge96rZthhnZmEHGr/hX59DZXnEmuz1uLTpA
3aD8piqoBbBgWzHPeDUwbhCeCnd91rQGG485XIzcly/kDIwXJOIoyHtFBSyTK8KUg6CLxs1B/azs
MamfcL4XOuEzOSlCfAsJQsuZ5Z1I/puMZOvK5HPL8ANiURZpr3gj5dEjn8bsmUM0RA+QlTf8buAn
sNgkj7E7k6mjJZRh7wx6fgwIPPewTot5N/dALTJzFjfvm3ThlrmGH57cW751viEZ9B9h0s5JNPbr
3vesG85gjsijn5jwojy/fu1tK/0Yvgkcvjfq9mGSLSyYmVH/U2LP5VtjYcXR0rK5n4hv0W6z8DuG
b5SHuVA9CAxrN4KGGCqz7oezcD9CD0GbYgL/p1bBDavxvlOd7FpH6ZnFSyrxU6OxTnSzi9jcqNKA
iKe6A6/CvJF6PV1EIl1it4BtHrtuIL8XqvmJ8aVz9BrTvVpUDrRBOnr1OepnTa66Bn4JUwMamCI8
bXBDWqQDbZo0O9DckZALscN53UbV9JZ4gg2CEaq66wrb3fTxQ1K7fR9EpfCfsi4szxFZEGBnlMia
C1kFg6Ka9pJthpAzobQPKqmBscRQvuRS0k3Ygqmz84AlxYJVPqrcx4alCGMi6pqI6JVXZoFlQSlh
GzGvue13DxBR5lcG5+ODJvoSCiGImKS05a6TtfVsZdl0j6/H3iQejvZttWBlZO6k9xJbGvfykZhu
V2fxj2QS+QnH5nBtNRPeVAELj7S4B16Nt2CxsMU4Ki4q4ZS17lxteFNzB/NMcLjexs6U7vQ4me4n
v0Xadu3ML+E2CP+hIpigraPaXEKmxCjWiW0Yj1HIoJdkNli2NHGRWBcyD9ZvID1OKR2ky5iL1ATC
69JWhrzhwtZv5miV90pzQP0oFNAfNP4kF/GNARoaTyz1yjpjnJLe1n3SNcaziH3zlDR4k9dFkxAV
kj191uQyC/eYLoChhPra9/qbOjTGHNhWg05hWDDMlKQJZXGNm9shf+XTNlDImCfsBEw9p3uSOOGv
UeuWBY6HCINh/uq6lnmwjI6aZ/rWjvGCQ4oawEis7WxA0tc/JTGoeGnptXb0gkBxWZBKkwCuNEVp
c7bHbjjMC3pJ9naCaWDhMWE0bFwsl9P0JVLMpW1OQ6I95um6E125L+0ZNBPrdjC4Vf5oT4Nz1MzS
Ws2Z6j9L4h/1ehaKQt1cL/ep7VKAvJho341al3CLere6cUVi+l2X8jkjr/HgcTr7havNfcSMyN9a
1iEZDc1b1EG5bL8BVV7iSu3YZQBOel7Dx3LhWLEDFbRVuqP/pM2GRXSmaM1kU8n42heuvFVV5qAe
sLaUFIrZ9snXu+5aWG5+qqGLPGFSJIgLHuQqppJpgq6K/ufMWG3ZkAfzzuvR/kOXW8kKx39+y2Ly
IOvYT836MQyr+WEiJ7WLOdxQc5SIB8St8pDrRnyTwHSJq0+4PAdSKC30LpBosLvnmLRTMShx5Mui
e55u7YN2C0L0RvUWh0O2MZJqeufK7F36BSGmpuIT9FNQZH0ESbTy1mbqqzvRKQCDozVSTOhW+Dj8
R5WQJ8hEjstaMLo8dFJ30pU1TlQ3mbp4skZ+LrKEPDwKqpmd81yvWk0CkOP6ikIDbeygJUV46Di2
/3TjSlxDXSfTYFsA02wO9NwEcgfmi4cxfTUsbDWa5rDjqoW4FmVTe0Zd/VW1C45tyVTdx5Hp3o2i
sh8mxhk/S3xNGEyMEJxb1CPfxD2fphEzMqtqeAUoRvhFZ6aAcdv8XZchICupN325NiqpUag38yJS
DTiqYu1wRDj1mlu+WrhHOHT6HFniJQJnmCMtJd/sud6oX9BTu0PB67uJG2w4U9x6gY5PcOMp3at2
ugWvqoTKgGjVQbYTFv2saIf9Jl/gd8OCwRspR2YWbHg/dEhJLX3xOQb4TB/orIPBbq3dFN3Kmntu
MKYRjydpSkY5C23PQ81h3Fs777VD+gEff6cdQtBoK5sZSbJymGPcdeR+zbXvNjW8Ihk/OiWaDy4y
gLNgrz6rUU0fFIx3T9ScQgQT2bSs/9Bsz4LgPkV6CzmwyRaTNatC9MKIlKPJXCyNgEPKYjz0npvw
GeosNpqsi+9AV+kfVHXCkxvrsFuI12xcaoEZhgsZgx8KaC178LSOsaIelNNF7FwLGrGVDpzWOjJL
6OBhrl4bLzPRbaAqmmbNnl82S0IcF2m4rkKT/sbOTea7PglZvbuF00jrkzxGk6RjzcmU+8vXU6L/
QqcFHk98xW4FRR30I7R+51IXCYZ+Bm1Zx8d8AUUWJcbilRC91Zz9aeLbZAtiMpRVRUJnoU/mQ4uO
YpbZaRrcCcxfqGkHhuwFyAtCPvyHkYduFfaJ+Yxma+WrEUHUJQvjOJ/NQr2sUVAf2Lw4u3xDMUMQ
jPIAxMXIAtecpzfmzeamzVLtKVpuV4VHOJb4DuWBNvrgZiQEhhU61+8gNZifmV0tm1jub7WQVNsa
M9MQbh1cBGuf4fBpLgBwg4ydLlj7wNIYy5C8oK0Mmcbc0Ilm8GQN5kZLxwdwcFcrliO3a/nWg246
qrDMD55WapsOgmEwqmb4Mmonves5TlzMZXXGWewFrquXZ22oTYIO/NOcOh1Y217qbzrxkIukvv6O
YJS5qTo9XkhOA7VzltO9xX09QwMdyjOBcw8Z3dA2xDWKQ264+q+8HtwNJcPtueir+D6cm7Rd1wlt
edSdz79khGuZnJB7gB4z7jmvMyau+sjZ/r836L9neKWZ7+8sL8F79/4vX99feXkvvv71b9e+TN8/
/tHs+v0l/24KcsUf+HcwtXLD8Rhy65g+/zQFYe8hx+zz+bJdDKc+ds8/za4W2XODujOf0oXFHISj
RlZ9F//r30wfhyxGZ74Qd/fi5fmfeIKIuP/Fm4PXVuC0NX3TdvhrsUH9vWd7IU4KIHDlru8HuW+N
rH8vE1FTPGjxHOQaq3OjK2QuuwJ558UrrO/RoZ28lO2+pLaVROULk3Xnk+EI5Ebb1bYuYfuAlrTp
pGVlvJltfAskL8OjXSwXhWl+F70Nn4o7dM9MV0zFid5PO8Dh5yI9g11q/YQQLaEB8lAvZmV/woig
JtEpjpnEB2AWOfVOhD6nbVPjy+W+kZCLdFmanISRekMhy5HYZHlXZ2q+x/Ne/GLuqXOBEwCyE8Id
fL/xHquvtjVtLcKHByztxdQHZ93yCK9tRTFA64fZT6fo8yCa+a4hEwvILyRqPgedRZuwZ/RqF3I8
aGVlBcT+h6Api4eavQTWZNwdUy6shB+86b7X6P+qOFcDo0JamZaC2v4aAw/Zo8KVpworDoYd6Uxr
USLcx4w0nxWHg6idpscktaKLjG3mSbSm7bTCvRLWHZ5p646+mjxp3xIx2g+FzvaAbOVfE6+x1lP7
LSiGySPKmEkNqHqhoLe5xk5iYCtsnEPPa33qijChLNMrX0YgAsRrdWs1casJ+Gis26ZJ30fG0xfK
qJlnNQn3t1U1usMjTtDi4tbxV2iD4puTDG2yF80b8/OQmKiqf4k5/M20zJsD159eY7PeZ7FDwYyZ
bVBljIfBy0BIYdC4LofMN1b2+myo2j5ZRWsdKKLJP0kLD6B5WrI9Mo25r4DHvpRzvdh3qeT6VTt9
A+QrKg5yImmRxe14LHTk5RF9aY+dAPwYCtfBKDWEBOV+he3JMN+slO+scxN9JOhZHXMHcWemP8FZ
mWlfY8RSEXcMJEY6ko2iuGK3yS5+PFM7qM3q2ZxzAxoVEITIrppXQ87qkis/DCJ90M/KbFAfiBGu
AWaPAc2g3ESg8vt3Ba67CsZJLfd6HAJHKpEUc038prTIu3Q9tMXGbNCxOqLmzLOnQ4fR7oLG+Ayx
nakanKwthWPeFn+r++STWwMZUeTvzJKo6GGrBYIqtJAwKjHAtCUU18yKoWipaetJ9Ywbld6QhK30
jT0nWMwT1dwVolJ7s+ndXQ5XG1yee19O7a6wOIFAImcS7oV24KQeh0KxYjRT7+YIQbVomOeHa0X2
cj2a1YcTqx1BtgQ5GoZY3evZA1nXhMCobHcZagUjBnsrYFjtTNpt6ajRvR8Zg0QGPno5PBhJM95E
Wf+wRfFRztHGmeVZlu4vbFqMm+k/2ddaa28J0YcsPsvvWLQeY05jzPFh3UZp3zwDIaXI2y5gkqZQ
grnvWyMjOeLEQJASCJ1OdWmTedoQJeTg2wvtVom6f8W7hpnKyOZdmwmdhDAZ3IoZxAnEQnespGVv
+q52vzovC7eiQkoh+snDpLvAN0hXPVrY7Tf2ZAMLV/60llxN1pVDOxSf43LjGWppp5zr6TUqQu9g
caLb5Bk3IEz61XFyOX8D7ZG7oUrVIaucibspHu+DnKN5F/bhfPWi2dlGriUpBI/Ax4VqCqKWd1tl
UN8dBNCVAap1l/kNymboUmaPJrEzewcmnC2sj5p6o4ZfXakzoUNjXejdBE+0Cl/Rpuc1PBzAof44
HPVmKo/Q1rw95/7yAzhTdxpjU197fqbfeMipGwImEq6wiotkPXGTfxZJ5XIIU3m9ycqpx9Rsx1Cb
wLB7mzjxrG06EGKdQHd9Tn7xjBmz2dQY9bScWygvxJ70tRuwYThvQ6k99HJkOMFPjmKIoFIuEV9K
7xHQ0zeKIGai3V66aCvdtqpoVwvb3KflwXQcApMxzdl+z/PfEQSUCQz/rnT0q3TzTaYT4o4jn5K4
cEDEcc+MgRmCWUTcMgs7yFxJTO7eYzkP08mp2LsZYdjdI+Y7jvj9+IldMduPVWQElFDfxWXykFrC
DjirTtvZG9p1ItGROiahO6sP653lsII7NBvTGkZPTF/ghCfM/RAP7jP2287nDmEJqJy1eqtTlo1V
FBaU7w7MsnF72OFaR1RCgml3nS4XmkiIioW7/6YLELP87usci1A4RD+6jFU/T56wt15MTFsV109C
9VGxIdSorzBHYlGdZHxuqco+TlVmH9xUNHhsLfvVKXzrh7RSynS4ciA4JHvKqOvHKNeoRm+4ia2N
YcBfUMRl/TbNbnRqaLi/dwtVnyrN7b4gcsBMAlfPNqgIIGRFuZWEeQJ3lv5NCrjMIMA2Qu/fqG2/
hCm2iJE6baOIiDjEJtssZtWQvDTIsyapdBhfLKqToR+1hZw6WvIM6mRdYJNHWcF4Y6cWpRdkVOjE
YdqXWjXlScCTUSkPLU2M08Qs0CSGDI0k/YJB6TtbURIqJyltto9WNDbYg76gg4+/Gc2FF3RvD/OC
Y3JFa71yN4wUHAVVNXbvM9vQVzrrXlBjaLhiWcYFq8TEON0FFfYETA7cFWZuLYDXVpjrMU9wAwx6
F6ga/o6mZBxgBYGsyNROf2HpSemcDaedbEq5Gk017hg1kdHzYL33UCrXyojFIzLrdCg8NRc7MMFh
HHA7earJ7U6y8e49zemZHHvai0pA+9UVR5RIr7/yepqe6sLFO0VKZtvbObu3ZRX+A6Shl8kdrlU5
FJuyjC+Yz7YCEXmFIP1mdO1zS7RjZZWZ9YChvdrSz6i2bHv+XRkWJFqgGLhvqUNNQsWxInKyX2ls
75gr72cJyj9x92M39piVbWbis13gtFoquzcR+kJOKL1KMZvhHNxXUMWUpt8yPf7FhvYCBeZTOjbm
g5GLaRQ128iw/bVIaz67ajbYdzmFhfHGKYUbpGJWd7W09XUI/yTAUtpcKEPc5mTkcQ5MLqaQ2O4v
2GupAq2bEQ8ByecgBbX4xPLrndWM13fVDZpNgNXHCmxw6rTji15lyQmAnBYkw2jtm1nqD5zi1GOV
5jQ+DaNzNTxa14r00444wBaT3Z963uh1k/d3giHwUYtR1qTj5LgrTRnoNdyy0Ey6wLCMaW9pg74G
D/+eKlFDgM7zM1FVtuiwEbTCAN1opJiCao6dsxxD48rxuzl67mDua5jzxyZMTwVOtx89cMIXWna8
wBwg36wypY0rF7rTrSUJee+H/8bemezIjaRb+lUues8EJ+MA9O2Fj3T3GD1mbYhIScF5ME5G8un7
YygvSopURaIb6EUDd1VVWUq5051uNDv/Od8xDEpiqlcvL3m/flNTklmEGHWcA0waoJeye5awkpiG
ik1iQubDNL53OmZNoW5oTyIpvOeyUNo2oWbnobSbTeEs6R4xQcbJ+ei+I/VCHUkM51bB21mPBJbJ
ukMfOEIpzulZhk+DPzGwVOfwoRbRBdUc9Y3r8ZCK8EJbXdk/UYgrL8BlNi9VUi0SlFzQCo7UWHiW
IgOVgYEOZbO48EIU9iLEqulrO0AudJALW+zroQ8fyimWt3pkehsZy/BsNbXFzAAfAnswda7MvHxq
ItzqVqHAHgkxnU0NL9OQdPm3CsfhXiZO+eaTMt6PqsYBK9lBgySxL0zDZgQ6o4i+QvqLL8TA8R67
vWeeKn1K7qJosc1qjkweaTnikZFj+zX7MGJGpCMcW4V+ZQA8xf8RWYz+2vYQzoUR6G4ZfUH0hVhP
aAO/iyq+2bL3r+DwisfJMJjPdspZOVbfvvitjM4ZLIi7So3mUXkeUPrUwNSFM8JZw0VItvxisN+2
y8O1jG/bFEdDI2I2bG372MfEtrR2VFcus761o2SJXRxmbaELdzuH4XdVglsCBRU7uzKf2LqNVrgj
I+e9GGODK7ssrDN5h3Y7dgbG9RYzFTY/gQNDiC8cWeV2LiL/e92F5sbnAHiIJyw0TpQkV4MRJ4Gw
OzbkdimPleXrPDVsf4cuQ6jcTG4yTZUwOdiZe4lvwAEySHWD978y5+a60GNzhZBHeanbFUdvzogW
1qZ/6FzDusC1lb1xoXIb+rV7gkXP1CLvoLKrfHoT4fy1K3A4ejReQZTyIjBHo0FIwkDJHCLWz7wM
T2EcXQ1Zxs7R8C/NxYlBlmVYE9pLnhItnTZqzl+wZc7Y71OcwT2WBzEzvAE+s67MVp2WQz4Y6fI7
UMQ94p9/qjp/2oZN7G9qvIiPDPs0i5Ez4PCY39wmH+BUOJLxBMKjcWGzBVtLFKWHiA18yFlueIx0
QQhC6nfpFIU7O9x5KtwbmcyOYTHcpsrZuJFicZnYkuv6TouM6QoGqtx1EdRzaxqvGSX+ye054n8u
0isAwnRoYwbYyA5kvMIut2+Q9wm26mWNF5sbNQ8LEKqpcw0B9mWO9auI9XObU3q27A2SHZA6whW1
hmJmT2HAAAaujZ00t0OdJ1A1WxkMLbY0TaRFwJMiPRoDmAU5FN51PzO9aMFW0T4bXQ4uORReS4+O
ydgbTDRNlvY4S+kMM6oQ0/Tsm0+myeZpYSTJHMUV/mgEy1LDWZuJIMa44HnUikSDuiDnR7WUp43D
XSvS8qUITX48VmyEX5uwnLVVGLu0heixHPW1PqS3RWNo59HGhlIcGnuAkN7Fesc2UwwUkGTlVdql
xheegM1VreUcc+OGN54i062omaDHiSKF596aw0fT6Om6GDi3rLoEwC466jgd6E4x9tQ6dHu4os65
KcfsOHVOfxBTJc7WaNv7fjCbr7izAXkAfk1ekFk7wCIEfNq65sc4sHjy0finkLZJBtWDF/iEp1Z4
vjE1Vm1HmrWxnzlLq8ehT4q7Tir7KnPNitlJWc0ov821xXd6y3CTNwOV8zEy1fc6T5FYkzk5xvpg
XE8G/w3aKFgiyxowIouF0wTggimKY2wLG0Mmuw+mEZN2QekK/To0hu1cNhYMKaW2EOvQw00sdWzT
gVVf6bXv3rn5qIEtNBUb7qq41At9C+AM6l8kWLGGKAmcacjoGMHVgUvlfnSy16ZWl2R4tBVhhW+I
z+nBlc1lMZDh0KFi1CtrfGo5/Hj8hl3LmC5pc/lSgcs/Qr2Nb/+f6J7/H7UdWoiHhAP/fdrxLsmg
GP+saP71r/wVc/T+8E1vEQwdnYia56JO/lA0Pe8P3SCmqKNdGu///C890/T+oDTMJaGPj0AI00VR
/S9B06Xk0Oeob1FJaL5H/v/X//ylgr398L//o+yh1yckTv7zfywRy5+yhtSx22A0hUmfIlIr464F
tflTJWtoxXqpStMM7CHWjnODoxgbyKUdmvXRHRVcd0kbko1LjMlMND4kKouOpcHZWeq0vBl+S7TH
HDz2tC0nPE78Z7oBxkOl1d1l4eJY+OmTvfmRtv/5DS/66r8y+H9/v0vI/af3K7TJ6RJvMgI/yVUw
2QvjzESBo86TXSN+UPQgSiHwrf1gyf7yyf38wtZ7Pv6zl/5AG0DxLGp2SFOQRJjeZ0qvr4CzebtZ
jtU27bVqAz2M/YfRLLxrcT0uyGtH+gXuLp/UPIeaYJpLQZWfKlYwdhFv6ZJEaibEV/PpOdZ4nVth
dBl2NIElbgXuqyn1oJ2Tcz2kW0rzHrJUB6cNb5k4d8059jkjNjNvJkl0pIoL1rCu6O8GnhLAI5mh
ZTkD17w2i2Ph69Wl6P3ksiln9RL3it21VlcXiZHjHil4BDZ1t9VLciKxfiCSvQewqNEBHiPPKUN/
sFU1Hlw86Psc1w+9WFGyS2kYSRu/pWm2IvNZJ0IHz6OlO8Lc5C4imWwbwjI0UaX4ocPrflK3tJQ0
UE02Ktee7bb0Tx31Fccp9Z/a2cTb7denZiJ0N8WOeZHO0WVR0P1XI+VsvAnrKD5Jco0wqAfPfe0K
ns8cMcoVW58j+zRoRMN0Peqx2LVYaba9HlprLba6Y82MmBZy9lphnlxVgM52Y6NDf6ruob4dw3lC
kWzqzcD5yYTfXaXyCK9GEOTUJUZNe2TOSNAtmc1hj4hib01VyxXPLUyok15tuTBMFgkxTtE4+hcV
NdHWiRRjLZh0E+JQcqt63zryqyHv0p/Cycfu5JmokvF4Pw7acDsWY7cZC1tHYe93EchOpE+NmrcR
kmEDkK/x+U7iismW39OWNFgEFzm3AXWAatt6Tgjp1NH3uBrDA7Zcb+2ZVbyVaHZrOj3F2u/rhBAN
CQoORMcliKXh1VoPcYH3orHwFeLzTzru5lFQEYFRo6IeEiCPlfXTCROnjiyI80Mfij9pUrzvGIQ2
RKn3kmc8Kbp78tmb1umjlZnzWQrFiJ08c+BYHRUN0nLXpUuWJzc9SIl9zYYqBDzvi0DwbWLpCveO
eCTxgZZuTR5cppozT96nG2oBaLDJU/gNkgOf66V7+tnOZIL0k0bsZeWoUW3GHJxjVXeQishE34GB
1DaT63I+se8WlZBE6giwjyanVdanV443mpSJcZQgbtutO8rRNtTM7DXV7IXJrs12ojOpHFxU7E45
ux/oOTsnHudgOY333ZiQjUvWXRdfDdKoOaLTiAOLcmwf51xeuxLYpav35ziuvQdTZsmORtttqfev
WULS0ImaS+wJm6ko71uNco7R38m4+Kob5bZjRLDJXWNgh9vGawTVKxIO8R4b7CpJJWVDPs2gBqHE
6JiGpYkuLXFIhhNxw4jhdrWqrKr90yBlz+de6ncjVQ0tzIuz1lL+EyZK57c9jF8HeBcwexuHQfdo
+a9xDhRL57IO49zSq5PTwbYGsACzUdZUoEwdvTlxn69H4KpBU9OAaWbYXuueBu2myHBwhSbSBc0m
lyl2iSDHLHy0WBfZ9OoP8HDNhTCuTpOu+vvG91gsOpQwK9J0UEgG0mbuIkur0tUvDJiAB1/2zVlS
inmjeqsOkopBeKhS/iAdKMy8OPJ20CUvHBle19N0bExr2gonu5/KtDtSB8fzIbMfe7yx26Z2aRCd
IgOvJJAVzaybK1N6/Vr30Io6KicoVQNekmbASxYT5yFatsCp1uh7+qEwKeroMn7ViueCHZQbzqx3
QMWK2UuDUnkp8DZnDhrlzth9qzc3KgPMJt1eODRNaxyYgtZPXiyU+a2dhLduYiGrk1vdjZw0aQ5Y
8tJaahwKEG9XnNHOnz9Af4ULvD9AmaKCNmCn57KJ+IB+MjSbcXnWGgH2KiwFNGoV6bzqqWk7ff5C
xq+j0r+/0oetRdaNZQxo2AqGqBeBHfrfjZmaMo5FWMkz50/HRLQYhY3DdVl5axf01edv4Z3R8OGR
jRmBPY4wCOgzHf51t+BVpUrLdkY3GGC+grg1NZA7RAa93EU8b1wkK2kQaJjrLsjofbgiMDWuYgpu
mGOE8uSrDmxKWzGlS5tbWDRE2snpYlo3yvJKuHMYZPQkbtKBVHKCcyUwx7El2zqxCFLd20jdCzjK
EL12SduCf1kXTXHL+9Cgiuevn1/v777bny/3A+EntfMcHo8wAlCY4bltRms9cbTCDsK44vOX+hW9
9OPL/QF6d9858cv//9M+zFDIWF02GkHSu29YSZiTCPsL9Mhy04j6+fMXs5Zb5W/fIy9k4ISyodIv
rI6fXk1LOLuPVWoGxKZv5l5YTxYdvYdURd+MhBOmdLLupo/z+Oh15hx0GjlmE5IAIfqou/TTPkj5
JslqdvvckeMubftu8UpBOh2hLCQJXyE+LrIoXSo25lSVNzDYAOdmOI7oSuBvQ0lbtZZ2MS6bErls
T2z2KZ9f56/IkfcPlR0/REfX9Dyu9AP4g6Y6R9d4jgSOpJssc0J9XVg4lArf0W6AhhNi62We/cNX
+bsf6i8v+2FPbRLAaoiTW4FmiwXKLb65GakT1YTZKml07VhO4xUmseYGH2y1dRVk3c8v/LdvgUWJ
iLYBDY950a9fMC7FkahzYgRWgvuw5ZGI9RuzkgPlthMclmvnmrEc+03L+cKqL3+4df7t7v43tzMF
v/96/Q+/nF5Rb26UkR10ef/FapPxqiMhdCykw42tRf+APlpOCh9uZ65Ux5cK/kbwn79ebawAjHcV
zY/EDtILQxHPTQhXbT//UH+zGvzyKh+uqbUwXeSisoOi4+CvuED0CZsooVP/w9f3u1daLkU3PcFp
1fm4GNR+X86zowdzqCiu8Ywncr6HxZb1+RX99jb5+YU+rAOcP/oObpjN04TRcqK669R07b1Pfznl
BL11l0WgaFbRsj2mF4ujQN3Vl//wJv5+ZLZ13QX/5umm73N2//XbC+NRSTcJraB30zoAnDLc16Zt
HGCpW0FtjQ9V7WebaGDmnAwT27colmtXUqxIS/Er0fcMQjF9VcvuojxlUfHkwOm5MRLzEQtC9Q8H
ZuvvNxvMWIj/HqIE75jujV/XToNuqoLEYcAc4oTxiFhITP6kmnP8Pdp8OfrOuMV9EPRtTMMX4YsV
h1BtlwA63ghR5tRlsZw2sF/YpobblIFDUXOmaTUm0Rwi3upaRQddFmzhmAgbeGawthNoGiYPzUpL
um09V+yt4D6gRn43E1LQk5LFWncG+6Jt2x9bnP/Gcv0Da9JwDA6Lts43/O/FqmP82mTx68Lv/OHK
O3xDFvrXv/mXZuX+4Qu0J5SJ95oXjyXqL83K+sOyeAijaiJPLVrWf2lW4g8kK2/BiaJaESJhFfgv
zcr4w+cH4wNYZZEWjmP/n5jwXOPX1RrvH48ra/n98dehqlkf1htE0ZRoHz2BQG1mgMG9Dj/W8A0r
3rY9EsdaF6Hz1L7z49vGWW7ANvOGdTQ12BDaFjMYlQRyuFO68pkviE7sulwrLj3Wl52xIOsxOZc0
YgNoSkGK+6t6gdvTJlieeEPFpljQ99ClHXU5CU+NF85CyK/fYfmiX8D5lF4D0c/fgfqN62LPTRfO
vl12gpr2d/w+20eL7Mc7lp8iEnAvbDJwvWBG5XzpAaMJdL8UQ5AxsjwPvZCBnDR6ao2xfKZJgqht
Hxr9Ny6OgJVHa+PKiaz+3oVMDydAo8IOlLcR7pVgKLfWlLOwvZlJYfV1BnJqlnQr1Ax42HBrwuQq
6QwcceQK7ALyRD3rRzMLrYyz1kjJBaOC0A1wDVp6YM9pSby3sanIoMbAGUE6ldqXqg997G6Mwi6q
sEpfZdEnF60J2BR4T+Um9Lu5FJR7OSx4tjZu42yypmlBHA+h90zMvn/JzYxho0Ou7Ts8eustxiFJ
WWxX1xcQtKbLUQ0EBzrBcG9FqmSaVoJG9cDQTHWjzSgoqdUUX9keauma7qoo36KNac9A/ydtw7y4
rfY20+IbsAshyVo7gtrFsYQIWlgN+X1F8JeMW6d3EDhmp16Kfj3jzalhdqwjDQzx7HYM+XqNhr1V
SAv3nuAMBRzk14k7pW7G8bwPNf9Egqve0ZQ3bMymlTf1xBQ3HpomsLpKnmMgmrgnEvY26ZwWakO/
ibelU69+JY84XjFsAeY2EftmdONmnPQ7c8sEA4f2yKi0TbyhXs0TiIYOX+WuEsa0i8k8POHKmC51
4vpBK7L2caTf/gnrIVV61gyh3eMh8VwsJZwGsBW6qfG82d04kFPw1XVqwGog+Jus7Vpml4yBqVzh
79ozlmg3oUFZTdt2TGVtSCxRy1tSM47wScNRr/URkkPYhEeDDH9gFjjwSwvyptDj4rEx7Hpdefie
SMeu0MRHLEc1I64Fqs6d7xec+BulMup6hHVIYq5U9ZhHEi9pTzJsMLcwJ3qoI4ZuTt+PRwbh9Hu6
Mw9Y3aEax5nogDYKm88/M8PoxhDGfGshTW9QAUiBSdfa1ybgKOrgRPnmKbu7xW9kbtJeGHdzpOZH
AO1OkLve5O9UKl0QOmNdPuZxaT7ZVVo/knno3/q4SR9dQxwc5fWBnfF3w2NJFLvWzrmZiFm8SLNo
b8vCNl5Rt0SFgIPfjaSUvi4RV+CcFj3sFp81JVuNqQW4x0LDjSzHfFVzSksDFkD7wYTtc20PebZp
FGIbGSkXihP73zSmkCku8G1sBtolz5bnhsFUJ2xBAKp/c9sQa1cldSKSnSam69QtGcYTa6jfTI67
9Bt76t6a3fktdpWqN+QV84dZ6u7tVIw3bgUNYgX0FEMmRTSK69QwaCLYGS+WFcXavrfp7Nv4eR5e
4ZzqMfxb2Tmkb/57EROYWDnDSALUL/OOxJleBZaTkdVJobq/4Uwl+d76FmX27PKde6gugAr7PpnX
cy6ic1NE5atDQum7OfQYKiuvzm9IMw3mmqAayQvDGy8EdVIGGJJk3tHp528wkVOhS+vz1mRkvZod
7oEGDC/6qcl00g7t5jjrQtbExxqo3qUBgIL8H/NvLBD9jQf9DScw3cuorsKmUqIz23Nk5rTnVCO5
hyHp27uUxOgWnqk86GA3TpaTh+cot+2XkFD/sdTn8IumyIzXxXiRRr2yyO9OsAwbJyuCSmXJakDf
pmDSivoD6SScMIY2mdhoJuvCyTxASBixE6yvfnydidG/QlYF0ZbOGpalKrfnW+W0kQrwxXR3oZ7k
9/EQiS9mqilYV5F7MrxYv7XKVB0T23cuiNxSD5T1BTU0fYzPMBv964LsZDBUozjSWqY1/MgGvC65
zplk27Wdo+28hOrLtYIHd8lPwSRG2Fa3kUyjk9kNzhHfbvGKl8p/1eBN7hm38J4VMKRvRte5u5GY
yv1gJB4+9tLdejL2CII29VdqztWrX6d011Pj03l0kYKGZl5LrtSZEjbr2Epc0tLlG9kZWuWX3UbQ
a521G6SlTRtTtIIw2FhdpCqzGKovnyhtSPHKVTikOpy7hzgeslsKujSac3QPKhy7WJ63Xu1L/Mgs
LyvSa4WxitWgXjWLjlfAxWZ4jiFUvS2G+f4aS38MS8ezs4Gnp1tehvSp7Mo+mW7hiFD97Tdtc1tW
buHDbUPJN4rUJfeON+oCypvk4TU42VXbjkx7mcgcY6xfOam11PzmFipsV5rZK1xYlgV2TkxqCSoN
+gPV0skjz+wsWTeMEOir9OkuLoUmTjkZ673vCP/Bp912bbgNGTSvSqFzZWavnfIknPVDQjjs3iql
hYuZQt7TLDXdPsXlZD1VtY4/ahTNIWkd0gpgh6vj0Cp5grZinkeK4462H2f0kVFKa3gR3p1qVjdz
2fKBwCcuVxgWuyfhy+otxtLxpJP43+edLDHcevkmnb3y7IfSvnAbFAt8fq3z1JlN3BNustgOicgW
QKSa2rlM4jih/FdmT5VvOJds2KS9D2XZS2xcPtOMqfde/BkRekycZ93O6z2MwHFjalRaJZE9bzBm
2fcaLLkDJBCMGr6Frw2+Z7s4RLu+3FKYQxJSgDouI8b8Jksn6TCzqeH8Gf42BsKF/k/7JHIdohFe
3P7AnN7bmp10sMxx+sHhCq8hTakBTdTwZTLxo1CiSd1KbrnZi7fk+KA/WF7QhLpH+qLHkCkNffge
itbf9iNUUDZGW72GJ2RYLTGR2guU4vbvu0ycjM67xwzS7JU/3HFmqp8aO2/2g90sFKLBY8VKB4Zp
I8QL1ibq2e8Im+tPODHA04XDHFCigCMRg1xyNmeE/GOvCT9dV6ShAZhZpv3MWG76s3Y9gn0TqzqQ
NoqEGh4/C/V1fifARsCtMRfkbrvma4ZJFcIbYtmuoURLR/Eh+uSyAThKdx+mpoGjoyd/MJX8Uv0K
2ZYeX+3GqZL7XI/cm4gq2/sEPCOtjFZFKMHG2Wik1RiyGFba91oUOiOj1ArSfOLRW0XNjmYkG+Dg
YN0rmyxiyjjA5o8T7rhsC12/KHRlw0BsiFn4OpHCklFVYRCewVof3bReV4PjMK5c5KMrJk3hSja6
ug1llVxkBA92mQZlhFgDz1isqmYsOIwrdzOElbnrC4wXBpW0FwQQVLbV2lgUFDqiGjYzm8VVw3Hm
UQwCcujckVxGHCw15yTZID72UeN4G0wp0aNkreMJNokzMraZEtRhl7gzZJlj7NY8X1sJk1QCYXD/
Ct9ffBO5HSkfwE+TxSI2zkf4jPK5dQwH4qIzXTi5G9LEXQ4OxSWVuGWxo2qskHr8wg9Y31nY49lC
a8Rd+c2Ud1TSR6R3RMOKCuQRvlftwb/Q4jffGYqOgt3IJTPKfvNAWxgpcNqQaLK2XXK5QV105s5q
rTYOqBSzSlbNiblZD0ZbX0XvVU/ze+1TF8HBsN/LoJgtUAzVEFZ61TS7vSvfi6NQX7VNvbRJzUuv
FOgFCH5yaZsi8knayXO6dZsuRVSTPejXHlD2lxZeTLeNf5RWMTKwEDkljBUR04gA/WIpuTKGUWHs
LuPWCiB+UYRVLZ1Y4UA7VvhelDW4oc/c3eVWpY9LLp7S3NayTV1OuAJgTjxR8AcarHN07+RPiqKq
1IySh+q9notCcKq67BTGU9vY4GhqjOXTLtQ7l/S160XdJqemLL7urKX8K38vAvNiY+aht9SDmd50
5jcDDccqYNNAoWWvwep/6uIhaPqiPI1UmT6xLImzU/E4SNLQJyBGPRnTY1i6fj4/qTliSODDEaD5
ZslTNPFSb8aSRNXZ+5n/vyWSf5BILMcwkCz+vTzy9L3t/mP1vYxe858Fkr/+vR/iiK//oTu2x6nV
dVFc3ls3/hJHBM0aPsFFgdiAbeiniKLp/sEIytV9RAvfdN1Fp/uXPCLQ6NjPcCfhNUL3/2Dh+czS
83dxxLN8E4kEV49L5PGDuMzeJ5I58OA9D99sR5c4gQnKKDciwarfldPhp4/nN4YcY5kO/EvMXsQY
dCLDtF2XTwQ/0YeBYmoS0/CZvWGybKN9ZGbpd2ho8nYwqD0irKQ2RTgvh3X+FPf1NACHJJrWPwJr
ytdqMC24C6E3/IMm/S7DfnxfbPc9G3uTifL0YZiyjG7tdCq8Pey/L13J+2Bo5VE1IQKM20ffn3Gl
gENjEp6Pm3i6ZO3Uj59/OL9qrz8+G8sAp6SbjmGZ4sN7AJrjhGPae/s6GbHig289kriq7j9/ld98
49SR0InsWuh1lv9BDnP5kImipx6ZAmwUmXpCnqPEgeDlSip8Np+/2m+uCVMrV2O7JGC5kX7Vkxuz
MfQx9fy9XxKUGL1lON5zjP78VX4dKbx/cj6/CJ86aZ172PxwV5lhZkglQndPgTOXkYFkIkB4Hork
6+cv9JsPzzdsB9sF10Oc9cMLCW3mE11u35Ak56rQ0jeVzDBErfKG1OPV/8WLOe/Kqc3cR//wYmNv
o4K1NsUiFjkMhCWQswPh+mIGJz+mTvD5y7030nz4DVCrAA/eZkVgnfrwXSWGhz7qRhj1NTtbNUPl
Xyg31M85QZlDxWmdx6N0djEchIAnzhIzKcI/YYmV6ISjPAOna/ZWWQwbi2mkgSuEvgPHYsMvBDSQ
zqwL5IO4hMzepyXp/ALywKqp53gg9CqpI+5mGI4idTBbpw4HqKK5/fwaf/c7Z7rhYJPTWYv/dj8q
ep0V8Qp3H5WxeUiF5h0mNs5rdxAP2lTuaDRp8RVHb67FGdjGqnKvItv7h4/6d/erz8pNw7mrCwi3
H34VKWWiIsz9Pc0/wJ9s2Ne6Q8BQB3/2+QX//ZV8xk/QdCjqQ/v++J3GNbAFP/W9vUtGcz32HsmP
qvjS4rXYfv5Kxg8l/dcbCG4iHlWMprbl/k1pl4Vhaa7ZunsbbsQ2G7QkaFjxb0zOk2dH40YwZXeP
7ljggOzwwXWeTj6OVCo6cjWqwG/rfI8Ba2FW9sK560G0vIpBchRyoBmvLdlPd5xT7IuuG6pThkdu
XzYkVla1QVpnl3u+AAhr0FhRuP1B9ydSrbHtwBZE+9RkKzdNI82tJRofLmiv0/oookogencmLZnI
35d9nIrrUhgcydq4dQhWjSa8IC+5DvUifeVgVxxsGMxbPffngMwbqbxBugfqmNznhFz8tTK58LmF
eK6FwHlJBjnQxszw0iDm4Gedtc3DulgygAyvC4Pd6djX9zYHzmcTFevVi3SPfipZ0qo3SchAlWq3
1JrSGIpMFiR6l95pei2vPb3wQIpC9kUYH+eGNiVLPtfjEF7Cbw8fY87F+4Fm8q+OWsghoW69ZFr6
VOamD8lYo4Y67bCv4w/nQBRvIM0Flq0VQTkYhP0a+srPNI+Q2bRixzvpttVezwN0q2g5+LayyfZc
Do2gA970MKfAvJ2p8T0OVTLCLoIjeuHD16MLAFmph1cdghNAC0/2uVTDd7ZMfCZwqi5iQo/s0XsD
AHvIYEJYuFxlZbekv8vhEbBCCmRL1C1oyEb3H9m2TR3JUb/j/FPYpNmhRZN51ThFC/tCDk6xRdJE
PUkiOkbWcubRD82QbPMqJQrbb7LBSwIz8ptd6fF9m2j6AK20VrzSnqk2Ed8tixDK1NauhXiJa3M6
YbS2XzjoE5r39Cy+HiJJGstjYkolZa+3ELfDdmTltKcG0G6h/EeAiHQf4rosoWXp6VcpUq7BDQV3
vD+k7V1ObBvLTazqbcwW51iAZQAy777NEcROWrQSYn46M4R075nIYTjN+unCzAp5nJ3OqTYYmyd+
QhHIMRC0exPlkpYmyyz+dCwx+Ey3AbX7diMPjV+42OayPhhCfbx0Zgxqq9SO/H0FBJNzfVYUG68M
r7J+jDAbVEO8Ai3F+41VY5Gs95iWrwuQ/VQ2o+FfmKrZ9YMhj1DMGwoby+LOKhUQo2RCaXXje1P3
xy3AW+qceW+B0qpo58vODzxBFF5WI4MjZ+T+yMGO+qs472nkJvv7OCBSn6xJfoeTLbdJ3yTsT6X8
4oc+iENCXvKgGVSfOBp1mBnaLzroLCDm4Vvf4Hnh04cvDgOrhCc+TgA+ywbYlk3GGbtG8UpSKb1K
S0MFntWE3zJrFuEqS5W6HVIdiDxf8V1IeCZIEy3fKizOe23kKcxWtPmK7tfdmn47Bb7Sin3TUt4m
zcjYebpF74FJ6GpggzjOhn0iIZNuR7dXq4Yu0dVQHyOCeCBePdlhAlQcFNoIo2oaPoBFByHXGNG1
lk3miVYP/xVsnkUuU3RbEMOWWDUhJ3Yg12Fg6qLCItwl21GQwqf+k4xPBiPDqdkcA8CjQbMenj2P
qKBX6dAHBSdR1fc9CtRcXna5wMVY22reUNltryIyMoiIGqg0m4piTMVsvC0xX7WI79shdec7U7rt
ZT1nyZ9jwoqrAw1f85hP8PJm4007VOqQMkZ8rqFgraga8x8caVM31DBKKyeXQgQ/fe4d39lXbTGu
/ZLWrQhMV16cAbXnYK4Kesj6ZYJIc31ENGdPL562qyxHfSd2QDlxVsNP47emGc+wc61LO28vVRjD
Dqfrez0qfVqb9mRcUIhMuSydvfmuyRmBirxSuwoLFnU1RMJTulFWc9MMZyoAymTX2LSI5x0Ep7TU
3kaEnEK54p5N0rzvCTsuUMRH5UCCN7BjbZWqjEtGs7BImgsrhSPoYo1fz6zgqIHlq1EB5KdZZrTQ
pZOIQZdkaLZqyczGyWxvSfSDSULyv5KqD8+lTsbTDSOo9p59aVeQin0seKvRcsadUr38EvowQNzJ
qNbONN+QHfJ2qaKeZeWMynkuXYid9MhPO6jMZNQ9HVzu2i41xbZqKusH9mXjrVkmVpADCNs3CUQH
g8XmCqRgvTKk5t/FXO9LA50A1+2YN3waToEG3IJDgsOc98ADaMUI9S3ZtmzYojFVPlLS7N7kBJgo
1GHxehripv3T1OAPr6XrN/0hAuHoEQkv6I9t57eJXhigGAsM2u1fod5WB/46JAtvpKbObuw1iWi5
aaf8zNq/0Vl8yFLqcj+nNFnQXpm9EN6QR1pcwDf0OG7BPiBT5VEMt4MEouHg7MlUc2rmcLyGT/I4
YB/ZkGV9YGRDFxcP+RsHKvSuBd6cQZ81iB2EjuLOzdp8Pbu2vDMd/c5NCNlVNVMGH/E36Foiu+PU
Yo6SNAT2YYrmj6pOmFdwUwyECvekbZ09S4rGnLvVYcKb+cXUFeYNQk+yKfW4JN1ot1tpiy1uhPRE
1+2SMverNx5IYO6A9AW4ooaHyMDQvU5Gob43OfFbgoplsUmbhU4w+zp7RkFiXPOqgLYVCDhJ+1aZ
JpQLssx3luGTzNCnm6Qh+DXNQuCetsZ+Rdh1eMRPHL2JOWu2Md/NtYQid3CFDCkD9JvzLPJo1xbh
twYL9RVQl2iXJ/QoOF5K4U6W9lkwDvq4ZJ4BYYcyxR2m38qZ7GBrxeYOPgOQhpCR2Cqyo/KYIgiu
sczrO8PquxVFE/P/Zu/MehxH7mz/VYz7zgbJIBkkcOfhSqKUyn3PrHohcqnkTga34PLp74/Z7XFV
tadr+nGAMQzbBXellJTIiDj/c35nX09pfubMKUBLoifMQSHdjtvBpdDLnuziDGt63u+rnisSeFlx
iKrAOjpJDfIk8c5yZ3ie26m+mOrpcirq7p0R+HDeKKF2awgTBJF9OWBkD4Oo614E1gZKJhp9LN35
kNfGI9VftAgNC40e1IBUpzUwiDBRE21dg1c+YKruLwOsxQeTRRDtkPTSXLYPjkr8TZX4aPaBbt+b
alxYudkUkMir0fyHeNwpm2dzXnvxJaXX8Y2lUVzhqnobv7SNHJ5SUe8QMvQ1EL8nNTMPqI3hPLF1
sS3nMawZlFDWTtl2MUy7tgbXudH1coANTxEGSIZuUfLCXogw2Wma3rCxd4FZZNFuXqjo2lTCh9gy
VY8IpkSLZRXq3HyrvPRkGK3+CD0X0iicUFjHkjoTS7MKI0af9DQpHsDYQ6qmeKh25Z5iTPgSShn+
aVDTi2YLoAOiuNcTjUXNkFMjM7q7qonVga18Hvox/S5ekkUHnNBkbXj9TVu6b33jRs+yJIOrIFaZ
4+zRaIDdVjUPc9/5m05D7TeGRz+zNV4HBjW6/RL0Bmt0Yrz5af1oi/wCXtZdrFmh0tK6giH8Lc6/
taOvSZOD2DHT+J7AZ4LWrU6VK89T17ow7IX4vBy686I1zlu+QTRoBPSijwLA4ySzfUwJEasUdRhK
H4TXlE+LeEeKK/a+3Vhba8zKbUF8YTO4s8EH2KX3Q512PMUq+A3+o0fa2Gual1xFX6faPU9weji2
25/BSgBfWrSMAMvkIbGDE7cs7/H5f6ns5ghattgyTbtkxs17tzXTb6WhgkL23fQZkxvbILviMOYj
SWdTqzY2+9ErbjPuqiMwxldkBybs887wG5fJIMz5RgMEyZLohAZnfVUFsXs1K9l964siQDRzj4C9
y1OUZG+vI6gpzBRfc4G93eO4f983TsLTmPHwJjZc7y1ZLLUvO2cLJcXdt4FZnM451j87GpN1K+U1
oSMAbyeFP+ACqrKdbwXtJqiqC9vB/dxVE3sVRc51pQAQgeCI0I1EUwbXYA/DL5zZVIZNhPc3vuNQ
R17zeXNuxWpkyDsM2FeOGNOtZ7dfdbnsGUn1m8pj91kyu9yQNd9YKmZDL4JbLFAXIoue+rm6LMG5
EK3icwd/YGKsKVqmu4ti0a8ezN6Ztq2mKG7K1HNmEQ2n/0jRnfsqDefJK2BLLC1r9qw6PrQ2f1S2
GK7nQpePE2IoZnW3IKMRWziZ7DqkCxHTRdNlL6ke+kPiJLQsIoicymrla8rG2DEeWk1R7VfMA/pA
rym/qUlBSZnpK9cCLJCUgvYRokofck7EFcYBdneeKPYz3Oq9AYtxN+fmRcWZZZ9x/jkdq4jNEZWG
rt1etz0HDFf5zXOiDPdQJdFwQGK5a3DVUNhH6ZeOL322h1ddY1DwwLMjdILIu6gDmzk4UfX0kFpt
c7nYlBK2jL33uGIadv/tk8gBQg/4Q/c2du4wjno6GvBs3dtGxdGlojtybKEjx7Bb3yZ+qVPZymLn
TXykxLTViZ0Yw4H11rxUDdFAivkqrNEn1bxkIUEj+8KEyRHG4IUvcryBj51Ve4/+5H6LJsumU6rS
h6QQ5hMFfP1JZWXGnVK6fR35bl+DjfEu5hRObyaEccBYqg+E4BJwMODw3aErQwcZZ0e9idyYDRk4
pphY5tj3Me4FPYK3IWbWZlopX8MOjY8BLXPDDY6H4diV2G7Bz3yZG7aKtGvkb9BOKvAc1rzFyAPg
lCPyIchcgVadsVfKTLqWGvwtGY28p6rt5y9E8Jmf0RZVcPvuaX0ZjhEknXDMwIhjWJmuU9i27BZz
MrOStCTNcDcJQtRWl3ziZEGCE1u71n5CS8FHNw7EITtCtlPbHjOzCKtgnPYBNzpnKcoocAFqKmoI
CBHBKy8CMoNsYwuYVbk1QmeOkqNadAvl3/YOZdG7Z7zOHA5pDrjCtWEb5aN/Gvkk67qhhgSbspvn
AHY3drb4mldUznhTD1ZKjM9WDk9DLsVFMyXRU5Eu7xzH29tgbMipQ8sCWG0MwETyVp8ZZocpyX3i
ZbvTqsXhDZcw7BK2wx1TsW0bIbnZNEIBm2va5NI2DbShqu1EWA4mWlBpWKiOqbeNfWhz1EmovZvU
Ubzn0Oc8MU6l10bW6klnLNMRbquNXw1UZ9Ji12/nzKtu0CqqB2WMAZnDRL1keSJuU52a13bTiDCZ
ORoy60vb69wOXpuiDG7R41YTsgDU6uDmG6MFdHQgmZtCQiQjW7Xn1FbkoRdMgP0nCOOqibywMery
YNDssVWdX22EtNLTOYH5vXHbWm78T2dotXwFomaexADwnpOauG+RZS0Kh/cK5zVjcxDM4AGsOOxK
odZsb73NNeZI7EwZcDCRUZlt3gSOB7igreLmZIpFch7rinLTuk7PqFhNCxBNKKpnxTQUEiyy0Ddz
ZjrvOhsb+9QAdA11SQp/K7xFPhMUNfPQGeXkhu2QpB/0LbVyK9ScqfMkps9+Kaky3Bam0UYh5Ife
2Tl5WzyPnjuENB9w0lv65Z7gFtBsXbA6zrkDkcq9y7yBZ2bQ5m9l1CR7WohWpMAUExn2Ovwvyn2I
cgztvb70S6s9LSTRzzpn7eBeLZaLqi3pQ1szaRsHwhXkftC8G7JD9SMv1D4AFamf4UCKK6suL6Fa
5fusUvLcTQJrTwkcNqPM76svqlbitHdLG4cRxYs7kILRieVG+mFs5uUuj3Rzn0LoAp4QmGTpMJ+a
lcHE2chQ2btCFSeWCqaWl06HXbNETFepoeaZWJqsvxSO+iUYDTpiY7mSfGSNp8dZ/aRFTx9vI2O0
9LnJo12esxhs5DAYTJibrtgb0aheqNMhDstnkt9Lnj+XQ+kP31qMPFi/OEweBi61f876jd8mtdtb
/CI8vfJbzw/KQ6CTaeuiX24UsMqLEeSTEwPcRskBrRJpD8MURMc1PJ5GeA51xIOXOcKehg/ccTnc
Tamp/UsztR08Z0vhAeWOmKDURgdYOt04azZ50z3KBvgD5BAyvl2pvBePo9RJoAE/42PtwzGgXEAu
/XDLkTLi/i+zA55aD7uy4l31yfM4s/rZ7jCFhpWbB6SP9wVn9bGa9LLBPETcMjlpxh4meDWT8fMj
iHJr5BLCK8nTAR5JkdJiUfVVsZ2TvDkVfnoL1H0ICSSfRg7dr1u+LeTiUYWh1EV0eHeZ/TphJI52
ZVbi4xLmLA/gUCigj0zVnzlYow5SuoSWYwxg76CZgwP9o+oJ+UPdVH7X39JI3z+TQsquuPKci5Hu
9pZu5RV7uXGtZfX3JXffztT2tz6J25NgsaYrF65gtMEFHL2iwbLDRy9XZ5WIqWp1eOaBReqklHt6
7owcbFRDDXIOmqT/IPRqTdAz8WjtyCgzdizdClNhJxQV7HU+uJtEFKhZ7gwAiQNH1C5HODiqZtNt
MlL1MYMt+M0uekLeD7mno9BK/Oa8i71xh/mIiUuUGl9npVaaHZhE4uE8+cfu1oXKdCiVZV4hi0h+
dBcgX3Qoeq6UEyI6e9kAsnJjF1cq5zENtHDDpIdG5bbaucrRV1FR7HCTAVzDp8oJKNoCQfgYlvah
6qfggVx6xbIbz5mESt+VO2ktBGOnJ9hmCc7i3N6DI9wZXU5fLcYkGJFpehrXaEIMdI5xkRqP3Wik
uyBFu0R2h9GSQFaB87Yry2QFA3LqamI3O/HNgMOsdgyElwTgKTtYTXdMW3rL3uxZFQlq+lg43Xqk
faH1+2zjdCNBdN8A7I7/1TQu4VLO9d7E6IsTUAbJnZDCPWPTVx/tzKtDYvPqztNzWYMF8yz8oCW2
+i2ChwdaZ7D7605Qu8kDTHj3ZqyakzaPOUS2nFbqnViNpoZYPacz5JU9nnyS6rgfN+YovWd+r2UP
KZ8i52Zwa3y4Glg7J5YCsn1cI9wsjXgHh8qml1otGEif5liURfXgz+vDkoICJOR8ddI6n6ZamFbG
Ifu02pboJU/w2+VzPyfyvM3m+oJ2UnnL4FMePVuIB9OloHjnuUaSsat2Rho/ii74Qk6nXgvIyupo
ssIROnRMUkCLh2g3uCX3VqapfdoZlmN9gxovHuhAMR+j1VCcf3qL+6Arr+gLxnHcUte7bJrAyd8b
wzWP0UTpBzCG9C79dCznq3nZZ1DxdZaOvKL2pngtyNGimMbx1TDVDhRxgeesG+LyJXOD5VQB06Eb
ZAyQIQqDAxPNGK3Gr1a7d0Ht+hjLV691BwT+ZGx7jSXKT7zr/NOV7TddTDDAQdtNgBcnUfpodkH/
UVd2/cgQKXoCuFd/Mbj3cX9x5TMuZ3702EmezFW6PEVznTxXlKDGm5mE7xe7NbwXVGDna9HN3Var
BQvB2ujidGzhFwF9vOIrcqoMx2FJqbOwxKj2Ya/uewPdZluRroFq7MPanZtKPBpumRzFZM4X+N+D
Lxm09a0pu3pjzn566iEze8wxerVXdRu9LIgs3AB10Xzx4U2eLuy12VQveAdzNoAA+8su2cfavWfx
qr7paqivaQ4zDwwbDAj3LkwKtnkZAE3ja4rcQx4MGwXajUnzB9XfBx3n2SU+DjD8PPabUNSqvGZc
RgRkitG73LRgU1LZpbqbu7ENoOgVECNnFxHSsbvswu7H4uiMs39cW8HxItfqPWOTBt/V6umezyyJ
rQkGdXHfBaNp7qjorS94YPiQZlI+OVvNbX3gmDzZW203q/+xBI0VVmlB4wUNGfablbXjDYL1eG2a
UXPnUv/xzW2G4qIyMWMvQ+R9BI7rg1IhOBI7a4bEtrT4cNdgCYUQK9BOEzep1uBJ9plBwddJHgX3
M+baeXTwIEJP9k74qga7hAHpfec2FlXnMB7AoOGUvSWU4TzGsizfq7h9tAJU0apjR6JneixpJowB
Vwu3yYksj/NLSSO53LZopwP7KYJ+JGzy5aTrkfVwWXblnmMAF3lQmg2G4SnyN1myZnFAd5LLadeI
zjz1LnVmTF15RsSVv8eR359RdtTKHdCZfj8ueN+Aaemy2No+i41NISH5Jbo4L3SDc3/DV8K+NAeJ
YIenlyJoT8YvA+XThBbb7tkBKZ3tStkkR1229W3CB+XvHb9zHuDktXNolo18Z2vk6E2QlvMbNuQR
caUgY3SiZCnYSNkdFGW+zVl3oG11VQbbjkYLGVTeV2rOvGSj2PKfxZEYH7x+XdkCvKbxYqDaG5RU
nsZyfm3bHBCl5KJsOFpzn7BH4jdgmGBB76OGnmYelDXmOHTJF8Cv23iMkCx7d5t4M1YRyzp3eyRM
1gIHt7JwqFSFPTqD/EjdloGH4P+4t3qtB/JdDswNFQvqzwZL1vRYJSnSWWdlb1HnFEfppPgdi7g3
rZ00zRSgbtS8tTMVxdvJAaeKyzKdz/LcKLbm2HvPn/ZRhhgc3so2KvOTtsjFe1b05tncOhUH3GW2
DrMuq4PINbZigh/UuDEE4itZHUegCU0oGaZdewFyJjPIgdWki7q3JVMA8ZRttE8ZHkNKptlN1In6
EBrsmQsk8DTDbXU9LsKgwN3htAa/rr2Y58HYMavljD/ne+B7EAmY9h042xDP5NSsPhpfC/hkRUaV
uu9eFcx9D3bcxPdJWQLLtjtjOslKK9F75vbJvuqcFxeg461B3/abARoE+/5K9Lbqd1L62YOQSUEs
eKwDxF+neaaXmc6HuLYuCzKwt7Fh/8qIsRotfnYsOLigWLhXPr+z2ie+QwUkuSmVShp/PdMzPOXE
fC094sBFT0Bmw2zWvNKWkT2YWrOU/rVhwvmzmSjAhALQC4efjfHmJ3/PYhseLMbJP8xwB64CT7Un
uu2YIpiM7em+wfXPmYzBuJnp93FhSWmHodwrnVuExro3Eiju1vdLxE5l0tSLpX1XTZ7Yj2zjmTfb
FomtUSDLlJ6kMxue4knrOfXp6GT0tnS0ZuAR34wu2qDAqVVshzGn4hfeJVmgosCVPdCUW045aQvc
QTuPTN1maAeHHYp7Pw0cDtxxtq4Be75lVe1sDan7E9inmLwAOtUbDmNYpTCz/uLS2X+2ERIcpdNB
UOWNOih/MrGVfJW4fA67dTyUnBvMa8eZ5no7gPeuLCxL44w3Q+B1ZkYEiSjthnkfFCG7gNVjMAJ1
SuOA0pREgxUZSi/MAqGPJvVL23oyziZz4Lxb5GyARQapJcvlL4w5q5H0569eQP1E4KwlFPhzVufc
d1+9lLVE6aANDmarsk+4zlJs/WVKzhajv7Um7e00izNMji45tUxz+MbEazi25urWQ3BzrSrnFoPL
41f4Nn7x3fx3b26lz9m2DHCm/nR9YzQ8zOVlQKkfQhWjyDg4px23/cXL/ASUW417/ItY1XoL8Gj/
zO5+dxEUA2Oni1RwYPw55yzf0iD10A67aSq8V5sDPM9Iwn2VFVU76t+9W2I/3bRDGM/P8OwEVwSz
cmwz3CzKxUgOZdmkqSBagDGl5r3qSTX+9aWxfrY08rw2Ldc1sU5STc6D48cPrikawnAd3z3d2TwU
FrsiI2AiDlIdTsUex5DHIL+qzbSmRnktbC5huyea5MjszLS2t+n87mbB9Dsm4n9N2r8waTMNNS1v
NZb+1z7t/8cw9uUteSn+cd2+vH/rku/d2v/6AX8YtuVv/DxzBSAI6QekS/+ZZg+c39gGknMXGIzY
wwle9J95dv83m6+v7wcWfwMBjSdW90epjPeb5672blLoqykOb/HfMGxTl/TjvYmLhEpS18NiZ2Pj
lZ8Wx+/umSYuIfvbiT62Kahcqje7/Ep2bFU5UeKq20xIfxnRjEqhNqmW0inK2YcGsRTHo+E7qPCW
3R6p7XO9C4ual2GjJ/iwSAxd+mVJSb9RUDPNbcjBNz5d2NHuK7elfwHZn6qU2nXLFPrLrL4wOoGu
W1spWculsmJ8NzGt8SHhfslBPXb2Vi/XJ5TSoTmPNo3lvvOqFoawIfEvjBYGyl2xo53NJxAzBuNN
gJEvPZnqFhKwzdbDPmmmrD20gP0Fm3Bacq6F3ZDbcZQqORO5VswuXjg31GKhHeYNzcZ0qI4KIyCG
v3Qj/NL8SFKzXkLEmoDyOPrBbxmZOMWBcGL83DiFPRx8ymbfhGf015wxI2ZbbLy3fqYAxAnYtS+0
T05H13eBtyOApV8IDXZYaWg2pRDKNG9wYrS7EXcUCU3OQpz7HUa/dBFDyLXG6L737PnZGpFnNlSF
Rf3GNmscaL4csq1YaMXYOHNWurAHpLiwS2u8QPwxKGsp8OMuTrpcirQcrDu7rQXyrzM38R5Diwie
dF81x7mBqBkWgdkM24XzZ3OYJwtxcsMetE2PTde5BGjW60Jn7SK6YJ8VEv5elwCcZ8PdYuDzFAbE
TuRhN+v1YiXHoUfS7rFnMrvraY4JnObEz/1yviIFVVHiwvzCuopJvOg18gf+gCT0jmc1oMLBnG77
1PzIiKWHVZ6D7O/sCNQnHWGGimzO/pYNYLGbtxqkMmN3yRhXpO5mXhyKWHILpkLsYm/CnDSCoA8G
eaeD6Qhk0FJbaUQQ7YqhDJ0suusyP74kjP9kK4GS5lXnLd8PRHP3nYaZY6Xb4zjF1YFaWDrLu4C6
zIoKWbH01UVsCzwOayE2srtx9CadM11yuHRACg+lg3AY1Op08BokccPBY8CKuET+Bft4qEMOpBzO
T805HQCST9VJ3h3dFQffqcqntHerSy0gKQMiRkYhBLcxAnKOLlyCq9xXku7wob6VZJgv4ReTscpd
ytMDFhRS1Sa2sGK6w2MJWKjP4+M8jMglUranyoNInwZ1tJMTRhIS56+1lYm7prYoFq5ivZWoEHsv
KiDHVURZgf1jnWMym1r9cNEU3tIAbDaprp3d4b5I1LVWJAoncwH37NJX22ZJfxUlRUf7yUzuz03F
Dio/HRQ2lhfaeWZ9i1gJ8Fkad1WlvpHLvs4xGzCmtQAD9H0PzLlDKe25y2LfGBhxYAunBaLi3Bgo
Hkbi3tF8/2doMC7GE5zmBwvTHhLMYn5rM/bg1CydKU9iYBlxEpgBWm2bTx+S0pShBC8JroFPXoly
a5T5AoOaNsilwG4SRy52LEq2NiIlabzMdXdOFl5u0B0RZO162o5SohHN7vJs8L73WRYtYVI4zUFQ
1HHhJ/laymKMd7lb33kUS1JlRNEeQ3G9x/tIXJlCmjCn+fSmZYwVIlTEG+WVyyU+jsGB0zhB0LYi
mgOAdQ47LyPzs2XqHe/moiE2b0b2/EirPVV59P1eBgHuDy+XeRgk7uqfaD9UI8TOHPzmdPIisU+s
MQh7i8w50cXymoGRhxe3s0+nQuSvtaqqPbNFopsxiNNrp6e7utAw5fgm8CSkpQQ9Zm78pzGgYVbl
9G/8YmP+E3OJUA+zaGGaHI6R93DDrRv37xYnI0MIGudaHqlMAEtd9XFw6tNecanGyhmZS0+M/qQn
LQZqQu3pXZXHsRRoyN+t79e/H+G+B/Ban1iX7452vBMJp8Zl72rxX+Ln01WLQWmidWA6YsY9ZLrr
XxNGmMsNeknQXfl+Za2iXy5xYy/leKtnmmexDGa9Fc6aKX/i6EeKAFwesLPdxvuSEwIjBBKfzYvn
YhXbOZ3hPjW9XVwHQVRdLIzvn/0GeB6yK0/yctTWq6wmFGnbT5on7huwjX0v7mw9Gm9tQq95Pvjx
gzQJgGL4iNPnPsVkSvGUcxGQ2EeMJsPr06pAyU8y3TS1RxkFS3gQzouJj4o47g6JWpyzOMZXY93W
295v+1spy/mMJmZxMRSxvWWlL/ZiKp5tUZs3dI+eytGijHVd7eS67qnPJVBPPW2xhpHbSchaTTr1
c72MP9dO4j3mh/pcUW0HSYe+d/96cnNsYzFxSQ+fHons3IRrTu+a2qE8DXTOxNis06GYyKJDuEH3
KXvExDZHlg18JbCvVs04blOdz28uwmPom9q/Ylhp2FvAIOIkYryPTNkE9kFIbo71MeS9pAxV6N8M
/KMR2Q8xs5CjmtoY7CsXPl9mzDFZwOTVwD79FeUu0BjREjDnSOkXHiTkrR9TRgWdq09CDl00K9fz
agwd+zdRZt6dn0hNLTg9kK0q3YPdtCxu61K6TQDdvhY0YuAByCKoxUnlvQaqF5c26trlbLAvInjb
zFseAjZUwCCxlzvP7fIvrl2oF5du8QFDbC8mwGcNF8mtC/eyX6YxOYyOxyaKHZh6biPlVe8GU/M0
xDcWf3C0qZvrv75N7J8DMVCRAIQDvHQJoziW/xkK+u6GHdY+UpFMwzF1sU4pY4rP65E2tK4lMF+V
pn9s/LYckSLqCC9vfYXpMDpPADfUqI7jdOr12OBx2BvxDmMuPv6qzMdbLIR1tXNYYJ/bUitKyFLR
3DljQ7WZDQA1ntMx9OR0hTB2NRbjCgYfLX1u+WUPCERM0Vu1why8VHlHj+5iHNfuxF7QA9vsWXdK
JFeVHV0H8BbP8YMObB0YPJrxHfe4uDTL5aJJWew8Brp6L7FcGGjOKKs7ulu8kyRtXL2hFNoa2Sya
J1rJ4trzMvNa1JZ2whqr+L0l4dHEOgvCeBqwKZFRx1KLGtZd8nBprvFWT3vs27rfMTqjGyZ1RKBD
dyrQlBuEz+1gtQyRS+qi37GjNWGQ+wO1D25/bSPhPoKRIRIvMr113KXYBZSWlqiUMvqSsB39Mrkg
1LYjaeN91OPWoGQNI2EQOZLNbtbvMzmv5cNrlYDjjR6/X+tNdMygFpWQleDuQrM+DLVXpTuMpjMW
A7stK0bQmP/oLYhuIh0kr6UFRpnkchoyb6avAb37EBgptNXU1adFxiTCNknLsyYtfCv98bLg9HqW
MyH5yixJYV8L+q1l+NVtnma4EGsXi58JWWjbx8LfaJDWgCKVTihCGqIt7gC9xyXVf9G2ld4bmBIf
CdVUJ5G5mMgvxH3Y+Y/ZzdL1KyLYEWcuT6ktg6k+hEy91uwk8lomVvZQmR0aTZ4EQAtwsDinKTSy
Iix7Lzqf88U8eDIxua+DTJyrsr4LglHtNaGLzYqdmeETdM6NZ7TMzpepKJlmI/wAn6l6/7rKIyjG
aj19WJ8HEaufhmUbfR5QzPWs0rIdWKhrX48wUVdwnAnSOcMdUtmvWJM57gQcfOzPI1AnXLEf7FE+
0hjGEakC6orhIQVVAPhPxHiWvFx9icFKrSEcz4ovF8UslqrkZnp3hnFqQzHZ5H369ZiW1ZqTiWon
/rMSvQCUMQ7tEcMwfKDRtY4Non+zQwGPe6ydxHI2fZDl2Unme+CP5mVo3F2bWvWZGESUnjSfm4Fp
3ReAhH2m38j1N318nwfpMzYwbhA740ghU+qRluU4adyiyiJIw7vu9rigrbMp4WzRGaRK6QXt/has
ln3Fmp0mpOxA5xGWIPT8w77CZEuXi4J9Bb6nyzi4avL2XOnf04F/S0K5SN9aEL0f/f9d/9pbzfAo
ZSjyeWL/15/u65J///yP/PA3SGH/8cJrqe0Pfwg/C25v8HHMt9+6ofj9p8ff6vWf/O/+n38A+X6h
jkjKclGYv1sV/lSxe6j5LP5F9/vPv/G7GiIdhA30CxSPwPNot4YXSCql/4//IwW6Bp+EJM79R7fE
P9UQi2Q7MdmAeCOgCkGG9T/VEMtZe3kDBEvhWPw4Eol/Qw35k4TOG0OgYcfD3IkQvfXj18KWDPXd
YhxDxsE18bdk2dP/ztbBYshhlNn0i4j2n0Tbz9fjBV2i61yPn/CYRSyYjxXmGC5Oh/TnxB96URl8
SmwG330G/2YDy9b/R53H4aLDPyRUhsztShSkH3+3wUOCEmxBQhuRhmyi66qVDmqRsrHVRR7F+mJY
RHYo7L6iEbUN3r2i1tdYcPMjZYH0qbNcWKfoLspgo9lxas2DuH1yoAyyVvmee+l5sXU6mHb3Oo9E
oLadJSMPe6ifUES44LbGx1F/M9bnoOfn1n3J5lLvhcQQedY7rXmdFnYXb7t0oSgdrtG33kvqsPNH
ljS/w9w6TEbyDQst7qeKQoY6KpbroEHSx0k5x4dGo37kQw+HjzjaWQMPQZ80Dq6Y9ZnOWxlkFD2B
dmTuYNMtgo0J+Awtxz52gI0RG/KgFkHra1lkBsttMAKn75zWrvHg6fajBMR+CuDwKGO+D5Ye7NCQ
1Xk1e/cVhAOFgVMwFI+N5Sy1OTGhOoNsthnnRQQK41Q9GyXuB9+0bzJnqQ4VDvN5osU+DagRbhQw
aREY7fkMTHprDigbET7aDV09RQJmBitgmrt5aGGpOqWh8DkN1lqrycl3Mw2MG0+CGKDlHXwwHBvM
Few4EbspsetD1whCHZFazWP7xmrBSdvGLeXo6P6MPT1rSg5Uwjg7XItHu4H7nyvBy69CjmlBEM9S
MEpDxv/ArCzNsT7pCpy8upAV078Oc5HDi9teae60b96MA/aVoW65daBdMM+/oIk639le/AqEKttY
gA13ZIoOFAHc1Hm789crmgsQ51SR3vUW+Stzst/dITq3ckm4LysIMpYHU03+Jh1jxaxC3MB+m/Bf
WO+ZV+4FpwXoK/1BmNkHTIQ8zKP22eUPzDSBxWUfrD7nZR+fxmplVuqVCJs0dzEHOpjlG3/WZ0mU
H3pA20nRpiGN0+s+37fRSNigxefIOGC6M8bvV03vXqZG/VxhF92OAm67GIszAorfvIEJNoQ1b5+X
fHgtkIINxfaMvntO2wN+2A28qlVsgek0UCVszwmSQzS9JlH3NMW2F7r22HExgHF5kXEPsu0ch5O5
XQS2AGpCCS/JGj93VG0mL2aQndcHr7Wf6bPkF4h8hABerhjTV8IzhIg4wJPUklvKCpE5a70lw5Jt
PHLFx67u9a7tIHbywd4k5RxAoqSvyigKmmtLbtS8sZf73oCdH3XyfjT5TStZnuuKz8Ex1WsA7/j3
6PffWjf//Yr4wxL631ta/wd1PckAicNhbfuLyUP1/lK+VP8AofuPy/Stfn1p/3HsCv7Y/bjo/vGT
/hhBCIC6DMXAgJhiHYwxg/p90Q3s30jLC0+ujAbJvpcV748RhMV6zCkcBga8Xcl0l8XrjxGE9xuP
gpW9AmmScTM/9+8sutaP5HlO9ibYAt6ZxTtjjeKn/bAZ67oGylRKi3WCdLMBeftaKVCgAnDtJola
UhdL8UFYmExkgCxldauCauBjY9o8pzXIJr8CEEoR6TYa00ddc9t+d5H/zer5Jx2KtwjYxly3BStJ
OPjpLdLsw0qex+3BL6H24eiyQxL1YjMnwbkmueOI6dLryLDENncueZ5fLN//xRvgwGdzqThh/wQf
x0qg/HFltEUxb0AsQFOVVQjEyChMGgXFEnsvO3OaBRLAhvi4ul+8hZ/2KuunhAbDngh4CJiqn/cq
nYNdmPry5tAO8UyLnLwf6HhPm+pXfPp10/O90vb7C3m8DFaKwBY//aoU0RPTmevmUNW6PunjPtjL
Xj3XTRnsgzlIt7OHlR0+GvAyPGtb4kbYOib7xqUajFZB3wiFIaKXjoRE2JIXvBUkmbfrfXHg0N8e
h6qemQA5ENcUjzNK62TochDED6H7kMIMdn2Dfd0YCe3TERdybrwveF+OZtuxaqVNdBpXrHYGVrFD
5y7JxRw9LKPDt7Vc7mvLd/fONJIo7PIPSyycYnTxWhmlvytIyS5+8I3Co1sYqE9//S1dd3A/Xjhu
CdNnnOwBJ8MI8ON9JJfKLOK0oc1SRH4IRu1LFkU77Ef9NrJtMrwJLETZ6GD/169rr9/+H18YRZTd
PAwg+/Mx8uMLlyqQqsPTfPC7pAhxDFMC6C/9CRtLNDvRdTvqjvWW7YB7Vs7c0FXHqin9ig8Umx2e
4Xg/+OxXXMk9xQgTJFlEf1jdjDM999H/p+5MlttWsjT8RLgBJOYtCZCURI2WbNkbhGVbmIHEPDx9
f8lb1WVTLitqU9G9qIgbZZuYMk+e4R96Ji+CfHPRqvdkRoSq9M7uHWqaQiXocMWBd/x67/rgW+MC
UGiPIlAVgBq1r+JT1jRC35iGOszdvtj3UV/ekHpcjKZxoVzoBghCHJDOxd8ByJp38PYcEFMbr+PU
9DUe2l14GvRsMF03129/fudvv7UFalaQtBOQbMvn1Pi5Md6jrqcjylHsJ601N+AFuTCkxL9fdOtI
gNUD+RnIUvHe/vzNCxMWRZzuUIfb/tn2HEQZwQlq4dKOndyOoHFpU/TdOxJMZ6gIoo2FJRHOgErX
yyTg/Pp89IFKU8NreZ8sbrV3WyxU2yh5eeclWmdF0ekylpKHp+zE+EOcff26bBkT4p8DJ6p4jVyM
6TdOR/IUV2a3Qc2MZ0NWN4jGvg8rY8UNxS5eDWRA7wFZYm09JJw7JE0GEi7bErMQZDdi/VB0LHIE
IOAz6BrKRJX3qDnaAivOvRGMwi/orngkiaTvo5K51jBcDlPMiUIAnnt9Jr6hGCO2aeNrYZ3y15CG
NI5UdxV6V4XO9uDfW43n0XqhVgTf6zEIm7XDqXCVImXGTvd0k/jSQuG1+zj3XrcREm+pqM9eyjV9
sTPzvpRrdBlJVNpQiH1txUBaP6DHofvVQUPwEhaH7u+KOn1tY/LKAQT7Bhc1yikmp/CQWN9V3IGT
lcULzIB5Y+XxU7PKlaaY/5iwOBBPz7lv875KfbA4CE6FpuhhCrHbJxW9wel0n6TyCra01gOoUyHB
YXGxws+sr4a+EJYFmgsqne3iGcnLphEIPRTNlhrrS9WqOehQigcEI0ge0pWDeHW00C2yV4gKANdi
NMNhGmAv0fcPrch/oOeKvItZHOMJ5YTRI3BPg+wQQMfQPZtXpDRa7dnVkTq3InS9mTV4ge2Z0Xaw
gDcTy6o9MuUvpsXnsBtUTLSOExhdebrOVnm0C/khM/zHpgNR0AxtH+SRl+xJfkwOlhG9UZNPU3Xt
g5OuyH7J4ZYEYx+51Uurd7gTDpJq1C2gnc+0IdD9lVuQ7c7WK5wd6pSvsOsFnJ/xqunHq7XMX6nC
/D0Wa10QWzxoN5U2pfY1CFex9cA4BEJ3b3I0R7dGwxkAP4labGiQNZes81odmWi0SnTYuRQWr6/U
wqxYvuziwvA3av5Ib2wI//AaKgh0G2GVXTBH8SsixCyChGitpxPTJCx+Z5gym4Ria8so7MWsy+J2
oIOzdUbN+4AJ3G6FesyEB8WRRW+vnMh91PuCZyQ9PToZVfXpw5AZ3HRO24eAxsbtae0uE8tGl74A
iorAt0zSFy8iZ7Rj8x5hMH/fL8ULIx9oCqxwo2drnBZuu3LfUTXv3NmqQqN09ovwHqVPIoP+Du7M
aguUrDDDMO878MIBmG5WpCVhjs2KzZ6qbEPj9+pSmhsvYQWZBp+/09kucqgxbRRjcpx0vLXAZ6Rb
6bFo6z59Od04t0sWg1HNDr3sZY+zS3sFfan7RI8BlfteJ15L/PcAUUhYtT4qNSPfzl38PFxRgzIc
JPBhnSmdamR2s3lkrFLH2yyPMoaAVIIlAUzrVMByaRGsPAdLN//7A2MZfo+e+HMt2VfOnL02SnQH
xYWXU7gY3Py1R4+G8SCvocpiLtBRuvaqwpcOoLTW6CnnJ14ixQD50Eo+RZbsbkb8vjB8y45F7eUB
ktoeQ3mm9c4qn21RH0+nE1wy+ARoIO1sZgOXwsleFz2K7gSabyVJ0jZ1kDFpuwpGJuJYxNPvlRLH
NpV+PhxoJIG7FPw3+9jS+N2RWJs7NS9ktveQhV968isVzhY0GJD9cW5OQWmwCS9J3z3TgOJgHJwb
UWOOh7rrPfVOBWOZrcKE9gUHAZoyJq2OYuTjnqqJk7a/k5paqI4dp3ZvTk84Lfmr2hKIlN+ro8B1
xH0vubHTN5DCRwSFyY1eoV2bT0cvzmw6IGrZVPD6ImEjJGW0z3pmAQ9v6UhIPCLalaXS6izGU6Tz
LIKJDZimXmwiKp2skGgy3Xbe0oezxv7N2JlwC1f+lWdph0JJO/bq68wQVIBX1Mc1xiMBcSj+L7nO
l6dIjLIriZgTF8GU0pPgjKdvtHqPbiEbtEDiyuFOPEZQqmOBocfMqh8QMa+HdaflJaalvp4Hni05
fjoiAmuYn1fniplzU51KnnPHprsUhVDqlj2MUzbiwuZVK2xe+ZtoXNzbRJodRGJk/moWXesTeArJ
sipVL4URNZh0n4RCfd0ua59TTEPQmiDqUwVV+wYpH0o/qoJT/C1UdIQSSjctNxg3+3V9aLKuD9UZ
1/pcIE5Y1VAFScjW/OigTLQRDeEGIHuODA3p8JBmRThgS3+NBPryxLS1PqCwDuwKqtdGn/OX01qp
+vIl85LXap0f4R8tHBgtLaSRV61Om8gnLuY9WyBq+/x6ZpQROJqj41qPgLPVw/qy8WGAYlE1OxfT
D75tm95MKW+ViSr5OZD/rGmSA/B0Drylb27UHPwqZTAPpYWeUWeXDujZZA4GY/V3+TB5IRbkUZA1
PcIu3YTSQ5TY2MrKNX7BPp3eogm+YzcazEx73Cz2vpuQasxwc5v6GfOAHtH8pvym+fn6wSwyeQWF
ZQ5i2X/I0OTYU+ekgYgM41m3DIyHy6UiIzbTIBmMKDBN5GziotnZK2XSWMcqNZBjfdHajNSMoewV
0UBsrQln3Hxp6gtPFXB5Qp7crO2NaUCyc62ZtrIfvwwaWqiZK+A14fyyFdPa7fJJX68QF8KStiLY
qzKvdmUeJAYqEBzvDIvsKTn4WtncpDZ2FQqIBYSuoOVplfq2G2jnzkVskaMwLE6wid9UuAgEo2h/
ZCsJWz9CT1Vi2Qc9woJYuBb8x+YZhWd34w9y3YwIRl2P6Jdtcs/s9tJos21KE5DLZ/xYz49ZxsBv
rxXSdIYx7NrBvqR3/iUu4ulH3rcoWzdeFEwwkrYUUN+kqyYMy7dhJnnWjISgBZZmW6P9ttEahAlZ
DS3SbFVKZ1an82bVQIcikTqItZgHLaOJbALVDscYIJvu3Gk4Z8MHIk3U8e1lBBV6Md80Tq7xkr1K
a+KvNU5PEHkumSB7Gy8tJaEcSXSHxedOIg8FaglhPmhf7Z6omzWGedGv1j10LGSsWv3YamYeVDEh
U8+GTs36tEOTJrqCNrJrVeWz5swu9JWwlA7pqzHX/i5JlC9KRKSpq2R5MnurUV94RWCBE8iqnOh1
yrQaepRXfKyawbqyVv15FIQKzeieq4gWR5k37bd49S3CG/xcGFg94jskwcncrLspJ2PSqeHQNtAw
djnFcbS3j6oL3MQEB9DXfQjfCnS/xMnlVNFj80w4MNmmHiRLDhnj3py9dlNUKUi1knVbqyVKwby3
punFH5HRzavxHl4Kikzo2MMUgmm8chSo+1Qtb4Puw75TtM2I0xqlp+xlMJIXwF7PqP+QI9v6fbfO
2aYHcr+dkm7Gq4amd6q7A/6j8V1VTEe5GF8oIJsdpOL2qtNF+wRX+XPGmRb3IDfF4l9OQDY3CMHl
19nE3XhkVRtIhWTXKpxC0VuvwQHl9OGh7U2290jL+UUu5ZEEY75b3bklCzSvZUteoxn+0cCambrR
w0lYgOAqQK/4AlMPwfQLNJIaKLfOjTVlyZ3eGvJzqvPuEUfpQ9WZLyxWmCxYDQMaUiRYvNMStY4A
7yTvY21WSPlp6fQI2ACeX8tyE6p5lcbY+uY5fATVC4868py8SeYbDQbrsHF8FaRLqpVxlOTeXY+b
70SOKdZR7qs02zSAkw5w3PaRPnQXhs9kArl5wGvP6LD1YVcx1jW5z9OJ3s8UYSrdAcIlIZ8KHCUt
TLtjcgKKa9yxzEULNW54Y6kzs1rqAkU6qpZ1pkHkOjaKM3H7XIMa3jIon25j3Lbgn+t8bCjkeyzT
o8uFziRE32K+zZ0+f2iGEXlD3Qi1mOHP7OJIVFDRh6dTDgfG6sicnjTKWrwAYBSwE8llCsEanhNz
/VJCX/qOlgqgE5cf8PwB/2ykoVC8ZDX5SxR9BefCr7TlK0gH/aWMxupYcOqdVj/1Zti7GXRna32l
CcFTFc6DN6d7xxf3FV37QxdxcmVS+6EaVba1Nge8w8ZrG17oZsnVGaiGMkMtIP+TQxEUYnnf+ji2
WL0vtwlMJqAcYJRSwhjNyByyKeS43O4vtWFNibjyahHrGloNl1c8zW1mkWClmrgtWrApg8XkUEsm
I8Dm3d+x2jniBj7RWFn3p7P35DeVYOvw58Lf/l17wVFcKQMMva6f60iP2YhQQbbkew0lxyA3adja
ff/cSJqCGWif3Qrhj6fgK/drse4SUQ6EGvnRbj55jXzUvdRgD1PoqjRjcHUN9JH7mI/xnS5mIHsl
zBM8yMGoTphFyGm8c0rEEKCgkAD38dOpkXmqkZiHf4cKm7w6M9Jcdu/cG/laBZPWG0fhLCCi5Fwe
Z80goRtZf45LDdQzNKVeAgWt9Ta5l6aDGlZF2GCY3sPgfc+0qL2qwLltrVhlgYmaD1LzBnbsRRe5
YbyLkPxdKwVPPl0woKcroGb0P3ekMsj/ZcxO2UcdNaXnTtFlx7z24AiSLoy5P6aqlcrzcf4PbDfA
6/47LerfNMXQLaHLZhkms5TzXh5yxY2dinzYZ24Hy1msyaHD9GKXOIhooFSLjKIz6gwtgR7/eUG9
YVHQr6J8R40efW1L0Ev69enZ2QYSOD7Af1BXG5ugHiD2aTykE4Z9FtCbLwOeziGYJNiSdnZXj+X4
wZdiv5iz8fznm1EduPOWpgPCBdoIog+OftYHHsSgywTPpz2kAi1UDQNL2ZW5qNGFrW3dpzHR9c+X
fNuzB+4tlHsAdCbwNGePD8BJp9xENqqLTC8smgUNU8Ba6EjWj3PXjgxatQmaVYvecDyWhz9f/Te7
mTkBNwAn5jTK+vXll7xUDNm0ft8A2gpyGjrbioLinSHQb14rXWZhO7ZH3/PNmIrTFNQjucR+NVJr
OwDKDtBw+sIg/gYXlM9LX6TvXPGcG6bak1gpYDhJf9tg7qOa1z+hKRuUw0lLyn4fp1l3hcO3v0sB
SlwQEmjlTN5jwvG5kTrdMzVaL+cCPZ7ZkHDlIW4UY/p9Ld7hq51BZE63xBwRNImySn6zuKTGZNzX
JXssz77U0l5+/J385hk5XjE374jWn/MauR7eg66LUJHwfDWI/PUVDFD4nKjKu72XujctZgtBpdlV
WEeg1nWyZmAYzlcwKE8SDeBCd5/a1NHwTJuuB5F/770J+RIbh8B3VpyKZr/uMaDgwgawxMoznNNI
5KcvY3qzXGI37vYl2uRbtyB5dhpCzaBXHJlCXACuPSY0yT6ZPVaMKCGS0SYlLV1AA0Y705gij9sU
UgiE45Tmq2PeQHZAGCjLvsEFsnt9DlaLFKR3L7DHAbCavQ5xIjdlPGShhs1S4tKpcdcYf6GK2ZKa
OuYOEkpCV7K7Chndmaq21nWB0EyF5S3afbwaWllqbHc62LJVby/+/G7O2bR8MjVJtmngA9nC1eBs
WOrjl9NTGKLnGFEuLHYTb90eSk8xlfTFQGqiuGOmtA5KawP/XT89Jq3VrVU0NQmhS6s24qRbsza/
lPqghTZYkHBUefOak5V2ZYzlY16imurRCY3Ld+PZGxyzegZwOPgW2A5Daf3sNKOXQZxvSTZJSjsA
n54W0FPDB8JtnweBj3HilEf4QG1oZLhRaQWyv5Mu3wmrb2eurg3qzYHODQvCtc7eZJmtphzduNkD
K7wE7EnXhpUA1/cfljz/1oJcvA2hjA6xP0fTCHtp9zzSMAWJ0OHJJQqpdAUz8h4DwOuucfvqtVjB
97guXSmc/aiK5qHeVCjEb8SAxFhUIvk0yeRFUMKjBSyObkm9l1MCnkA4taoZK4p3+tvH1mQ2b0IW
OmgRtcufF97vPhoDPAagNjYIwNnORlMVlasw1kTuE3TwA1Eg2QIJSm7LjqwT4D9yItPwXdVLJ/AM
WsyveLS8E7HeBkiMeWBn2qYwrbfHBOS/zpWGIfc6PpKmv2AeIBw6yAVgKGRJ3rmaeJt2ua4J8pG5
r2nornd+8qJq4gFpxKKPhGqXSxRA1FgSNax46xuxTQOXhHrtGXKAe4xvUZd6ruc6v3ZKkntLj1+k
ZyzX0JTWw0jhvcktINAWXCjYD914nZnT7Z8/09tzlDvGFoeE2CGinwMJWnt2salia7naghV4J/sA
jkgeDjr1E61sEGR68c7Q8jcJP1djRWCmohO2z3cSDgXeVDeixkeOxmZTmxaF+CyOmG7NSvicfmpc
YWiXI9tIe+rKN2lUqp4h/XYthN6lB2lFCyFiUIRkzIhGuG0al7RWjB2+yKE0KTETUI2BaffPYiXf
OvVEKoPCSZHid72rohkeaIdCjV8sMaT3ORXVtqzNBCVQ10L/FoI+5u5PBaAr/DkZ6klIwuhvYSaZ
uCqZjyZfEQ5B3VPFzRN9ktNsoy4QmmPm9k1VwnhOc7lZZ0IRfTHh7Wyl7KbdurIM//wpfxs2MM0F
wOOA2gWz8evpLL01TVqkJ/fx0id3eBTQFKB82Qnb6tGgkTVnIEUu+MYX2uZ0s20+NGx7L5gGgfak
06L3udAjOsX6EhrcRbqkSK5aKPoFfS8+n0abljSwvmRae1ky7r5JcBR+J4F/m8CCjSW7AM0kdNTu
z+J9G1uMYFu321cuh/GAsJhSoWFLWMl4FeN1AL9oLT9bXuQGYEHzd85M6238xTzdxdvIImE3jHN8
j+/NOVozFUrRBVO0WrTznZHT7/cKOuEmilYfK2mX29RM8osBmZMgx2t4O2v0sVP1X3aORtagu8jE
rixTzi4mSi4DIGexvujGcJkv9bPW0Xw9zR9obSDgTad6Rq86SoBJSjUNsGmyZzQl93qpenyzaueu
Mr1vm8n6qGOLJ3X/2I6wI2xntXcIFdG1j/1X/sfQo9D0H+CYi33lAbDJXcaN7yy3t1mXJ8i+EQH2
Kbcgrf+63EZmdVU2JfW+YUhxGhCUlhoJG0yEZMo2XHts8KBiXSBEiWVISsaA5hbDA3lxGsPAlQI4
1frmltP6vlDxrXEe0S9JmYvLzxUT/SBemEW4erns/3z3b+OeJxwyCva9Tpl6XiMNvSY7ULA1thLW
3oiYL6pQkS9UxaduVBGV70S9N8mzy5oiP6Uog0HJwX52ICZGFy1tTiVIa1tuFtmDeFaT+9Mspjt9
3oGh0Eh8AckBaAQJNOacfeNtTFxkwhZPltAGzLIBqvFe8Dg/KE83B6vSZL8p1JD6859SaGfBZF7L
q3yfJuAI+pZ7WEgjBjVlxZ/zPfzaby6ntjhIJRNbUvHm2Mml3TGIzPeTrVYtGFbs7IlIHWuH2vG9
ilgpNPxSIbjEOCKKYosyGqFy/PXxknZk2timyT5JEhvFzdEiFiKUNVsYfLfQnTZTTkYCo5AzgzT0
kNoTUqKGVt1YteV+mqzSv8tGBIHN4bZzvDlsnB5a/zQ24cQeDeiudFeY81Z7JHZg+fUVHsBmBoJa
yTqlcNF3XcqPp2OrNNy0+5R2+EU2VMauzlBn1mqBD4DnyQM1jJVsNdhDgYXY4VY3kYOYo2lHR7IJ
2xiL3FLE5iVYDo2JSn7bLbq1VZZwe1eYvEMA5Uen0bIAG4QYIp2Nej8c5aCoPPzaUS+FKqa9GApt
Z0zNcI8Pn9hB1ctQVqZSi9DcpG2I08xAzr1uUubUQZWX5iUAVRscWO5ngVM21a6SVno5ZO2I9rWF
XO6kRSZEThyd/JR7QAggpr/7QfbWbZykItDoDl95DvYXubYaX4bJN+Gm5fY7G808T9RdDLEUOQU3
Bxutj3NfLF/xJbSCUx4EBfxoVfeYBaiRqtOZbJNLZaLUb2XTVPtIThYSDYsVCqk+YI3CLTwIbCwy
BGk2butmuPAk3wqRmTsP6CE0C9h4NgsoXDQPiXQCJNj5ttoxRLC2qiux88xVe1zqyTr66uezur/t
E/Fou6BNptkBSWJDMB2g6x1E1nnvNJzODy9gf2wodjB5DIFGP1vqRE7DNpvc2yXtirPOAmXgPYmm
8+B5uoQLwtBGD8V4w16hCrNpBCh11DmTQT3Sfh2xpAhyic1Kh7Af7wZP2z9H7POkgIsSO+EV0WFX
YeMsQsX4/2RO0rq7pnZxa4/9ditXJA4QKUSHx2Skp5l2d1G3OnRCpIHeaWsZ57k9looqQUYBEUdN
k47LryFkacpizMoaXVdHopQ7Zx1f21yDLFMXjGz/Qvo9zouGeKTtkO8Lyxmf/vwKTgi4nxsdp3ug
RY6emQfoVwHEf47SbJvWVaqTu8zJtWBcmu4AhbKlENdxEGnHFAWIUu++IvQQ3fAirRv8lqMAex3v
g5a7a5CMLr5kaITthnL1nvVO8CqbjuwuwRsgT9qHCU2qC7t1eZwe8dAGJZejK6cG62xQCco0Kt0j
CXxnurHEslAr3km+Tk6YvzwjCSyi+fDKTBrXnM2/PuOS9sjDcYTuBnbVcTLbeafL2Nj6Yz1enh7C
H5LiTsfG+IjiuLFl8Bht/VVfgwLl9+1KChag59duzSSKD36ceIFbZxr7Wu8u5lW8SrAYB210gJB5
WFOksXmfi9IMZZuOlyu00UPROC0IgNXbO7M7MtXuQs3OMtAcmCQUTr+C8KnVjL3SdqUUa9BG9iaW
CUKvbdPdzPzLnXRGIBZJ/LBotgZ3ZCrullVi24BePIasl/YEP2q1UGiJm2S8FqnbP6OY8/3PS+aN
VILL66QJD6bSpRUML+/X1ymRL4BQD0Ajzlt6J4PWbt1sPKbx9KEsrQivIsvYrb2BCYezQGah47XN
sB845B4i48i9QeJivrwtfLZZVo3JVZPH+tdGyfzqq79e8SvOcYSHz0TYqg40kgYoNomzz/VRCRT6
V1R5+lbH54yBSmftGtHgV40m3VZz6o9Dgd0y9iOPJQ3pIF/b9zIb6020QquFapO2kY3tBO3SX99A
lvaLQzvF3qH6OdziPWJ+EZjpQdayWALd4IlwqL1+30+ztjO1UgOI0yRXRtZ7h8VKZYADBxR0/Hie
0JUD3pGy7fK1s/ONhyDHTkyShenEWtACjgv0ljWy9DVSCKmXbQfdQ3QCLWqsynAfEdaHaTSfLQ1t
lcV3P0RJ+p1aB7ov86mrstfcQwxo4zquUu+uJ59EtMSDXD4WlONVIoMSZdC9Q29gbzHy2zGYZKGP
XHL2C/OdHs6bLE3Vkgbi7Bifog18nhQuc5owo2TtjIX9CtvAu1N7pYVTtZ0MKIp/Xqrum5PL4hOZ
INTo5EItPQczlwO9Kn1Az2UAThXgt+c/AyxLriTyU1t9LeedqUfZTeL0yZXwWgJeS/plTLz0eWzI
4D2cwZkmfhr96DjFznW0IqhugPKZncslxvmsWdjXYwbklb+7leSEgeazLtuM40NM7GbS9te6a9Z7
UQPmM5p1/IHlV3eAKmYwOZyrY9bpTpjHZrxLgMQ/TWPRPjDwjwID3S5sw9J1awlwGrll0OJCiSfE
Lny8BszlXzCRve/hxxz8fCFyrP5wXTqVi49NPV5POmG5k3m+Q/EoCpiYKvGmcnyyF9ZWN3LMaMmI
JpUtsLnBCIFd2GsZ5go17uhtpX8xIyWnOxqMs5Ok1nZ+W9J2HmNt1/AiN4lrOGFCL4gMlA2xvnNA
/2a1sEjoxSg8ujolf91nneMUeRmDivUgKhJDeH+ttDmcaqsOXJsN8ef18vZ6TBVBpJNiUajb51W6
k1cgg9fa3hXovzPfZjcAm/MvwBx5h2RFM/XP1zPeJpaUbTClqXiBqaM3e5aCeMDbMANE+Qwckxmm
C8hQLDSdI+qb/b5C4OBqRpka+xMHheahPbQd4cLJ8aPAYdfYulPFKABHHoyx+C9/4KBCESUK9Bpn
odk1+j1m8wYIzLp9wCySAW2lDnc7QqAJUZQ7u6q/LiqMxDjMgrhm0TlG8RX8IkpPDqjQrE61IKY3
+Vh7HHar410XozIX6MzXpvbrYJ3s19wtvoqEe9f0ft4tXrRe0dcSoTHMNFbq9rFbWeuGsgs8Ha0y
J9Vq4YQ+gygzQ78EcG8A8gUjwm7CPdvbJyzBqxqB16upt/p97ajTtEShOZbkJXnKOYNJ6LrR1V5F
gTQD1jMsL9VKfEPxlqlQwxLPEV8+gIrn7MkJu10um494v2k73htKPi03JF3IlnRcMJTSEqYAS4ON
3ulPC9Z7iqztrnWVdrCSUAiQZGi2M9CCzaJO3SwR3YWV5i6bhXCRGhP5QD+vvMS5u0h63bs2Ggb4
SNp0F34fe4cOt9rrKuGv6DEZRBUhMdfVgL/BfPf7Nu7amxQzWXBnUc25wGNqtpHdjEhcBXI0unBY
amcPRwkeb5ny7nBm3Ber8+Qs7jfk1CG+Fpa4YHeORzg1ZkgEYxXbi7cfm4KUJSWNPm133+H1gTTl
ChqngPTJdPBUZIjumz1FO5/jtNr/a7zP/4N6CQZ6Akqz4Kdt/0Yw4bFN5dB+/Zm/+a9/9g8Cp/hL
KdOq4HPCGLj2/xI4jb+ohugusF3wETdU5flPDUnrL9t2HKIHVZkHm4Y/+qeGpPgLHQDiGGefUIyx
/0g1gYSGOPtzAq0opHATSZEd5uP+uW6CrHJNQ8N6OFiRhZdfjremNnmHEh3wDSjrZwqLeDPOibIr
Axi81v2PWYhPNB+eS7fQH6KGhMNupu89XtpgaMsh7GdnCDTNwNSwb6oPudS7K4XZ2dQehkwrK50d
nN1TGNEFAHp/qBT4HYsB/PJySsJ0SeA02M+1LxuEYpaH2tJ/lLgdGAt9gyK2wQjAMAG0qH23YhO1
PyaJdq01XzhjY/qb43yAhojoImw6rhqPX9KuOBD9j0QFvGz7CYBo6cR3MdKBAVwULdQRIdgYWHge
Qf+bVz0kf5T4pXNMqohWk3StUrVJl4+RHz/qaf51ovOaw30o6LktjDTJi8JsnlE/IJZvk2GBySms
4QEKyD5vc+soiRsXIrcHjBGXGpkGHwmfxiBhQoZnmSfYs8bwagz+TbfETmi0pnuvKnb8ChJ4ol2+
X8AQ0+9qqms3q6HnzF30YhIKDw7NqUvEc2RANim2+FhgQg3e7xJSofPSO8uXdvYTkE0Y1Mtp7LbC
h4MjK1O+DI6vXUdAay7Qw3E2KXJCwVrY1jXWkMPOLusfmYEVi4ZxzG2rZ/S/YnLhITMEHuW1t82Z
/4d5Anx28pv2siln8eB163cpgbPXdMluJ/Rans16ebY8iXh5jqNg5yNzXHb60WryIZQ18urrgq9L
PhavaeXlB7f2v/g9kGAH1yNwkQWa4ZOB6M9Y6pe1Cz6EvwXqF03Tq9QtHlPHeXRxG8Fcu0c6Mp7T
xw7zzSB3mVl0lCD0iuPiAfkhb2uUqDquuY8PV5pg5CetJxfzuNDF9u4aIetPrFf/x6xXfahrVYkx
Wt0GZY+VzCi7x0iLQG7M+J7OwAzX7mOGKjJTL+xiugrFNqqazwVeSoes7x4MW85h3ru4/GRmtyuH
uv+o49LEEvUexsV/BFN6V5kISqGlZ2/HBKHQbkQJH0doGK/z3MURUzzRtNjk9FjkRMrpEJCwvLOc
WYaGrWkBLnXFrQ83B6mqeLooU3z7HNbgbdx32OHEVkqNQGOnSBLCmd/t115eK0RTAimpRVGpqrOH
LrO8vZAC+QC7+2jE3fyh9Mv4ciJ1Oxh9jPan5QBCzgRuEZjhFRkKB3yqMZzsZeyxBO3BzQ5a9BmV
xjGMctEcYRaiGbtMDuqSIyiRjYF0bDBE7Y9a4hITAyuG0bL6Nw6TgPt4djEuQRAjRMjIxF/RuYS1
at4iTsXALrI5z/wpvZ8M/MUWiXiWnq3UjpqzfusX/5D2iFg6k4sVqp71+Uauxn2U96DtNSw28Peq
dzB1QBR3kbsdnTgJcBv1gORJ5f6d2BVSUUVZwVPVnQA35+HT0vnO0xAP7gFzVCzOdDIxTSeXtkc9
26eWm1wAH1iuGtdOnyBCNMe4bhxzkwCofyhWQ7sBa4zLIqL4n5xKfNKTtt/VzrKJu7g6yG6+kz1O
QaM0RgU1mwIt7Uh/qM7o9M/1euklGqPCTr6k9jD9GE2sUlxpTpdIPU6HvvdwzYjQttXcIt8Za/zJ
swp5AxHvCqiIQI0J0Sa4SWA+MWZZzBr9yuYKQ3hQKwZS5gFi7hFpR+JeWUWZIfofyWNk9NktMlnG
ttaH4+CkI6qnffOpQtFkIxji3SDWMmyTBTD2kAKcKTssIMdszZ5Gn9tQYusPUbLezyhwBwJlxaBe
pvRCZsM955AGtCaCcYCfzEsLIvdgFNpjPDd6uJoVRBtR9bd17tn0Sdc0gHqJOp5Ij4jQgMmNrfre
zhBDLVNrgNbkanCOXbEBZaWcT42F/gPs/wv6J0PQa4haRamH6kiLPtSsoawJzwCLX4z9gtE1icKp
/QMUNxbLTmFsLd+/L1vnWyo8cBEZfES0IWlg6ZLMFcs0Oh/dGo4DbkFlRNu3rqKPoAQ4FdU90C8w
wziFtFT3vvjkjezmwkYOBDCMfw1WGqYjTn4ML3Iznl40WI8Z1nxT+yik92rjfVJOA9EXRtaUGCHa
fLcjzS4UYfDZotGfTA9iSuh8eAjw21r24IIUu3Z1J/sogfGEjYAv76/Jx7Jy9rY2YcLImVCheed/
ZnYMGMSX3+uZBeV02Lc2iCdm8wKqr9Bv1nG9Lv1mQYrXyZ5g0AGA0jSM8tSX9vIl2pljLLA+JfT0
fvW9Eiuo2frL6IqIl7qaGEcJNwlxngGJC/HhEm7hHYOh9hr/aUZ6jONTwzG3SzR627oaBeqAYDzb
tarAbLvmoRvz9pESuQ/WDsCMg0rswZzrr7pGFAJ/GkQiCp3eflkqjHos+3s5ILQe9cob2bT/boH9
1zLZX3RO/h8pmJC30vVTDcF/L2Fy8zX+qgRLzvLdf/y7f+S79l8CKVS6xWTPkNx/0kw3T5mwQt2h
xuFSV/4r33VIaqHCe77CIgC+odnzz3zX/kvpqLOKBchFftL9TwRLUMw6z3dh+5qoYZBE0xR3xVmH
Eyab0HHwKGH/m6hRu19jF32kFCj+TWIt0TEtBiyNtfKplrkT2NBq9o0+F19ny3avMw8Bk7nz9niE
wPyRE6c3CYdVeU8xMz9EInySxUHNrhcIElNujfcj2oCbSZhogsuh+NAlDOIyv20PXmJ9zlQy1jnX
S4dDpGej7wnuH2RddD8wSsU+zAx1pJA2JChPGG16u1bVv25pH0tzcb66qYHvUu6HXS0YNnn+el2U
a7ntp77cFDQgNiPNa9gd027qRrkRmbdbLQ9hZOSyzaApYf3MhqsYElpQo2PYJBbZpP99Egh+yfKI
zni4dOKBnsVV3cp4C/RlC63g1TbS+VJLooy+Wu6te5G0H1Le7W2dljUUQU3ukQh8mnXOeO1/2Duz
5biRNEs/EWTYl9sIxB7BCK6idAOjRAlw7HAsDuDp5wMzszNLU9XVedM2Y1aXaUxKIgNw/5dzvqPO
vcMvk2hA65xO/MjCyu7sEtGvBgW6rJuL5fQtcC2yM8XYfacOme+ilzZAatg2mE/hohxtI8lhqnYv
rjOFedNvcrjKTWE3a8Mvf3b2EhvtMoQj+G/0XYwg6VMTxIek5jKUnopDPA0r1r2gYed0r039vWY6
A+OXdnzuxewcLK/Y1L05hiKrNlONc3/0mnhfVHHyyPDoIbEGqExcMzG5PttxnHyWdYV9dT7sp2A7
VxOr+jXjN2gaHd097btzMIN5erKKCpLJkrDM1L0P0yKZHvU8mhPssV29Yy4XX0f3EhTOM94nZMpk
lt6UJHwKkeUl1u1rko7ERrqf43wCulkD1OxHAFFKnmPZHjQciTolgIpx9IxiMzkToTt9eyclOYLl
IyzemlsvsPaOV5OaSFOy6YyNjZtHZ3RA7JqlraMRR3ttNnfToJ8zRw0r+A0r3/eZHk6HsdWfo+LF
zGu6oYSx9+guf3d6aIgDksTOPGN8E2tIXA6WBcSO2zIp23XhK2PX4AEsHePNjjRxmo3gJ9jQi0VK
k60XRy9qblZH5i0R0lVmPsg5Mb4M7OV01LViY0OpeAxc9scRVtGVOXkOjYzUrnNiOTdDzQDiA2Dh
pJ470Iub/oRbU3TrdnLcW95Y9dGK2umU2tJ/c2STMEgr4xPmKZ94GNmTpR3ln1NSTfDp9K0ghp2k
4iQlvnHyZPzUehCMeVTbA8Dk6QvEA2SujapuiUtKjOeV+VeuSO9x4fIj180yKsrSPSVuFZwYu7hb
w1Vq2xlGzK06j5disIunuRPjE+61/pjqdfFcyKndNgNo6ZWsA/nWUS6HjZEMOLcC54LNqT5ng6/u
AaJbd44x98cOO9cXI8172pZqxAcauCdA7tlBJoFzJcI6+QHYrMdJAbTlneEa3WuFRfwy90pcWLOo
s4MN/5RHvkGxh5L35vuj/qCsobnD9Geci6xKnimrgkuDVPbMo+KdLU3p58KumB2y/TKY0tXezsjN
/A5LRxwmpILdp3mil/9mm2p9TCH+nFIwA0HbZQNP4uBmKsJu6h+nxRlNVGW1c3zw4zi/q21ZDYe0
Hdq7xipLegoE17Wh1GoyjT40yC4KFbPvjYPnemN3/TPbNW2bWxMcVC9dAOhETeOnEfoWO327TmwR
f+miHn0hskCH4Ds9PXV6cQcEkVVXE8w32nfKlcjPLxPe0BVP0rMTjSDoAVLu0UQWa+YaJHJOzpOU
SbLqe1Vc3T5m66/I53yqFdA2IEZTM69bb27KMCn5g3EDAvpYux48onJmdbRuRTSMqLjwPoP9s4kY
NJJGhM0QVxtnNspnzGX+FzSiRzB+2LtNTEOehrOuI37OcsO6nAi86LwyxO3HOLGAsGTF9n4qDPiv
vfVQj905qeVjBLSBrQahk8PoEKAgRvIiIgGzAc6dhQ2MEXQ6rY2kOLWzPZwiWZ09wesvxORsSS1g
lioQnfVkuxVMClaNcuPvyeCoYzkokmUZgiK6Bi5ZgcLljDHyrZdk6UM9u8SQEdN418/KW6I3eJRm
+vfVDE3mrOqFrdin7RnFZXDpHZ0odj02z7Fwm7sMlcFDZbj6jQxak0WvGLoTn/V4xjciWIt0wYVq
k+edUrp99+JysFeEfiU/2MmV61FG41Yub8q0vDP+8vaYy3vUL29U3vr9MYlG6y7TyvG+bkRztokp
vkxJOwCu56pE99iyzyxa8t4CG5fz8gYHy7usL2915GXlExPd8eIY3D71YCmKb84BxvTBaZqVe6pt
wseHplyeg8Z/9JczRCynybycK/NywtjLWeMsp063nD/zchKJ5UwKyLQ/ZL6BXCh2ObJGVj6fpU8a
VJqBf6w7FZ9IG07WQ+f6b2luTqc60hgEwUu/JQW0n0UM2Z8oQNzv9NfJbmQVsB1q4d74v7Vr38Tu
2qiQuAiBtGJNZBaxhjiEAAu0c0CFkgUGP7YfZLmBjdJLFUxttIghEAy3WBuxJSdkBkkx3JVe6q91
p3GY2NPIzqEZjE6wN1RAgEJJrV9/Zv4qC/6YrO5YF1tZt69iOcRnM9djGsJW2HLVd/7QE45R4pCX
jUDMpscaG2g/SaY4DKaxiSEGOCQnjnCp9bW0l56hLtMKR1dnXS1tMC9+PDr35KiTCB1Y7UayBXlo
Z+lk6HmiQt+B1cjzjSYNNn0R0zWESzXTNValKvQDDBor6c2JtumLnAqIjrfP1x7H5uucY0mDHl0a
nC0TIaA8YkZjIJfvzIcM8HIDM+DeiyZSbdJUbfR2qtedWe5bTAyAu7vnbji7MyqYONIviMTrC1mW
MElYEq6pUQlvlSJa4zQGCB5Bpgd9QsRtVauVZXvMJIf0KzsXtSVW+btREpPpSwvL6WQSDtuoOzgm
5tpt5TfhfSNqIjhOJpM515vMEBCDOlsVBjsQlTsvqe5xij2kFYOYMfdvRoSoLSk8YtcLcPx9Y3un
zh3dPdh35KzCIipeeyCHmDtPGNZZ4/7f6HP9PW8rbfmM4lU61VAiEnXjOn+ejVr8dGyVQMmZh5XK
q/lESIRajYq5GKF4U5gazfQzqIgPWuPfrK11Kzud/OxAgHr9391Y/H/e5/23a43LW7nsNf5Jm8e3
/d7m2Z8Y2YFu9tF9GzZSif9aa7CgoP2Dt4ibkvXnsvD4Y63hfGLDwFLFsA0kFtai5vmjzbM+YQDE
raOjllokU+7favM+vBN/FgxQwsGrLcxpJ3AcKAG/Zuo5TVvWmp4F+1SKYj8lCzdZBEe7mwG5dzEO
CycenzIwEDsbvcI6TubxuWg78msM8VnGQXPRGn9+iKNiPHmmGh5IkAYUUJCCPhvU8Yq5qjlWOjNy
hharREYvtukXF3SWh1aSN2D3fn+C7/KgQTeBJD8m3xyNmtcZUmJAhvyW+ixRVnnK5nPVLhGYFK/c
mrSjrANZYjwFEy3GGBEUPqupvnBmjUnoNBPzvCWpe0besBN15u21krCyfdAG4yN9XfIq6voHCTil
F8bI61gWi/SrMNNvCgH9Xtj2XVoSI5slOcl5WBTD1rIBKdjTz2XgHdp92SBKQrjYEqLxkAIJuQTk
Fk09gayqWPKAhEOtIBV79CVNNUvE68A9skpJJ8rBKyw0i1Y1K+VYBx3mxksKP5VxeR9vpcll3/KI
ZCt61PpBV+m7clobx0qEvCiZCBkydEUz2OpfC2NkTobXfQD6BDIJl2H8OKgRD7XSHofey++H3NV2
uXIIBaxBNd87yvPrFYNwFlYIQbAMG3L5M03FHcZRmoHF/ahQxVKsRiYino6oXJKKSjkwLM5dE4YL
6U4Hycl+qse8S7fRbDLuJq09i04zTMNhm/hacBqqtv/cmTKC+9W4bbILJiRhTYcUf5UE5LiGg4OY
aMUsZIjgMtW5jTvH1r+7jTW+lOTBDEQVkPK1sr2GAdwAvCJADDkFaHlo9lYFzH6ID2ChOC7VHBCf
BvHhldm4vMxdZ7MBqNJYrGMjokPEBGOEndJISupymqda4uMIyuHq2FZr3E9Z51frIG1hR6CQyL2N
sg0K3kBSOD+k0ouSPYHTfXPkCbOIjKDUnkNKFBOygyp/VrUoTh4E0XjTTbWsd9yNLZ85a79j12aU
ssqQ0IhdFdyjIjn4mQ7zBGE00V3ZptO7AqyFpVOLedTk1h1ajde89W5jurAehG5S+cp90tEkO1K/
5GBwVuRsPAxL213bj+STbCbDnu7E0sYWoCpU35zTGJRNVhEMgiuKCUe5GCfAgK47WfGRmQqxYjEV
h1jPrJuYLO0Hj3NYYb1lxXIzOxQQ4JDvdb2BVatIDOaI2gYFqzR+1J/WfF9AWW59vgdf2Guhmel9
q+uH2k1EqEgaBjPq2YxwUpfmlXUkSdN4w7WIqUd7890pJNG4pTImkWZw/HifL3OC3kqeCmtIdlnm
pVyEVrxvvDhbuW4BnnXSgGwXVbueiL5ifVRpb7aNQbTxdrhMEmblBFsPYEdI/NDLxRAVejbwIaZK
VhVGRllddJG6X4MpfoQBIkLhm/1ORaDtgKxvMxt+t2F53ZoIDu/7bM+UQ8a0MfyxPZtmivw58g8J
GK/D4HiPHH0XUFjxymom85gR6dwRrDOleb61J9PdNQHLKfYxO9vV3yGyt8inph9xFl2tRFXrYUab
abf+k8be94fq/OxbP8c//zKFvP12rP814sn8gD78edwv/SEJT9hVTd1CaIzY+B/7w7Ie0axDetpr
MQ6kpEBRFcw564d4rJ1rUrm8JdrcOzWr6qy96NUoXpF4MWMYh8EdWAazz6Wadnnr3CpCvW/W/ZL2
ksmJ51KQWyuNDI7QEk/0UsnS+D5MBKqtDKmQkTFU8ZoVozeCwCd2bybsLjkcMyPpMRHExIocpOFw
WJR1dKJKHFCJfpwm2sfJ0nycMu1y4GB1TFiTdJNnUiirgfWeLOnbdFvbsgZJH7pUYwSVN7p3kE3D
MbU0XWZUwzTp4m2duP05j9qtCiAW9kLwaaLfJIpOnRy9PJlplpxYiqcbVO3jOjODBMBiHKzNMkDn
RXc4L20izpr27JaRs2sa0KrBQDa2UYmWpVG0o+M2j1bvdT8MvyqfKderTWMh59lkbYN9oc3QBpGz
VQX92p0FnF0GXSJ09VTydCPQor+pjTR7FFNrqNNE4gsh1oreGYQcwkRkKnqjFSG5NeVLsvTe7tKF
t7TjopLpaYoN+9bboLxWfhSXXzgU2nXeePPWAayHehfrBh9ok16HGpxG3Dk9Vo30XuaVeXR1QUxl
XKTGhVlgdkdLRGnZ/VZmwt+BMo9a45TQKlzhvmk7j63sdz8atB0ap+4WaSYgdy+Ov0eN4G0diX3/
OjmcXoM/mNfI6fV7wYw2rAzjm51Hxl4f24L5LFZqsDjyljNrWAmC8/ICpxWdwpHbTiIB0Aa6Udx1
7ihxiSQtymszFDQkq6abznXnvCbxPG74zX3OQcDA6xREBsXBtNH8ZAAQajwVQVdB6Bj3ZAhiKM9x
lo7We6wbaus22ndQLqxcS9vY1Ul3tDArEJxzzk3j1BbR5yi2Qp/wdrRQ39jXrOIquNOHgalm3zvb
ce7fi2Q07tCn/WDRzFarr+3Q8HS59UfN32NmfXP8tj0mPoTB1s2S94mMnePg+u19UZnToYW3vEpr
4oSKIkOyNLTfKRaddelY74O9oFRZwK1Z1sP8NIQ42an2ZQZMsism3bgrm+CSynlaWxCZNmWpTZj5
jGprdXW0bnp2dYMjZ6ZvPUvDIUeaxmkF+WjT+Yw+0RlWddtd5tqQLAunaefZNdPJ0XyEMjlecsMQ
iK5MZiXGBK2zNaA2obG7ByzaoqSLN+Q5iYO2bF1jZgw58CAScNwA3v/K1HL7B5hIAn56o/4JSQYr
LpTDrd3PVVi0mGOswuSrwonD1MrSXaNGUhLy3pyIdvJQfrvjZH72pr6rV4Ms9FfhiO4FMJyOXVuk
6c8kEiZBHBHAgLSP8RI55tjWO032SbypGlmw9OWOlsttnX1c3PXHJQ6Ehgvd8oBL7/2Pi374uPTn
jwKgjiOKgfGjMLA/igR3qRcYDnX/6bZ+y8n5N6E7v2/VELf+663a5UdMHvHb9KuMbFmr8Y3/JSPz
OEVYgRm0Tqi1+MpvOQB+QMIOYjGXkbX3+1f+6LfcT0sCMcHakPrJxAtoxf7ot5xPi1cWcxt9Go0S
Ore/Eb5jWr/K5hnMLalMBBX4qHo9+5cLmL14RyKu5+5lIO14bzYZIDWsTaNERSaS9zHL8yPTg7E+
OJbbP9rG5McbVxnpvEUmbz03KTu5snMhL9ZEWlKJCY2b1VHd2OwKLbGel0r5EimlXwsCs/CUOCVb
ZQ8/XQ/u1U6DfVuBMt3pk9/UZ12rxsOEa3PtODEviR+RYdU6EOcx1OVL8WNoT0QMNye/9/pX/G05
/FQ/2Bh6nq2b0n/QuUfCwdLvINoPKxI5Gyy17SC/k/tdkwGIIKNh2BTHZz0F4sYk2JjPTkKZHyqb
CTBxT8ju57zYe7i3ro0pzH3k+BAandnaT5il96aNMZyjbCRAN5/ce5VYwZNf4eJVRqYuNVzcdToV
w8oCtL2x8FmyuAtoHxOXFtI2axITfNU/RNVYe6umrR4MJoT+WtViAleK802npCPg/qhKNdw3nIMT
cmDO73MjulTtIn8Y4CuonOozKJsxDlt6gjqMNdQXq6lK6XViYyInLB8CzbifwSdMVxn7bnlv2Doj
HkxVkdxnxOtE7Np8Yz70ekc0XzRg2AurNDKGTd8Tk7ml4M1f4Wk2zr1fyM5EtMJyCV0SWlaWVWY2
ray5Hfpt5LbDzuv05F2v6thbF3UR7ErZGy8OHnqJZDmOFx/kz4DwuV5Tzc0sffNcyalmcK1r8K/9
4dVzwVyQm3tDhk9R16iOe34sWDxJFRak7twz52b+r8OLq/AzghZwdLVr7bJ9t4rB21emloidGNA3
h3mlN2GGWOiJiSdAzMlDyRMWuPUf4edNZ7DBCPmJyQtF2+WPHcDMsLfolwNUTgT3WNVR9+itsXHH
G134R4bmtHqzMT9FpTC2Q1M5R1IHkQ+l2k6Uhn6N/X6dVW37ONlgMRPDba8ajR4oMxUXRL+x3LFz
CTuxqhKPhCeyFuNdhfbjzBadMiJl4zyhaTrLhkKHbENbPPG09qeKzTxGURNlDqYSkR6mOFM1KOk+
ZN3rAraJ+0M8qOwaUPd86fhs6eGqyGjXMQR01FRqHHFoa4oIRQkBsyi8l1GI4r6Zql2lALI2gT6/
kD4o3h1TI8nB9+rHoo9bhox9yu89nXZuGjdfvABVW05hfqm76UfV93Wxqiez2PiMPfZgv9Kti0I7
e6015T6qamL4YCSZ97WeOvTSeuHaB5UPhKkSdY6QE7GOq5n9xhmafqs3stmRn6zWcnTIXjQsBEpj
Su6ujPN9HmhHnXRATphivLiO3r9Geovup43zWxxYzbGt05JeOAmusdVEb7h3STP4zxDyI9Huf3Qt
/vd5OesEpYmI32Tyf88hl+/87V70XELkdGQe5I0wMVhC5H6/F/kKmmpzIQQuHK6/jCEt/RPzJp0w
GK6sRZT9p9qELzGx5CZ1kVexRMI3+jeuRWO59f5sSxcJDItLatiAfwWxHr+KTfrE9Qq9WJ52JZvn
Ai/qa+MRU++b3JegieT4pdP0b1FmyB+M7cuvaglBd4ck6Td2q6qNN1Ry47EGe5XGUB2Hoo5Dwxf5
u5PH/ef/PIz/o4eR0QEEjyVV718Xac9d9ybfsuWZ/IfH8c/v/e159I1POnNeJhIYo3h+Fhfc7yGJ
3icH3A/cykXr/9fH0fhkLs+bbwXIkZicU1v9UaX5n1A8Ld7dj8pu+a6/8TiSg/jL82jgkl0IJVSF
jEzsX/GCScTgjvLL3DHRKfKdl7tqZkNXsZiOPOetnSIS5iaajqbO9DUwjnJc69nkmgC7226rHE+d
A8hkKLV1cNVp36yT+rmHeVkOA/ti7PkhxMb8QOrP8C0RfXfQU2Etk2FIsthugRysEEfOBw16UwZ7
WOAgyA1rW3bNfDWtmsi8xu72adnzr3B7P4GY3o+IoBRT7lr+YDuI9sXLyGYNCoHiKjD8O73rxTkG
ILWZzFSEmgeFtzARJtpdITZtl/qnFOQ/aRCzXDcGN2ySWsF7WrhMpZeB+hbahr2rpl5/9GYhrlnt
NvARTC8srBEHkN2p+agZUAn0AG61OXtEXVi04WJFkO5bjq0fJkScp7vCZ5q8imEaK1QFA1pbp/fv
VZ7GodvU1Y3Iivqbjjvyzs7Qv8/u1y7QL3MFF5fB3H6ectyx3ml2pvtEw/Lr2P3NK6Gb88nBn/C6
rSXFjgW6PCg/HVEUa25OT6oVNeXiqLowySL3qQPewf40HyI9BCKOPzE9yWwESuQXdhiVTkcOb+X3
24TcOKqJQMKqLnuzetMsbbpMUkZfg3R0Duns17e5NfpqPZua+5QzaTzKdGr3o6vplzFJcBLg1iXI
3u/gtrCUyQ5uMXr7oW28PafU8Dyw8SHlnTFwAb6EbtfSlkAUXztUJmOJ1uowfGUOACueNMIKSuV9
VgziT6XZA4uIE/arMGumTWQX4l1wlm50nsp9kFQIlCoHgLxeOeXXAcXt1cPLRuyinn6TdfWlIx7y
C6Yzb+cVZfZQIMi7IVl2XwBm5KuaResZFYZ3RgEQI7lxk5Ak5zPldHwe9LHcysbS9oEOhgUhvXnv
abkO/Q6JGzuGjCfaydplLdvf+WWSXfLRZg6RZ+a4NrzCOE8IcaYVHi/vpfPMhAl3wPazasT0OIp4
PBSqNW6mkff2Jnbq4c1yfHWMMtdmKd2mCPvm7qsis+cclUG7B49lPbW6ryVIGyrFXjuVX3M3YsGT
pXPbrPFFO80dpP98XEUK3BJwc8xtrBK0TWYpfDqRAhkCCmREa6Lx15SOq24DY+cXu9KkYuHDR9Fk
EI83xKERrFkCTz/NMY2OhTHh6KUocTWh+1eOC1bwmTDFXZrggvNnO7+pbu7OAyvA22gMS06B50yP
JA4bRzvr2mXBZVTfcUTFV70jKBMyTWpuBzzwUO0ZJK3gdGgn5NUAMJWhKoO/tEyvJuLwSzTM2a2V
CndRNJabLjdyLkIAYJ6nvAYFnarv/VpFV5/BzjkpfCQQdTdGqxYTwdZ3JmZsCL3F2Uwjc+tVk3s2
knY86bJLdrpldudSr9UloWD+6tS5msGZVQMk++m5RoRDvlVtRU+GLMhzNmdYZIrOjSpfPjoMn0Nh
D+htIArskGTybk2qyO6iOFf3fm+M95NDH8sLR5xXjVc05EjdYGfZa40uMbuQPpI5kY7Pl5jtztOa
m+EGxU04nvPSaK56wQdW/VAWe43VPFa0kbOvPTIuMq9DazovRtRoDGgxQ57w7+BVhB7NuDfgkS4t
6yfx1XCpDFW/OJVuhFo9yheRECZPTmVPwCQ24I3F2Gubsv/fLSPird4mitl93K4bW6bDSkNv9Gh7
RQQW3u+0xTw9HaqstM5xIebdVLjOzg86qLHM6MLYSMmmlX3wWmoLgqM1+wf2BNGN/4wWkYr3KhSJ
oEUsEzjlrBtNEvjuGJuW3yaPlpP1cfEVqSkuIL8obr07iB2rOsLLZ7jJGZIVWNzSYlCneeZBZoux
uwEtsCZGIIGXlffHeoBXT1STPNizUdzqZqyIXBHfTVI9127ZHuuE9sDjViui6mttzc2I2MV7iBv2
acU4HXwYnU9Nmg8/IMGo0JXWuOukKpHf9mZjbNxpxkWm50md0Poj8tNQX8Xsnaz6XHtat4bWQPxK
z94y92lFIx3Rh4PbmMmGs7KtVwkY0umFdjGqYV8syTyeiC+jhjSYo3pjLJHvRVo0e9RFctNJg1Xg
mJf1BlGnmLBfOVZ+zKyuZeHho/dN4AORl570cCW6ND/Qai0/ixGXGzmih2KT8JWimJO5h4my9pU1
1rTvjnqU7TyFvW3OG7NRzrYMiuHB0tAtb1BhBHu8Bii8UFPT+o2s+bAfzEswKaCxm95yn9W9le2j
wKy/YZUpjmPNrwcVmvNE8QvWfqztC2MRi9VIVIdGW04nQ5k7QKPz3h3GeVcqM381xuh9GRrlRfSW
jF67V0W+4bei7Tvc6J0drxunig5oC6r1aGvWA0gFVMFppT/aaIr9ldTS8ZrAgOvAJTo90UKJbodu
ORo4rwQpvaau/Rwj6R4NLF0vvB/NmWVxv7fgAXPN9NV70RXD3jdrNppmPdOaQG3Qk/K2FOiLnnre
QECOHvkACn6nrPtXpI/7b74J7s1um+TOiFFC8T9aYdyOzNnBG99yq9TP7JCKV4VPbDMkrKjg3w4D
iH+IPnvTBfjH4aQDY9Msax3hvqDLz2w0Rxb8JxH7SrCeK11755YiOZR2qT2wL4yRi4/2sC9pfnWC
rEo3x6hXVg/UF6K85DHm31ArMH4RDG+tk4PeMnIJzaZJ1TUYR3lkmpLfR50lfhScOCQq2a5aQwIm
lcByxbNVFCyKKHfxgRgGWtgB3bNZkrLlEySyL8BRbK0UqTj8KcZTgS7WjW+KvV4IKBmeqh9apa5a
VaDxZso0olSWACzDHl/LyiecBUJ7ixyAmf9atmp8V2Icf6rafG+FI796+fDm1oNO+IodV9dAi919
P/fdfvaEWJeVpc6eRexbU+tkadmmJFUaO5LXJgUhFVxPRGpYR6vxn8xZIWI0FVkZvbaEvBA6mrSe
wayjjUMnd8pt0vbilJalunZGpO2I0tUY48BvVo7hskhGBOimU/TuW4215R0lXyWZLT6GvngSTuVe
hOXHN50dya6dh26rpQgdEJW5j7CG5dkquTrXqTmnoWN3OVL8IYiPYMyGbQth9yDRmn8z0mHc+JCw
boWQ/YaoZg9SPBdn1abOXV8RcKHlEU6jRotD8jVQoimSGFcJez5nM+eIyJxsWDI5hPKAA+rJNu08
uFp9pjSSwCv75PlywFs62vtidI3HqAuSjax1nI8stvbOZGe7bFLGSyfhyNZma+0zd1AHkUfVzVP5
ZKx6dzblKtY18eoI2e0blSHjsKwuHE0RX21RevAzZ/uFiw6Jvit9ugPhmhtb+dlRGIW/96IOwWVc
lz/9MvMvbuvkzwOABqw/pb5htWnu58x2DriSyJiBB3MoscmFdhYFXDUTviGqAQt9azmeW727d/R2
S52Kat0j2g9X42cNhz3gw+RumLQvqFGTlRVXiOsJUli5vpShqGhaaoD8YJn08Vg7ROtIQMtyNdpC
bXrSldduX2jQgtsey0UBnfBBzxz3SbdnJ5ziLuInIBYde2L0b6LlzV8hNPavfdov6AjooXOqdJHs
8UIiqLFIl9CGwDsy6xYAOmGTYB7TnpvAHJ8QcAevkz/UV1I/4pM/mc2XSLD4spkNY5B0zHiX9FP9
NFrBvNUdjUGml4mwAHt2KwdpJry0wswoaBerYGBTSmgE1ryyg8BeKvKSMHGC5Xc1Js4N5LaTD2jg
e+xWcQihtLpqaQ5YSrovfdNiv+tqZxMh9n01+x7BINT1ddoAk0DczUsLKu7OzqGW4JiTTki4zoxm
3fO+UqnHO8ck/81I1Vs1OLe+Y01AhQLxF9s3AvEpJLB1uh/68hyJbCaEAx+bA3kogVomg5iuNElc
Znxy5tiOpfNudg3uT82OOy73gqJwM2hG9Xk2i9wM2URmHLGJO5wjz5sOSUO1i2kS6goMl+Ha5jO8
npHjAPlvZv5gtSvea+jWKI001DNQ2h6qOUOSqSXNao5cRvTkF7snu+u1PbTUKGzTuWrWpo+/BEe7
Pv4Y2vG1TeZmW/aO2NqyyBECNPkWLJm+cmvHWllyFmw5HH/AniM7b9U780ySx9Bu2C+I65yV3NAJ
K/iI/vUm8Mey4x8H8cCLHhzIiVEHs7JRE+tU2AY79p9seykFC6XGp6RQ4KV66gW19puy99a+oVVn
c6mzh4+SO/8ov82lEucWpihPa9Vu+EWaW51ePl/pKkmu1lLJI9flbPKX+t74qPTxh+N+Wup/pfnd
OVh6gmzpDvKlT+jzwcT2B5rt2qbKAHoStE/F0mDIj16DeT0fkFxaEOujG+mXxqRYWpTio1uJlsZF
yYTL2l3SEZMJLInVNxqBznAug4+Wx/9ofwxPlvW+a7wROaxrHEfpMG6365QPPOPBZZsDbsQxvLe6
BLEeLHFQZjl0N3uU6W7y8WNxiNFvzc38WKMoDnOtftBMIfa1xi/M0urqgWm5va4ElbI2taO2qiiF
j95YNiciE3CFyYhFbZ/25K34lGEIlgnlS1jHf2YH4qx7hpM32MbeS8NnAHlvaRmzpXnMPvrIDIb6
Jck6JgU0mXYJakt9dJ7uRxcaLA1pzVB71yxNar+0q4zv2ezQwdZLK4uVjY99aW/5Ry6NLi2vXJrf
fGmD3aUhxjHm7Rwt9r+UdvNlbNOMwDwa6H5ppaHllF/Lpb32PzrteWm6k6X9DpZGfProyfOlPS+W
Rp3lknnqluZ9XNr47qOjRwYdrculzZ+Xhj/lkC4ilP4dtiNSZD4mA9kyJOiXcYGzDA7Mrg/Cv8zq
/olA6MMf8tdB7G8HKrWhuUxtvA/G9F+ApYFs48nGsbUrVnh1Xq3X5k17bR7UXXuPxay8avlvcO//
NRvp/4NAFI9rCdor/bnFUWaa1rIE/tcT0/PbO/PSvw5L/+kf8PsYP/hkBiy3HWvR6xIWijL497Gp
8wl8CucNm2+LieZfKCmW8wltL4Uxn6eFwnUxlP4+OLUW6ornw3JjwG8BDf9b622ekn8YnGoonD0I
0579y0Vs512VGVlHrp/y/g91Z9bUNpPu8a+SmotzNUppX+rUTNV4N2YxYALhRmU27Vtr16c/P0HI
hATyvhMyVe/hDmxacrvV/Sz/JRkfL1BSbIgApqBvFWNfNh02lpTay1oTJRQQwzqg7erXk8aswuM2
HxOl1O4N5Fo5BFbtUDQzxQ+LadFHajyNyhr/IdTHlHkcps680XN/00AcA/ebDOWKwlp4rUE0OgH6
kdwZQ16dqvBlvKkkBtuCpRD2/qwLXUGHr27d68KqFfQWABctnAYDnUmjJ3G+cNRBumzhECmTyDIs
pMKAjZWLEiPJZPTm9o+RM0cSFipJO4HV5pwDQPaO6SobtKaV0Nhw2qGoAIxzqza57Oxaqcyiczxr
GwW3URX7Pyc70noDkngsum4mmyEif26jn6i4Cs2sfjBO7MwqD2qUZReOkpX6xCmEFi5QTYtukrTC
mUHxNVTVS2xMN3DUzMOU1HthknMfKFLQANNDPuCk02XEJJsy085DalkX3IdL412kVKMhYrmUaxFS
9GaqXpr1tMsT/yKVUnnjKVIRLVXY+NiHtZpwoZDDwT2JlUY/AgSTzfPWCRLM9agLTuXOU5HnzSjz
gSDI5MsQkFE/RU58LJnXCAhUouiu9C70j8g+4Z1EVoPqEs6LokaZQbarldNIqjgEVNV+lt0uAQQI
Ojk61lJpWDaGNkxdRP8u/LJIjw01aEBS2zlUwMR28xsw9n6zjOO4ahdyRkNdg8KWT9quNhH9y8h/
dUntl1mjeBf5YFefIsxK4mnqJfouUZ0qICnzR6HaNO7mEiTWYNKSNqCmkgm+eFRTj5GvlY4cgBL3
dKPU8vOAJYIx63JJh4xL2mxWM4yhoKTJcVrDBjVis/sUgVQ3NpJqFjIKBonH8iA2XwaVJB1UUa5c
w2sJUMEaQXhBEaCPo8Jfq1dRgLb9kiPSxB5OaRPk2eXhqvE0NN/KEYAwd1rV39V5VoDG8tU1wkRO
vqpd6jrAESIwr0kUk4U1Tgk6F9xef2B2qAwCVqwN7VQh0rqrSrfukB7S+xSeU1tQv4vKdBtHAa01
HF16/PBU48F2khRSmFuazhz935HSCRKhPylSPB8O0zY01FXleerlYGXitEaCDwYx8qJYX9vmoqd+
E870DvkLxwfAYMt1ZIPdLd290xbqmZwy83MMBB1pKhLHiOddbpLrUg6UHsDnDwugxWLNyYu36EDn
fyHhbzwXlgbZSZcqeVaFHbzrIpSzveYUuYqWNF6zbkN1hN+6bSbHMIDTPGvVCRo4aFJUAosKNyn8
rcvhvtbAgJ1EckI6gyK6hR5no2IUKygCN1OLIb0L9Me4J1SG8k85q7KcFY4bP2REamdCi4EVQGYl
6nELpJxCBBatGnCmELiCVRrGzqZLNXLqoqGVTXoPORAvxWe9HlAccfMgMiYGD+nejyWxiVBR9aCZ
U+3BGM156HXYUEtESqzuCDi7tAO6yyi2Xxprj+eDJgIb7Vgfqt0D6Evito+deqynKd5ZL7c5WGQ1
cDa2m6UUE+UIzyS0z5eyVNYQElBowV2rm3sCtVpT9SMsTEJrWOtYb04QcKnnTiY1k7ova3QzK/1A
11T5ygoqdDMjJ0UGOkBzw6jibIIR2kCfiVBlGloe1ccwqhGjqgk2Ey2mKuUCBeKJl4NTSx7iuZI7
Plo+eMts5EQ15lSo3LlqujcdegRLOeAtWV0RyDuOd62KpLrpZap46KZiyOr1anTtlZl16g1KCctS
T8KDNpPi5SBhRk7G2e3Ql9r2fgX1l7rjKem3M2vUUQveNY3uwC6adqXnsbcxzTxi3s0AEZkY5Seo
+MYyi2T1shADSOUsyDC3DaREW/iyTIqE+DrQi8oLm1snCuQbA/TOKpBKD7of2sVHbMGjKRWyMbVA
ohzIYxBWM08b4nWGsWEwoeST7WDK24s4zMytaXb6uY6319oyS2mbleijtGbGA+iFMFsKKUcZBFy6
ukYY2p5bXePvciVwP/sm1m9TG68OaHce6QbexA7Olino3xSNedjcvrkF+mSKScEzG0xgFUVHhqTV
Kz/wteNAHWhzYYUTnoi48MgZZcjqvlxbazfxsFl367A679U4uKjjutlSVTJueXaVrYLh6X1R+uVC
OKGbTEy1RzBFanXi9Sqr2JWicI1nfIjwiozcEZpP+jSpbAoRda2C0baTcM1O6c/qNEmAVhUJ+t8S
ol+5mVOu0buNFPNhOYBRBgd5CZ6s8jJzblDJuRSFzHMMmCkmz1LG4gY4IleN7V3l4yMKCpdqDMz7
Fh/5CGtUX1O7oyyToG9HcYvBJIJE6U7hrF6YeoNLna4+WJbQsPz2+giUkB2JXVdL1SGBsAWSqjbt
dY91iaDgp7efKIJl94Lwj1MItl4wA4WGHm2TVXcRkfN/B/jy/0g/ZdS9BWqCiIquGJDblBHs8XZ0
PNvfif0H0AQfRlEV8WG1b+7j4MO/+MNsn+zTx5dYOC/j51cu8SV+1lBdwZWBDOf7+Fn+CKDFkMEe
PGEIgDk8w0PBweggEhxe4LaJ7L/Gz6oMjAF1OYz59Mch/yOVQeV7LVQdAXJNV1m3iokNH6Ue4utv
8q8CRaXQM7GKd9sLVC6PnJ2yQBIXLw+iBHfKSgsMmk5n2gU6UPAGEJQqi2ARJJduRxTiSpiL60AR
kmvHbWaRDy+VRrG0oJy5bHKe9zJZ+/ZN3+kzP0dpsA4u6/ZaDXAP7imhy8O5lkuosPSwUsRCkw6Q
XRLdNF7RK2/UY+8OvgsSFYc9nYC0PcoI4VzzATUl5Kwhc0lIM5lrI6TL4oBFZwec9a00jf1+mZjQ
98yOQBM9XkNaEveKBZp53jSr4+POv04dpMvS9kZ2UtSV5NOkGEjNOegmhtbn89JC5TW9reIT00ZI
rW6iigoYPXI2yJi6EpyJ1lK3Shiee/Gw1jSxkHt1JenJAQSreIqXGTaUCPfm+UlZkwYQf85qCVPT
UN7SJYWJEnLuaRn1Kz2dpoX+WQYAwdc0x/R7njmwdLGL0Mto0SMAKZBMC00xg7h4pAXVtsLbTnG1
28gyt13GvaL4bkxyRQXx119kEn5BCTwZ4LeTkHQMbzWwiCa1bbzbg62X5DXE/7Kc6HZwXJSgZrs/
0IFWfsjtx4dCZsu1ANZgwfO9IWzUyGUXZJIz74bkQlSUv3W93HaNsWKznBsqyM3YMglO02Wcn1Bi
WNK63lQJ6mJg5EkqShT5XERXzSAGcygvgrpdiDByJ7WrbbUmA11onGu6QS0sJE7Sgk2RbuRaX4o8
3Sj9QpFs2l05cILh1Ij9lY1HuFCc44qvMO+DB10YZ0b0WWKaXTZqpIYWXhiBq/WndJKoU4842RJL
OmsGo3TmCWmFV8FWGGLRaPq2x7jH1OkMIinpdHRN/WoXQnpgSQJvPNCVa9NoJjDSDwpzOJazFm/o
DEqqZXU+fBsYX326yJvg0EY4sqBFBBHSSOybpOpXcYwJfDtqGUglGUw9HA44jdq2u+9zY5Eh65gw
IPSjYHT17umc6Zeq6kEg3alCHAlXX8Hh2aXd9RAa3SZXe7qsqWJ9LlyN2jOAXwkpXZ8EwQxZIq2p
I4jirApN3JFgFZMm6U885DFg8mQGAkFavSnaYpKbw/U3u+srFSAVTN8LKN64ShAQ0WR7xASCF3y5
Aw2ZzAHYpgiJZdG9h74fVt9LVyjXhfCnQyMoYYqzwo2Oh7o58UqxDtvuOAhgeMFqgiNq0aLHygQW
J8xQ5wRXYfau6qy0HZQ8qmgb+g1WAekfrG790Xv328oVnGjgWrAODQ6YUcH65X2XMGrzRkGfsrCE
haQorHuUpQaDJmgNlVDEBtm+by8RjYH3aK4kepiTQqn3qrXoMJgp/BiHSmkw0E4gc81J7jeKpwIO
D8Clw5NTTWSVguacjXWpxd02COvzXFIuBjA96O7feQYqbDqxrmZXswwRwwnFdy5skjB3ts3W2KgP
ck3Jw6sq6RDlDZCN1CnorbVnftNsW7ve5KbrYRmQHvkNksWm6VCoGJSJFjU7U4lPmlinxm3kOIGH
/tzQ8l1bSQ+Or8VTOzAfKHiel2Z4BT1rKZqSmrnykMfB0gc376TcgVesBfWEwcZe2Tc+QVJeglBA
WFXctNDpepruWdLOEe/y5BbJI6zaIuMyzdUJGqAo33YImFRHtLS2JTHwJJdVRPcgEyppNPHr+jIU
1UVBndhM9ashKi68oDupaYTOmjEvkaqVNlZ0PHmFAfe54bcrGaQGNOhbV87PY8hWtarNyEWQjjdA
ZttbL5XXSDhsW51+bGyfJ4pKSpKYs1omJQWqFnjGwvPlBV/9oazE87ZpOWWCS5qzq4YcBlHRqdFD
ZDys3GGO2NGicuJpbAUTpbwKh3O6EVPImjO/3jh5tA5T91IwhcuePGYKKH9R0G6zo2Hut5iCU6V9
iHzyhMrcQjWcFSL8XCA5OnHKENsZ1Dimg0Y/OjSt6jJMrNPM08REKopZCv9x4uQNYJUQYoQOVER9
COxk7UrOpV7Ck5KyOxtN+RyUIFB19xD7Sf6jybZVEa1UrMjCDHB4a55FVH10FVVCWimTArwXzU6F
/6+oLNWo3Lcz1ytTTqarUG0RCOxWSe07ExQHExzAkgvNT6+80jjshPYphuuMyuqVMRS7LqmrOat6
XbjWw6BqGxdc7rylrQdOzNv0HYKbEC77GbSGeI6Z+iEF6Qkq2yd0pwQ1MXmvw82c43B3lmn9HrN7
iCB1dSXHqHMoUOkxyeu3Qq8umsE+aCwAIZoczKVoHQHOoaaJeiqm3aof7pTSxIO03shdd5OgfQpZ
HhxTrK2ktpt1srxFlXgGFuhTgi6GLaDa686ZWUtHXvSZVgRRfD11XP+4bIJT5HznPatdD/OHIVCp
z/TTrnPOu16jwYA9Y0VrTSnOXOmmiewHPE+uO0RVwPAvUBm+pa8/CxKroQ1inLnOfUJeaDlzXToW
9nGuHBvaSVqfgeHfCsiYtYaIrYZorYrLrX2RdOUUv6RpBhYAFg505G6mhvdRgIpRS4pTXlmUCA0f
JVMKLfEDFKCZon6uvXPLo81ri4mtn8L3Q0utPctqleUiHYXyGS1kfGKGQ9kFZtPjMcsZFQDyB0Vk
6Mk8QpnIQWggN0+U9tYxcGC0tKuqpvzS81xH6pXtbJOuxdX3VPZqnOEi/7Jw1WhaQ83wgpsW9GZS
P3RhBqvEuek0LaZOWt6gfbkKhEeVSrlr2hB6kOOTvWUOEnMRKb3TztS+ACeZ2esQAsKEdiyytF7y
KeiRmOrUXr+ThKpMbOAFGZXpRYu6CTXJne8V1mwIlZ0TSZ+zvr/MouFR93dwK6RT0dGaaggHr70q
wlQxttO5ZeJk17TpbVYPS3uwVhX1BhNEwFQGrUJc1Z1LOmxSIefzVtYnCf3SyiQcVsTabF20lKp0
MpjWTdI0BwAO7+2+3jkp0nRFqK7CENGcrCQ0QXcpmrsWIKXRGiBsql2sDYR2yZxA/RD1lYdIpvCh
LOEbHui4MiiZOIIpwu4Lnqcw4EVVS+AQ6kx38bcQek/Pi/biDGhcMKsMgeGY7lTzOJL6yd/9gWQW
lqszzw1nG6mjArRd7wI5uRKjVVCS0dfzSvdM85UD5iaYu04/0lrdHr4tbHUrRYNWhuuKhoJ5/hgd
/IZuzTv6MF+uPorGzx9x6Kf1vejP7uF9VeUzjHt8dZsFabXLfu1NPx/ow7csRRZMWo134GFL/W1i
+RhTv8hVH2/p8X5/NkK8r4Kqvrv/x99U+i2GChIGwu/jD8kvclrel5ct5yM9I5MmCp7I4w99FK73
zQy9NQc//3hPk/nz97z4APu7BH43HCwR3FbfToEOVeTppp6Ml79+Lz9Owndj/HsSFOejTjox0k1e
nQTzI/Gbg+PJ0xyMbMy/1iRgRaypGq23P7MW3pwG1oKJmx7JGIH2+PPdWlA+ouAnm/AQnubhL7cW
nki7OpH2++bB/oizAqg3eCCvzYP1kSnQcVvHEnX8+cvNA31X82mNvuOZgA/DriCTdr3cEeyPsKNG
CvJTE/kvtBXQW1C+72y/sR+++QwoyGMpEIH0N54BtgKIPlgrjuRsfuCz/bW2grGY+HRTv/7dq+ZH
hLeo+9Gif+0BQPJr3AptOuuPP//BJPyJ5fL1iJ368OEeD9fgvnztDH7rDc/nyo+vfzlT1nf/+Nt4
dr5440h9fLr2v8/ef75YKI/n3jcvPp+Dj9f58u9fPuCPl35xredP9fzHVXAv9uLWR7iak7n/cpvH
+4QjmtKyT8l5K/Z39+ULXAYktVFn4G2u3Ndt8Kfjizrd36Jk8Nol0OX5HZcoy33yfKfj5I+4jOff
X6Wc/qk7nwT+XjwPMw6rOSqH4HsnZLUX/T7dPw/0uFhg8LDNv3vkIHlzphVs8Ti53nuJg32S1B/+
Z5/k//thswcxHbyYIXaucc9671U2e5ESAEcvJ+lp/3332DwK8XcD66Mc/HsHPtxHpb+/a+/v8+fB
Hr9bHN444947+tH+zu9ff0wZ/zes9pO7gNt/vtHHp4io/Dd8mdv6rr7174XoXwxuaory/Idff0a3
dRrub57HebxrcKS/4a7P9uG+rOD1vhj76fR773d5HmA992LDovw8BjzvHXi3T4KYzuHdi/7gl3jt
vYM/Up1f28Q1GoK/YYVf3pfVh8l9ipfE80yM36c2ZgTPf/j1hXK0ZzNnw6pe2rJ9ye/eOzfLOmT0
F5nj16Tp3WNnL57KcVxT/Q1bOQf/147ycXCb3dBuXpejj0f5PN3j/BOOKsqjsMJ/MxAgtyIf+C0b
ZQBS7WU4MA6OdOhvOGFxwsrfNvZ75wS93vv/9rt4/CD065//9uuPwx9Ytrzzk/xcKPi9g/+BLtY7
h5/dx37wPMHjA8Ckg6EY0/73PslvIji+XOI3nId/qI7yztmZ+v6+qoLyB/2VL4IXv+EQezxnfi6p
8c4PccBR8KZkx2/IR3b37KLe9zG+qdiaSmb//nX0ZyH075ym1/ejX8Ei/fRGXktpv9aAf0x0n2u7
r/3byyx+fMdtfL8X//w/AAAA//8=</cx:binary>
              </cx:geoCache>
            </cx:geography>
          </cx:layoutPr>
          <cx:valueColors>
            <cx:minColor>
              <a:srgbClr val="6EA92D"/>
            </cx:minColor>
            <cx:maxColor>
              <a:srgbClr val="003300"/>
            </cx:maxColor>
          </cx:valueColors>
        </cx:series>
      </cx:plotAreaRegion>
    </cx:plotArea>
  </cx:chart>
</cx: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8.jpeg"/><Relationship Id="rId3" Type="http://schemas.openxmlformats.org/officeDocument/2006/relationships/chart" Target="../charts/chart1.xml"/><Relationship Id="rId7" Type="http://schemas.openxmlformats.org/officeDocument/2006/relationships/image" Target="../media/image4.jpeg"/><Relationship Id="rId12"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11" Type="http://schemas.openxmlformats.org/officeDocument/2006/relationships/chart" Target="../charts/chart4.xml"/><Relationship Id="rId5" Type="http://schemas.openxmlformats.org/officeDocument/2006/relationships/image" Target="../media/image3.jpeg"/><Relationship Id="rId15" Type="http://schemas.microsoft.com/office/2014/relationships/chartEx" Target="../charts/chartEx1.xml"/><Relationship Id="rId10" Type="http://schemas.openxmlformats.org/officeDocument/2006/relationships/image" Target="../media/image7.jpeg"/><Relationship Id="rId4" Type="http://schemas.openxmlformats.org/officeDocument/2006/relationships/chart" Target="../charts/chart2.xml"/><Relationship Id="rId9" Type="http://schemas.openxmlformats.org/officeDocument/2006/relationships/image" Target="../media/image6.pn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5</xdr:col>
      <xdr:colOff>627531</xdr:colOff>
      <xdr:row>39</xdr:row>
      <xdr:rowOff>89647</xdr:rowOff>
    </xdr:from>
    <xdr:to>
      <xdr:col>7</xdr:col>
      <xdr:colOff>527240</xdr:colOff>
      <xdr:row>46</xdr:row>
      <xdr:rowOff>0</xdr:rowOff>
    </xdr:to>
    <mc:AlternateContent xmlns:mc="http://schemas.openxmlformats.org/markup-compatibility/2006" xmlns:a14="http://schemas.microsoft.com/office/drawing/2010/main">
      <mc:Choice Requires="a14">
        <xdr:graphicFrame macro="">
          <xdr:nvGraphicFramePr>
            <xdr:cNvPr id="7" name="Demand Level">
              <a:extLst>
                <a:ext uri="{FF2B5EF4-FFF2-40B4-BE49-F238E27FC236}">
                  <a16:creationId xmlns:a16="http://schemas.microsoft.com/office/drawing/2014/main" id="{B86AB435-C3C3-4984-86A5-A08AF9A9A5C7}"/>
                </a:ext>
              </a:extLst>
            </xdr:cNvPr>
            <xdr:cNvGraphicFramePr/>
          </xdr:nvGraphicFramePr>
          <xdr:xfrm>
            <a:off x="0" y="0"/>
            <a:ext cx="0" cy="0"/>
          </xdr:xfrm>
          <a:graphic>
            <a:graphicData uri="http://schemas.microsoft.com/office/drawing/2010/slicer">
              <sle:slicer xmlns:sle="http://schemas.microsoft.com/office/drawing/2010/slicer" name="Demand Level"/>
            </a:graphicData>
          </a:graphic>
        </xdr:graphicFrame>
      </mc:Choice>
      <mc:Fallback xmlns="">
        <xdr:sp macro="" textlink="">
          <xdr:nvSpPr>
            <xdr:cNvPr id="0" name=""/>
            <xdr:cNvSpPr>
              <a:spLocks noTextEdit="1"/>
            </xdr:cNvSpPr>
          </xdr:nvSpPr>
          <xdr:spPr>
            <a:xfrm>
              <a:off x="6286502" y="7519147"/>
              <a:ext cx="1824878" cy="12444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1098178</xdr:colOff>
      <xdr:row>25</xdr:row>
      <xdr:rowOff>78441</xdr:rowOff>
    </xdr:from>
    <xdr:to>
      <xdr:col>2</xdr:col>
      <xdr:colOff>681319</xdr:colOff>
      <xdr:row>32</xdr:row>
      <xdr:rowOff>22411</xdr:rowOff>
    </xdr:to>
    <mc:AlternateContent xmlns:mc="http://schemas.openxmlformats.org/markup-compatibility/2006" xmlns:a14="http://schemas.microsoft.com/office/drawing/2010/main">
      <mc:Choice Requires="a14">
        <xdr:graphicFrame macro="">
          <xdr:nvGraphicFramePr>
            <xdr:cNvPr id="3" name="Year 1">
              <a:extLst>
                <a:ext uri="{FF2B5EF4-FFF2-40B4-BE49-F238E27FC236}">
                  <a16:creationId xmlns:a16="http://schemas.microsoft.com/office/drawing/2014/main" id="{58C4B423-D705-4D41-B338-CFE71695FBC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98178" y="4840941"/>
              <a:ext cx="1714500" cy="12774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117153</xdr:colOff>
      <xdr:row>18</xdr:row>
      <xdr:rowOff>8965</xdr:rowOff>
    </xdr:from>
    <xdr:to>
      <xdr:col>3</xdr:col>
      <xdr:colOff>555812</xdr:colOff>
      <xdr:row>28</xdr:row>
      <xdr:rowOff>138548</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CA350F40-8C22-4083-9A6F-85FECB06CDD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7153" y="3592576"/>
              <a:ext cx="2219567" cy="18255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360422</xdr:colOff>
      <xdr:row>9</xdr:row>
      <xdr:rowOff>64586</xdr:rowOff>
    </xdr:from>
    <xdr:to>
      <xdr:col>11</xdr:col>
      <xdr:colOff>109411</xdr:colOff>
      <xdr:row>15</xdr:row>
      <xdr:rowOff>37692</xdr:rowOff>
    </xdr:to>
    <xdr:sp macro="" textlink="">
      <xdr:nvSpPr>
        <xdr:cNvPr id="9" name="Rectangle: Rounded Corners 8">
          <a:extLst>
            <a:ext uri="{FF2B5EF4-FFF2-40B4-BE49-F238E27FC236}">
              <a16:creationId xmlns:a16="http://schemas.microsoft.com/office/drawing/2014/main" id="{CA95BBF9-4286-4E6A-A2A0-61E2106C524E}"/>
            </a:ext>
          </a:extLst>
        </xdr:cNvPr>
        <xdr:cNvSpPr/>
      </xdr:nvSpPr>
      <xdr:spPr>
        <a:xfrm>
          <a:off x="4707286" y="1657859"/>
          <a:ext cx="2173534" cy="1185378"/>
        </a:xfrm>
        <a:prstGeom prst="roundRect">
          <a:avLst/>
        </a:prstGeom>
        <a:effectLst>
          <a:glow rad="101600">
            <a:schemeClr val="accent3">
              <a:alpha val="6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solidFill>
              <a:srgbClr val="339933"/>
            </a:solidFill>
          </a:endParaRPr>
        </a:p>
      </xdr:txBody>
    </xdr:sp>
    <xdr:clientData/>
  </xdr:twoCellAnchor>
  <xdr:twoCellAnchor editAs="oneCell">
    <xdr:from>
      <xdr:col>0</xdr:col>
      <xdr:colOff>160142</xdr:colOff>
      <xdr:row>9</xdr:row>
      <xdr:rowOff>98612</xdr:rowOff>
    </xdr:from>
    <xdr:to>
      <xdr:col>3</xdr:col>
      <xdr:colOff>484094</xdr:colOff>
      <xdr:row>17</xdr:row>
      <xdr:rowOff>35857</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E1DBCB70-6992-43F4-A8C6-BD68EB98AF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60142" y="1613647"/>
              <a:ext cx="2179646" cy="14522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126396</xdr:colOff>
      <xdr:row>9</xdr:row>
      <xdr:rowOff>71717</xdr:rowOff>
    </xdr:from>
    <xdr:to>
      <xdr:col>18</xdr:col>
      <xdr:colOff>439271</xdr:colOff>
      <xdr:row>15</xdr:row>
      <xdr:rowOff>104339</xdr:rowOff>
    </xdr:to>
    <xdr:sp macro="" textlink="">
      <xdr:nvSpPr>
        <xdr:cNvPr id="14" name="Rectangle: Rounded Corners 13">
          <a:extLst>
            <a:ext uri="{FF2B5EF4-FFF2-40B4-BE49-F238E27FC236}">
              <a16:creationId xmlns:a16="http://schemas.microsoft.com/office/drawing/2014/main" id="{DABC69CB-D324-47FA-9AF6-31B2CC890392}"/>
            </a:ext>
          </a:extLst>
        </xdr:cNvPr>
        <xdr:cNvSpPr/>
      </xdr:nvSpPr>
      <xdr:spPr>
        <a:xfrm>
          <a:off x="9664843" y="1586752"/>
          <a:ext cx="2195463" cy="1189069"/>
        </a:xfrm>
        <a:prstGeom prst="roundRect">
          <a:avLst/>
        </a:prstGeom>
        <a:effectLst>
          <a:glow rad="101600">
            <a:schemeClr val="accent3">
              <a:alpha val="6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solidFill>
              <a:srgbClr val="339933"/>
            </a:solidFill>
            <a:effectLst>
              <a:glow rad="228600">
                <a:schemeClr val="accent3">
                  <a:satMod val="175000"/>
                  <a:alpha val="40000"/>
                </a:schemeClr>
              </a:glow>
            </a:effectLst>
          </a:endParaRPr>
        </a:p>
      </xdr:txBody>
    </xdr:sp>
    <xdr:clientData/>
  </xdr:twoCellAnchor>
  <xdr:twoCellAnchor>
    <xdr:from>
      <xdr:col>11</xdr:col>
      <xdr:colOff>304799</xdr:colOff>
      <xdr:row>9</xdr:row>
      <xdr:rowOff>44825</xdr:rowOff>
    </xdr:from>
    <xdr:to>
      <xdr:col>14</xdr:col>
      <xdr:colOff>609600</xdr:colOff>
      <xdr:row>15</xdr:row>
      <xdr:rowOff>53789</xdr:rowOff>
    </xdr:to>
    <xdr:sp macro="" textlink="">
      <xdr:nvSpPr>
        <xdr:cNvPr id="16" name="Rectangle: Rounded Corners 15">
          <a:extLst>
            <a:ext uri="{FF2B5EF4-FFF2-40B4-BE49-F238E27FC236}">
              <a16:creationId xmlns:a16="http://schemas.microsoft.com/office/drawing/2014/main" id="{8618AA85-6B42-4A2C-BB54-9E1F1E312E06}"/>
            </a:ext>
          </a:extLst>
        </xdr:cNvPr>
        <xdr:cNvSpPr/>
      </xdr:nvSpPr>
      <xdr:spPr>
        <a:xfrm>
          <a:off x="7333128" y="1559860"/>
          <a:ext cx="2187390" cy="1165411"/>
        </a:xfrm>
        <a:prstGeom prst="roundRect">
          <a:avLst/>
        </a:prstGeom>
        <a:effectLst>
          <a:glow rad="101600">
            <a:schemeClr val="accent3">
              <a:alpha val="60000"/>
            </a:schemeClr>
          </a:glow>
        </a:effectLst>
        <a:scene3d>
          <a:camera prst="perspectiveAbove"/>
          <a:lightRig rig="threePt" dir="t"/>
        </a:scene3d>
        <a:sp3d/>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solidFill>
              <a:srgbClr val="339933"/>
            </a:solidFill>
          </a:endParaRPr>
        </a:p>
      </xdr:txBody>
    </xdr:sp>
    <xdr:clientData/>
  </xdr:twoCellAnchor>
  <xdr:oneCellAnchor>
    <xdr:from>
      <xdr:col>11</xdr:col>
      <xdr:colOff>430866</xdr:colOff>
      <xdr:row>10</xdr:row>
      <xdr:rowOff>9525</xdr:rowOff>
    </xdr:from>
    <xdr:ext cx="1164851" cy="671793"/>
    <xdr:sp macro="" textlink="">
      <xdr:nvSpPr>
        <xdr:cNvPr id="21" name="TextBox 20">
          <a:extLst>
            <a:ext uri="{FF2B5EF4-FFF2-40B4-BE49-F238E27FC236}">
              <a16:creationId xmlns:a16="http://schemas.microsoft.com/office/drawing/2014/main" id="{704A21D1-02F1-4B1A-9E56-750824E05DA0}"/>
            </a:ext>
          </a:extLst>
        </xdr:cNvPr>
        <xdr:cNvSpPr txBox="1"/>
      </xdr:nvSpPr>
      <xdr:spPr>
        <a:xfrm>
          <a:off x="7459195" y="1703854"/>
          <a:ext cx="1164851" cy="6717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solidFill>
                <a:schemeClr val="tx1"/>
              </a:solidFill>
              <a:effectLst/>
              <a:latin typeface="Segoe UI" panose="020B0502040204020203" pitchFamily="34" charset="0"/>
              <a:ea typeface="+mn-ea"/>
              <a:cs typeface="Segoe UI" panose="020B0502040204020203" pitchFamily="34" charset="0"/>
            </a:rPr>
            <a:t>    Total</a:t>
          </a:r>
        </a:p>
        <a:p>
          <a:r>
            <a:rPr lang="en-US" sz="1400" b="1">
              <a:solidFill>
                <a:schemeClr val="tx1"/>
              </a:solidFill>
              <a:effectLst/>
              <a:latin typeface="Segoe UI" panose="020B0502040204020203" pitchFamily="34" charset="0"/>
              <a:ea typeface="+mn-ea"/>
              <a:cs typeface="Segoe UI" panose="020B0502040204020203" pitchFamily="34" charset="0"/>
            </a:rPr>
            <a:t> Revenue </a:t>
          </a:r>
        </a:p>
        <a:p>
          <a:r>
            <a:rPr lang="en-US" sz="1400" b="1">
              <a:solidFill>
                <a:schemeClr val="tx1"/>
              </a:solidFill>
              <a:effectLst/>
              <a:latin typeface="Segoe UI" panose="020B0502040204020203" pitchFamily="34" charset="0"/>
              <a:ea typeface="+mn-ea"/>
              <a:cs typeface="Segoe UI" panose="020B0502040204020203" pitchFamily="34" charset="0"/>
            </a:rPr>
            <a:t>              </a:t>
          </a:r>
          <a:endParaRPr lang="en-US" sz="1400">
            <a:latin typeface="Segoe UI" panose="020B0502040204020203" pitchFamily="34" charset="0"/>
            <a:cs typeface="Segoe UI" panose="020B0502040204020203" pitchFamily="34" charset="0"/>
          </a:endParaRPr>
        </a:p>
      </xdr:txBody>
    </xdr:sp>
    <xdr:clientData/>
  </xdr:oneCellAnchor>
  <xdr:oneCellAnchor>
    <xdr:from>
      <xdr:col>11</xdr:col>
      <xdr:colOff>456641</xdr:colOff>
      <xdr:row>13</xdr:row>
      <xdr:rowOff>26895</xdr:rowOff>
    </xdr:from>
    <xdr:ext cx="1103219" cy="331116"/>
    <xdr:sp macro="" textlink="">
      <xdr:nvSpPr>
        <xdr:cNvPr id="23" name="TextBox 22">
          <a:extLst>
            <a:ext uri="{FF2B5EF4-FFF2-40B4-BE49-F238E27FC236}">
              <a16:creationId xmlns:a16="http://schemas.microsoft.com/office/drawing/2014/main" id="{D586887B-063B-47BC-893D-63C882BB9C2D}"/>
            </a:ext>
          </a:extLst>
        </xdr:cNvPr>
        <xdr:cNvSpPr txBox="1"/>
      </xdr:nvSpPr>
      <xdr:spPr>
        <a:xfrm>
          <a:off x="7484970" y="2259107"/>
          <a:ext cx="1103219"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0" i="0" u="none" strike="noStrike">
              <a:solidFill>
                <a:schemeClr val="tx1"/>
              </a:solidFill>
              <a:effectLst/>
              <a:latin typeface="Segoe UI" panose="020B0502040204020203" pitchFamily="34" charset="0"/>
              <a:ea typeface="+mn-ea"/>
              <a:cs typeface="Segoe UI" panose="020B0502040204020203" pitchFamily="34" charset="0"/>
            </a:rPr>
            <a:t> ₹</a:t>
          </a:r>
          <a:r>
            <a:rPr lang="en-US" sz="1400" b="1" i="0" u="none" strike="noStrike">
              <a:solidFill>
                <a:schemeClr val="tx1"/>
              </a:solidFill>
              <a:effectLst/>
              <a:latin typeface="Segoe UI" panose="020B0502040204020203" pitchFamily="34" charset="0"/>
              <a:ea typeface="+mn-ea"/>
              <a:cs typeface="Segoe UI" panose="020B0502040204020203" pitchFamily="34" charset="0"/>
            </a:rPr>
            <a:t>90,469</a:t>
          </a:r>
          <a:r>
            <a:rPr lang="en-US" sz="1400" b="1">
              <a:latin typeface="Segoe UI" panose="020B0502040204020203" pitchFamily="34" charset="0"/>
              <a:cs typeface="Segoe UI" panose="020B0502040204020203" pitchFamily="34" charset="0"/>
            </a:rPr>
            <a:t> </a:t>
          </a:r>
        </a:p>
      </xdr:txBody>
    </xdr:sp>
    <xdr:clientData/>
  </xdr:oneCellAnchor>
  <xdr:twoCellAnchor>
    <xdr:from>
      <xdr:col>19</xdr:col>
      <xdr:colOff>175935</xdr:colOff>
      <xdr:row>10</xdr:row>
      <xdr:rowOff>144556</xdr:rowOff>
    </xdr:from>
    <xdr:to>
      <xdr:col>20</xdr:col>
      <xdr:colOff>223558</xdr:colOff>
      <xdr:row>14</xdr:row>
      <xdr:rowOff>12886</xdr:rowOff>
    </xdr:to>
    <xdr:sp macro="" textlink="">
      <xdr:nvSpPr>
        <xdr:cNvPr id="25" name="TextBox 24">
          <a:extLst>
            <a:ext uri="{FF2B5EF4-FFF2-40B4-BE49-F238E27FC236}">
              <a16:creationId xmlns:a16="http://schemas.microsoft.com/office/drawing/2014/main" id="{70A6C8E2-1346-4D3E-BC24-600DC964F12C}"/>
            </a:ext>
          </a:extLst>
        </xdr:cNvPr>
        <xdr:cNvSpPr txBox="1"/>
      </xdr:nvSpPr>
      <xdr:spPr>
        <a:xfrm>
          <a:off x="12224500" y="1838885"/>
          <a:ext cx="675152" cy="585507"/>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lstStyle/>
        <a:p>
          <a:r>
            <a:rPr lang="en-US" sz="1100" b="1">
              <a:latin typeface="Segoe UI" panose="020B0502040204020203" pitchFamily="34" charset="0"/>
              <a:cs typeface="Segoe UI" panose="020B0502040204020203" pitchFamily="34" charset="0"/>
            </a:rPr>
            <a:t> Total</a:t>
          </a:r>
          <a:r>
            <a:rPr lang="en-US" sz="1100" b="1" baseline="0">
              <a:latin typeface="Segoe UI" panose="020B0502040204020203" pitchFamily="34" charset="0"/>
              <a:cs typeface="Segoe UI" panose="020B0502040204020203" pitchFamily="34" charset="0"/>
            </a:rPr>
            <a:t> Profit </a:t>
          </a:r>
          <a:br>
            <a:rPr lang="en-US" sz="1100" b="1" baseline="0"/>
          </a:br>
          <a:r>
            <a:rPr lang="en-US" sz="1100" b="1" baseline="0"/>
            <a:t>      </a:t>
          </a:r>
          <a:endParaRPr lang="en-US" sz="1100" b="1">
            <a:latin typeface="Arial Black" panose="020B0A04020102020204" pitchFamily="34" charset="0"/>
          </a:endParaRPr>
        </a:p>
      </xdr:txBody>
    </xdr:sp>
    <xdr:clientData/>
  </xdr:twoCellAnchor>
  <xdr:oneCellAnchor>
    <xdr:from>
      <xdr:col>19</xdr:col>
      <xdr:colOff>224678</xdr:colOff>
      <xdr:row>13</xdr:row>
      <xdr:rowOff>165286</xdr:rowOff>
    </xdr:from>
    <xdr:ext cx="952120" cy="331116"/>
    <xdr:sp macro="" textlink="">
      <xdr:nvSpPr>
        <xdr:cNvPr id="27" name="TextBox 26">
          <a:extLst>
            <a:ext uri="{FF2B5EF4-FFF2-40B4-BE49-F238E27FC236}">
              <a16:creationId xmlns:a16="http://schemas.microsoft.com/office/drawing/2014/main" id="{62618253-FC82-43C6-97AD-05E67560EFE3}"/>
            </a:ext>
          </a:extLst>
        </xdr:cNvPr>
        <xdr:cNvSpPr txBox="1"/>
      </xdr:nvSpPr>
      <xdr:spPr>
        <a:xfrm>
          <a:off x="12273243" y="2397498"/>
          <a:ext cx="95212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i="0" u="none" strike="noStrike">
              <a:solidFill>
                <a:schemeClr val="tx1"/>
              </a:solidFill>
              <a:effectLst/>
              <a:latin typeface="Segoe UI" panose="020B0502040204020203" pitchFamily="34" charset="0"/>
              <a:ea typeface="+mn-ea"/>
              <a:cs typeface="Segoe UI" panose="020B0502040204020203" pitchFamily="34" charset="0"/>
            </a:rPr>
            <a:t> ₹42,521</a:t>
          </a:r>
          <a:r>
            <a:rPr lang="en-US" sz="1400" b="1">
              <a:latin typeface="Segoe UI" panose="020B0502040204020203" pitchFamily="34" charset="0"/>
              <a:cs typeface="Segoe UI" panose="020B0502040204020203" pitchFamily="34" charset="0"/>
            </a:rPr>
            <a:t> </a:t>
          </a:r>
        </a:p>
      </xdr:txBody>
    </xdr:sp>
    <xdr:clientData/>
  </xdr:oneCellAnchor>
  <xdr:twoCellAnchor>
    <xdr:from>
      <xdr:col>15</xdr:col>
      <xdr:colOff>238686</xdr:colOff>
      <xdr:row>10</xdr:row>
      <xdr:rowOff>17928</xdr:rowOff>
    </xdr:from>
    <xdr:to>
      <xdr:col>17</xdr:col>
      <xdr:colOff>152400</xdr:colOff>
      <xdr:row>15</xdr:row>
      <xdr:rowOff>35859</xdr:rowOff>
    </xdr:to>
    <xdr:sp macro="" textlink="">
      <xdr:nvSpPr>
        <xdr:cNvPr id="28" name="TextBox 27">
          <a:extLst>
            <a:ext uri="{FF2B5EF4-FFF2-40B4-BE49-F238E27FC236}">
              <a16:creationId xmlns:a16="http://schemas.microsoft.com/office/drawing/2014/main" id="{2F7F2FBF-316E-468B-8A6C-B162E8A6A6D6}"/>
            </a:ext>
          </a:extLst>
        </xdr:cNvPr>
        <xdr:cNvSpPr txBox="1"/>
      </xdr:nvSpPr>
      <xdr:spPr>
        <a:xfrm>
          <a:off x="9777133" y="1712257"/>
          <a:ext cx="1168773" cy="99508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latin typeface="Segoe UI" panose="020B0502040204020203" pitchFamily="34" charset="0"/>
              <a:cs typeface="Segoe UI" panose="020B0502040204020203" pitchFamily="34" charset="0"/>
            </a:rPr>
            <a:t>Total</a:t>
          </a:r>
          <a:r>
            <a:rPr lang="en-US" sz="1400" b="1" baseline="0">
              <a:latin typeface="Segoe UI" panose="020B0502040204020203" pitchFamily="34" charset="0"/>
              <a:cs typeface="Segoe UI" panose="020B0502040204020203" pitchFamily="34" charset="0"/>
            </a:rPr>
            <a:t> Unit Sold</a:t>
          </a:r>
        </a:p>
        <a:p>
          <a:r>
            <a:rPr lang="en-IN" sz="2000" b="1" i="0" u="none" strike="noStrike">
              <a:solidFill>
                <a:schemeClr val="dk1"/>
              </a:solidFill>
              <a:effectLst/>
              <a:latin typeface="Segoe UI" panose="020B0502040204020203" pitchFamily="34" charset="0"/>
              <a:ea typeface="+mn-ea"/>
              <a:cs typeface="Segoe UI" panose="020B0502040204020203" pitchFamily="34" charset="0"/>
            </a:rPr>
            <a:t>33,2538</a:t>
          </a:r>
          <a:r>
            <a:rPr lang="en-IN" sz="2000" b="1">
              <a:effectLst/>
              <a:latin typeface="Segoe UI" panose="020B0502040204020203" pitchFamily="34" charset="0"/>
              <a:cs typeface="Segoe UI" panose="020B0502040204020203" pitchFamily="34" charset="0"/>
            </a:rPr>
            <a:t> </a:t>
          </a:r>
          <a:endParaRPr lang="en-US" sz="1600" b="1">
            <a:latin typeface="Segoe UI" panose="020B0502040204020203" pitchFamily="34" charset="0"/>
            <a:cs typeface="Segoe UI" panose="020B0502040204020203" pitchFamily="34" charset="0"/>
          </a:endParaRPr>
        </a:p>
      </xdr:txBody>
    </xdr:sp>
    <xdr:clientData/>
  </xdr:twoCellAnchor>
  <xdr:twoCellAnchor editAs="oneCell">
    <xdr:from>
      <xdr:col>20</xdr:col>
      <xdr:colOff>72360</xdr:colOff>
      <xdr:row>10</xdr:row>
      <xdr:rowOff>160562</xdr:rowOff>
    </xdr:from>
    <xdr:to>
      <xdr:col>20</xdr:col>
      <xdr:colOff>472410</xdr:colOff>
      <xdr:row>13</xdr:row>
      <xdr:rowOff>2222</xdr:rowOff>
    </xdr:to>
    <xdr:pic>
      <xdr:nvPicPr>
        <xdr:cNvPr id="43" name="Graphic 42" descr="Upward trend with solid fill">
          <a:extLst>
            <a:ext uri="{FF2B5EF4-FFF2-40B4-BE49-F238E27FC236}">
              <a16:creationId xmlns:a16="http://schemas.microsoft.com/office/drawing/2014/main" id="{BC3C2A5C-8469-4A1C-B216-2B93A12BEA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2748454" y="1854891"/>
          <a:ext cx="400050" cy="379543"/>
        </a:xfrm>
        <a:prstGeom prst="rect">
          <a:avLst/>
        </a:prstGeom>
      </xdr:spPr>
    </xdr:pic>
    <xdr:clientData/>
  </xdr:twoCellAnchor>
  <xdr:twoCellAnchor>
    <xdr:from>
      <xdr:col>18</xdr:col>
      <xdr:colOff>546846</xdr:colOff>
      <xdr:row>9</xdr:row>
      <xdr:rowOff>71719</xdr:rowOff>
    </xdr:from>
    <xdr:to>
      <xdr:col>22</xdr:col>
      <xdr:colOff>304800</xdr:colOff>
      <xdr:row>15</xdr:row>
      <xdr:rowOff>125508</xdr:rowOff>
    </xdr:to>
    <xdr:sp macro="" textlink="">
      <xdr:nvSpPr>
        <xdr:cNvPr id="2" name="Rectangle: Rounded Corners 1">
          <a:extLst>
            <a:ext uri="{FF2B5EF4-FFF2-40B4-BE49-F238E27FC236}">
              <a16:creationId xmlns:a16="http://schemas.microsoft.com/office/drawing/2014/main" id="{53FE9738-2F38-462D-8680-D83F710FED0A}"/>
            </a:ext>
          </a:extLst>
        </xdr:cNvPr>
        <xdr:cNvSpPr/>
      </xdr:nvSpPr>
      <xdr:spPr>
        <a:xfrm>
          <a:off x="11967881" y="1586754"/>
          <a:ext cx="2268072" cy="1210236"/>
        </a:xfrm>
        <a:prstGeom prst="roundRect">
          <a:avLst/>
        </a:prstGeom>
        <a:effectLst>
          <a:glow rad="101600">
            <a:schemeClr val="accent3">
              <a:alpha val="6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solidFill>
              <a:schemeClr val="tx1"/>
            </a:solidFill>
          </a:endParaRPr>
        </a:p>
      </xdr:txBody>
    </xdr:sp>
    <xdr:clientData/>
  </xdr:twoCellAnchor>
  <xdr:twoCellAnchor>
    <xdr:from>
      <xdr:col>11</xdr:col>
      <xdr:colOff>311727</xdr:colOff>
      <xdr:row>16</xdr:row>
      <xdr:rowOff>83738</xdr:rowOff>
    </xdr:from>
    <xdr:to>
      <xdr:col>18</xdr:col>
      <xdr:colOff>464127</xdr:colOff>
      <xdr:row>29</xdr:row>
      <xdr:rowOff>38914</xdr:rowOff>
    </xdr:to>
    <xdr:graphicFrame macro="">
      <xdr:nvGraphicFramePr>
        <xdr:cNvPr id="44" name="Chart 43">
          <a:extLst>
            <a:ext uri="{FF2B5EF4-FFF2-40B4-BE49-F238E27FC236}">
              <a16:creationId xmlns:a16="http://schemas.microsoft.com/office/drawing/2014/main" id="{04D0A4E4-7FD0-4753-BF99-B2C29144A8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130397</xdr:colOff>
      <xdr:row>30</xdr:row>
      <xdr:rowOff>39525</xdr:rowOff>
    </xdr:from>
    <xdr:to>
      <xdr:col>26</xdr:col>
      <xdr:colOff>80682</xdr:colOff>
      <xdr:row>43</xdr:row>
      <xdr:rowOff>17929</xdr:rowOff>
    </xdr:to>
    <xdr:graphicFrame macro="">
      <xdr:nvGraphicFramePr>
        <xdr:cNvPr id="46" name="Chart 45">
          <a:extLst>
            <a:ext uri="{FF2B5EF4-FFF2-40B4-BE49-F238E27FC236}">
              <a16:creationId xmlns:a16="http://schemas.microsoft.com/office/drawing/2014/main" id="{01FD3844-BE9A-45FE-8D08-CEA045C9C0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247174</xdr:colOff>
      <xdr:row>30</xdr:row>
      <xdr:rowOff>108523</xdr:rowOff>
    </xdr:from>
    <xdr:to>
      <xdr:col>23</xdr:col>
      <xdr:colOff>517071</xdr:colOff>
      <xdr:row>32</xdr:row>
      <xdr:rowOff>27215</xdr:rowOff>
    </xdr:to>
    <xdr:sp macro="" textlink="">
      <xdr:nvSpPr>
        <xdr:cNvPr id="33" name="TextBox 32">
          <a:extLst>
            <a:ext uri="{FF2B5EF4-FFF2-40B4-BE49-F238E27FC236}">
              <a16:creationId xmlns:a16="http://schemas.microsoft.com/office/drawing/2014/main" id="{B74295AF-ED1F-4700-914C-CB3DE671E4C3}"/>
            </a:ext>
          </a:extLst>
        </xdr:cNvPr>
        <xdr:cNvSpPr txBox="1"/>
      </xdr:nvSpPr>
      <xdr:spPr>
        <a:xfrm>
          <a:off x="13187567" y="5769094"/>
          <a:ext cx="1494540" cy="299692"/>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n-US" sz="1400" b="1"/>
            <a:t>Issue Tracker</a:t>
          </a:r>
        </a:p>
      </xdr:txBody>
    </xdr:sp>
    <xdr:clientData/>
  </xdr:twoCellAnchor>
  <xdr:twoCellAnchor>
    <xdr:from>
      <xdr:col>13</xdr:col>
      <xdr:colOff>596845</xdr:colOff>
      <xdr:row>16</xdr:row>
      <xdr:rowOff>106866</xdr:rowOff>
    </xdr:from>
    <xdr:to>
      <xdr:col>16</xdr:col>
      <xdr:colOff>585107</xdr:colOff>
      <xdr:row>18</xdr:row>
      <xdr:rowOff>108858</xdr:rowOff>
    </xdr:to>
    <xdr:sp macro="" textlink="">
      <xdr:nvSpPr>
        <xdr:cNvPr id="35" name="TextBox 34">
          <a:extLst>
            <a:ext uri="{FF2B5EF4-FFF2-40B4-BE49-F238E27FC236}">
              <a16:creationId xmlns:a16="http://schemas.microsoft.com/office/drawing/2014/main" id="{AB2BFEAD-A024-4081-9C3F-63D20F87B703}"/>
            </a:ext>
          </a:extLst>
        </xdr:cNvPr>
        <xdr:cNvSpPr txBox="1"/>
      </xdr:nvSpPr>
      <xdr:spPr>
        <a:xfrm>
          <a:off x="8638666" y="3100437"/>
          <a:ext cx="1825227" cy="382992"/>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n-US" sz="1600" b="1"/>
            <a:t>Profit</a:t>
          </a:r>
          <a:r>
            <a:rPr lang="en-US" sz="1600" b="1" baseline="0"/>
            <a:t> by category</a:t>
          </a:r>
          <a:endParaRPr lang="en-US" sz="1100" b="1"/>
        </a:p>
      </xdr:txBody>
    </xdr:sp>
    <xdr:clientData/>
  </xdr:twoCellAnchor>
  <xdr:twoCellAnchor>
    <xdr:from>
      <xdr:col>4</xdr:col>
      <xdr:colOff>35857</xdr:colOff>
      <xdr:row>9</xdr:row>
      <xdr:rowOff>80682</xdr:rowOff>
    </xdr:from>
    <xdr:to>
      <xdr:col>7</xdr:col>
      <xdr:colOff>277904</xdr:colOff>
      <xdr:row>15</xdr:row>
      <xdr:rowOff>98611</xdr:rowOff>
    </xdr:to>
    <xdr:sp macro="" textlink="">
      <xdr:nvSpPr>
        <xdr:cNvPr id="40" name="Rectangle: Rounded Corners 39">
          <a:extLst>
            <a:ext uri="{FF2B5EF4-FFF2-40B4-BE49-F238E27FC236}">
              <a16:creationId xmlns:a16="http://schemas.microsoft.com/office/drawing/2014/main" id="{2EC2D366-4785-4C1A-BC8D-F970F60F6B95}"/>
            </a:ext>
          </a:extLst>
        </xdr:cNvPr>
        <xdr:cNvSpPr/>
      </xdr:nvSpPr>
      <xdr:spPr>
        <a:xfrm>
          <a:off x="2671481" y="1595717"/>
          <a:ext cx="2124635" cy="1174376"/>
        </a:xfrm>
        <a:prstGeom prst="roundRect">
          <a:avLst/>
        </a:prstGeom>
        <a:effectLst>
          <a:glow rad="101600">
            <a:schemeClr val="accent3">
              <a:alpha val="6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solidFill>
              <a:srgbClr val="339933"/>
            </a:solidFill>
          </a:endParaRPr>
        </a:p>
      </xdr:txBody>
    </xdr:sp>
    <xdr:clientData/>
  </xdr:twoCellAnchor>
  <xdr:twoCellAnchor>
    <xdr:from>
      <xdr:col>4</xdr:col>
      <xdr:colOff>163197</xdr:colOff>
      <xdr:row>10</xdr:row>
      <xdr:rowOff>69273</xdr:rowOff>
    </xdr:from>
    <xdr:to>
      <xdr:col>6</xdr:col>
      <xdr:colOff>311726</xdr:colOff>
      <xdr:row>14</xdr:row>
      <xdr:rowOff>138547</xdr:rowOff>
    </xdr:to>
    <xdr:sp macro="" textlink="">
      <xdr:nvSpPr>
        <xdr:cNvPr id="2049" name="Text Box 1">
          <a:extLst>
            <a:ext uri="{FF2B5EF4-FFF2-40B4-BE49-F238E27FC236}">
              <a16:creationId xmlns:a16="http://schemas.microsoft.com/office/drawing/2014/main" id="{B35010DD-BC8F-4E01-AE5A-32272870A722}"/>
            </a:ext>
          </a:extLst>
        </xdr:cNvPr>
        <xdr:cNvSpPr txBox="1">
          <a:spLocks noChangeArrowheads="1"/>
        </xdr:cNvSpPr>
      </xdr:nvSpPr>
      <xdr:spPr bwMode="auto">
        <a:xfrm>
          <a:off x="2691652" y="1853046"/>
          <a:ext cx="1360801" cy="831274"/>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l" rtl="0">
            <a:defRPr sz="1000"/>
          </a:pPr>
          <a:r>
            <a:rPr lang="en-US" sz="1400" b="1" i="0" u="none" strike="noStrike" baseline="0">
              <a:solidFill>
                <a:srgbClr val="000000"/>
              </a:solidFill>
              <a:latin typeface="Segoe UI" panose="020B0502040204020203" pitchFamily="34" charset="0"/>
              <a:cs typeface="Segoe UI" panose="020B0502040204020203" pitchFamily="34" charset="0"/>
            </a:rPr>
            <a:t> </a:t>
          </a:r>
          <a:r>
            <a:rPr lang="en-US" sz="1800" b="1" i="0" u="none" strike="noStrike" baseline="0">
              <a:solidFill>
                <a:srgbClr val="000000"/>
              </a:solidFill>
              <a:latin typeface="Segoe UI" panose="020B0502040204020203" pitchFamily="34" charset="0"/>
              <a:cs typeface="Segoe UI" panose="020B0502040204020203" pitchFamily="34" charset="0"/>
            </a:rPr>
            <a:t>Target: ₹150,000</a:t>
          </a:r>
          <a:endParaRPr lang="en-US" sz="1400" b="1" i="0" u="none" strike="noStrike" baseline="0">
            <a:solidFill>
              <a:srgbClr val="000000"/>
            </a:solidFill>
            <a:latin typeface="Segoe UI" panose="020B0502040204020203" pitchFamily="34" charset="0"/>
            <a:cs typeface="Segoe UI" panose="020B0502040204020203" pitchFamily="34" charset="0"/>
          </a:endParaRPr>
        </a:p>
      </xdr:txBody>
    </xdr:sp>
    <xdr:clientData/>
  </xdr:twoCellAnchor>
  <xdr:twoCellAnchor editAs="oneCell">
    <xdr:from>
      <xdr:col>0</xdr:col>
      <xdr:colOff>1</xdr:colOff>
      <xdr:row>0</xdr:row>
      <xdr:rowOff>71717</xdr:rowOff>
    </xdr:from>
    <xdr:to>
      <xdr:col>26</xdr:col>
      <xdr:colOff>265838</xdr:colOff>
      <xdr:row>8</xdr:row>
      <xdr:rowOff>161365</xdr:rowOff>
    </xdr:to>
    <xdr:pic>
      <xdr:nvPicPr>
        <xdr:cNvPr id="47" name="Picture 46">
          <a:extLst>
            <a:ext uri="{FF2B5EF4-FFF2-40B4-BE49-F238E27FC236}">
              <a16:creationId xmlns:a16="http://schemas.microsoft.com/office/drawing/2014/main" id="{0050A2FB-E840-4334-BF13-84262F573384}"/>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t="7959" b="18408"/>
        <a:stretch/>
      </xdr:blipFill>
      <xdr:spPr>
        <a:xfrm>
          <a:off x="1" y="71717"/>
          <a:ext cx="16707108" cy="1425389"/>
        </a:xfrm>
        <a:prstGeom prst="rect">
          <a:avLst/>
        </a:prstGeom>
      </xdr:spPr>
    </xdr:pic>
    <xdr:clientData/>
  </xdr:twoCellAnchor>
  <xdr:twoCellAnchor>
    <xdr:from>
      <xdr:col>0</xdr:col>
      <xdr:colOff>0</xdr:colOff>
      <xdr:row>6</xdr:row>
      <xdr:rowOff>8963</xdr:rowOff>
    </xdr:from>
    <xdr:to>
      <xdr:col>26</xdr:col>
      <xdr:colOff>170329</xdr:colOff>
      <xdr:row>8</xdr:row>
      <xdr:rowOff>161364</xdr:rowOff>
    </xdr:to>
    <xdr:sp macro="" textlink="">
      <xdr:nvSpPr>
        <xdr:cNvPr id="12" name="TextBox 11">
          <a:extLst>
            <a:ext uri="{FF2B5EF4-FFF2-40B4-BE49-F238E27FC236}">
              <a16:creationId xmlns:a16="http://schemas.microsoft.com/office/drawing/2014/main" id="{27270115-5A4E-4DF9-B8C1-5FAE2159566F}"/>
            </a:ext>
          </a:extLst>
        </xdr:cNvPr>
        <xdr:cNvSpPr txBox="1"/>
      </xdr:nvSpPr>
      <xdr:spPr>
        <a:xfrm>
          <a:off x="0" y="986116"/>
          <a:ext cx="16611600" cy="510989"/>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 </a:t>
          </a:r>
          <a:r>
            <a:rPr lang="en-US" sz="2800" b="1"/>
            <a:t>Organic</a:t>
          </a:r>
          <a:r>
            <a:rPr lang="en-US" sz="2800" b="1" baseline="0"/>
            <a:t> Food Business Performance Dashboard</a:t>
          </a:r>
          <a:endParaRPr lang="en-US" sz="1400" b="1"/>
        </a:p>
      </xdr:txBody>
    </xdr:sp>
    <xdr:clientData/>
  </xdr:twoCellAnchor>
  <xdr:twoCellAnchor>
    <xdr:from>
      <xdr:col>4</xdr:col>
      <xdr:colOff>161364</xdr:colOff>
      <xdr:row>30</xdr:row>
      <xdr:rowOff>8965</xdr:rowOff>
    </xdr:from>
    <xdr:to>
      <xdr:col>11</xdr:col>
      <xdr:colOff>125505</xdr:colOff>
      <xdr:row>43</xdr:row>
      <xdr:rowOff>89647</xdr:rowOff>
    </xdr:to>
    <xdr:graphicFrame macro="">
      <xdr:nvGraphicFramePr>
        <xdr:cNvPr id="42" name="Chart 41">
          <a:extLst>
            <a:ext uri="{FF2B5EF4-FFF2-40B4-BE49-F238E27FC236}">
              <a16:creationId xmlns:a16="http://schemas.microsoft.com/office/drawing/2014/main" id="{C92E3CED-B6D4-4D42-835B-DE26F90710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514348</xdr:colOff>
      <xdr:row>30</xdr:row>
      <xdr:rowOff>44904</xdr:rowOff>
    </xdr:from>
    <xdr:to>
      <xdr:col>9</xdr:col>
      <xdr:colOff>20167</xdr:colOff>
      <xdr:row>31</xdr:row>
      <xdr:rowOff>151360</xdr:rowOff>
    </xdr:to>
    <xdr:sp macro="" textlink="">
      <xdr:nvSpPr>
        <xdr:cNvPr id="7" name="TextBox 6">
          <a:extLst>
            <a:ext uri="{FF2B5EF4-FFF2-40B4-BE49-F238E27FC236}">
              <a16:creationId xmlns:a16="http://schemas.microsoft.com/office/drawing/2014/main" id="{2509672C-4450-4D37-B3C6-76C9F8C716E1}"/>
            </a:ext>
          </a:extLst>
        </xdr:cNvPr>
        <xdr:cNvSpPr txBox="1"/>
      </xdr:nvSpPr>
      <xdr:spPr>
        <a:xfrm>
          <a:off x="4269919" y="5705475"/>
          <a:ext cx="1342784" cy="2969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Revenue</a:t>
          </a:r>
          <a:r>
            <a:rPr lang="en-IN" sz="1400" b="1" baseline="0"/>
            <a:t> trend</a:t>
          </a:r>
          <a:endParaRPr lang="en-IN" sz="1400" b="1"/>
        </a:p>
      </xdr:txBody>
    </xdr:sp>
    <xdr:clientData/>
  </xdr:twoCellAnchor>
  <xdr:twoCellAnchor>
    <xdr:from>
      <xdr:col>22</xdr:col>
      <xdr:colOff>502022</xdr:colOff>
      <xdr:row>9</xdr:row>
      <xdr:rowOff>89647</xdr:rowOff>
    </xdr:from>
    <xdr:to>
      <xdr:col>26</xdr:col>
      <xdr:colOff>242047</xdr:colOff>
      <xdr:row>15</xdr:row>
      <xdr:rowOff>62753</xdr:rowOff>
    </xdr:to>
    <xdr:sp macro="" textlink="">
      <xdr:nvSpPr>
        <xdr:cNvPr id="10" name="Rectangle: Rounded Corners 9">
          <a:extLst>
            <a:ext uri="{FF2B5EF4-FFF2-40B4-BE49-F238E27FC236}">
              <a16:creationId xmlns:a16="http://schemas.microsoft.com/office/drawing/2014/main" id="{63D20857-16CD-90EC-A761-984D464D6212}"/>
            </a:ext>
          </a:extLst>
        </xdr:cNvPr>
        <xdr:cNvSpPr/>
      </xdr:nvSpPr>
      <xdr:spPr>
        <a:xfrm>
          <a:off x="14433175" y="1604682"/>
          <a:ext cx="2250143" cy="1129553"/>
        </a:xfrm>
        <a:prstGeom prst="roundRect">
          <a:avLst/>
        </a:prstGeom>
        <a:effectLst>
          <a:glow rad="101600">
            <a:schemeClr val="accent3">
              <a:alpha val="6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24</xdr:col>
      <xdr:colOff>520954</xdr:colOff>
      <xdr:row>11</xdr:row>
      <xdr:rowOff>53790</xdr:rowOff>
    </xdr:from>
    <xdr:to>
      <xdr:col>26</xdr:col>
      <xdr:colOff>102169</xdr:colOff>
      <xdr:row>13</xdr:row>
      <xdr:rowOff>107578</xdr:rowOff>
    </xdr:to>
    <xdr:pic>
      <xdr:nvPicPr>
        <xdr:cNvPr id="32" name="Picture 31">
          <a:extLst>
            <a:ext uri="{FF2B5EF4-FFF2-40B4-BE49-F238E27FC236}">
              <a16:creationId xmlns:a16="http://schemas.microsoft.com/office/drawing/2014/main" id="{726B879C-346F-428E-9573-F3C7AC5C935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5707166" y="1927414"/>
          <a:ext cx="836274" cy="412376"/>
        </a:xfrm>
        <a:prstGeom prst="rect">
          <a:avLst/>
        </a:prstGeom>
      </xdr:spPr>
    </xdr:pic>
    <xdr:clientData/>
  </xdr:twoCellAnchor>
  <xdr:twoCellAnchor>
    <xdr:from>
      <xdr:col>23</xdr:col>
      <xdr:colOff>69272</xdr:colOff>
      <xdr:row>10</xdr:row>
      <xdr:rowOff>51955</xdr:rowOff>
    </xdr:from>
    <xdr:to>
      <xdr:col>25</xdr:col>
      <xdr:colOff>277090</xdr:colOff>
      <xdr:row>15</xdr:row>
      <xdr:rowOff>51955</xdr:rowOff>
    </xdr:to>
    <xdr:sp macro="" textlink="">
      <xdr:nvSpPr>
        <xdr:cNvPr id="49" name="TextBox 48">
          <a:extLst>
            <a:ext uri="{FF2B5EF4-FFF2-40B4-BE49-F238E27FC236}">
              <a16:creationId xmlns:a16="http://schemas.microsoft.com/office/drawing/2014/main" id="{FA22DA32-BE14-AFF6-3F53-4E3CC6B74D29}"/>
            </a:ext>
          </a:extLst>
        </xdr:cNvPr>
        <xdr:cNvSpPr txBox="1"/>
      </xdr:nvSpPr>
      <xdr:spPr>
        <a:xfrm>
          <a:off x="14114317" y="1835728"/>
          <a:ext cx="1420091" cy="1021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Segoe UI" panose="020B0502040204020203" pitchFamily="34" charset="0"/>
              <a:cs typeface="Segoe UI" panose="020B0502040204020203" pitchFamily="34" charset="0"/>
            </a:rPr>
            <a:t>Inventory</a:t>
          </a:r>
        </a:p>
        <a:p>
          <a:r>
            <a:rPr lang="en-US" sz="1400" b="1">
              <a:latin typeface="Segoe UI" panose="020B0502040204020203" pitchFamily="34" charset="0"/>
              <a:cs typeface="Segoe UI" panose="020B0502040204020203" pitchFamily="34" charset="0"/>
            </a:rPr>
            <a:t>Available</a:t>
          </a:r>
        </a:p>
        <a:p>
          <a:r>
            <a:rPr lang="en-US" sz="1400" b="1" i="0" u="none" strike="noStrike">
              <a:solidFill>
                <a:schemeClr val="dk1"/>
              </a:solidFill>
              <a:effectLst/>
              <a:latin typeface="Segoe UI" panose="020B0502040204020203" pitchFamily="34" charset="0"/>
              <a:ea typeface="+mn-ea"/>
              <a:cs typeface="Segoe UI" panose="020B0502040204020203" pitchFamily="34" charset="0"/>
            </a:rPr>
            <a:t>₹</a:t>
          </a:r>
          <a:r>
            <a:rPr lang="en-US" sz="1800" b="1" i="0" u="none" strike="noStrike">
              <a:solidFill>
                <a:schemeClr val="dk1"/>
              </a:solidFill>
              <a:effectLst/>
              <a:latin typeface="Segoe UI" panose="020B0502040204020203" pitchFamily="34" charset="0"/>
              <a:ea typeface="+mn-ea"/>
              <a:cs typeface="Segoe UI" panose="020B0502040204020203" pitchFamily="34" charset="0"/>
            </a:rPr>
            <a:t>191,355</a:t>
          </a:r>
          <a:r>
            <a:rPr lang="en-US" sz="1400" b="1">
              <a:latin typeface="Segoe UI" panose="020B0502040204020203" pitchFamily="34" charset="0"/>
              <a:cs typeface="Segoe UI" panose="020B0502040204020203" pitchFamily="34" charset="0"/>
            </a:rPr>
            <a:t> </a:t>
          </a:r>
        </a:p>
      </xdr:txBody>
    </xdr:sp>
    <xdr:clientData/>
  </xdr:twoCellAnchor>
  <xdr:twoCellAnchor>
    <xdr:from>
      <xdr:col>19</xdr:col>
      <xdr:colOff>134470</xdr:colOff>
      <xdr:row>10</xdr:row>
      <xdr:rowOff>44824</xdr:rowOff>
    </xdr:from>
    <xdr:to>
      <xdr:col>22</xdr:col>
      <xdr:colOff>98611</xdr:colOff>
      <xdr:row>15</xdr:row>
      <xdr:rowOff>26894</xdr:rowOff>
    </xdr:to>
    <xdr:sp macro="" textlink="">
      <xdr:nvSpPr>
        <xdr:cNvPr id="52" name="TextBox 51">
          <a:extLst>
            <a:ext uri="{FF2B5EF4-FFF2-40B4-BE49-F238E27FC236}">
              <a16:creationId xmlns:a16="http://schemas.microsoft.com/office/drawing/2014/main" id="{0338C056-48C0-A227-58A6-8E9F4237BFC8}"/>
            </a:ext>
          </a:extLst>
        </xdr:cNvPr>
        <xdr:cNvSpPr txBox="1"/>
      </xdr:nvSpPr>
      <xdr:spPr>
        <a:xfrm>
          <a:off x="12183035" y="1739153"/>
          <a:ext cx="1846729" cy="959223"/>
        </a:xfrm>
        <a:prstGeom prst="rect">
          <a:avLst/>
        </a:prstGeom>
        <a:solidFill>
          <a:schemeClr val="lt1"/>
        </a:solidFill>
        <a:ln w="9525" cmpd="sng">
          <a:solidFill>
            <a:schemeClr val="bg1"/>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effectLst/>
              <a:latin typeface="Segoe UI" panose="020B0502040204020203" pitchFamily="34" charset="0"/>
              <a:ea typeface="+mn-ea"/>
              <a:cs typeface="Segoe UI" panose="020B0502040204020203" pitchFamily="34" charset="0"/>
            </a:rPr>
            <a:t>Revenue</a:t>
          </a:r>
        </a:p>
        <a:p>
          <a:r>
            <a:rPr lang="en-US" sz="1600" b="1">
              <a:solidFill>
                <a:schemeClr val="tx1"/>
              </a:solidFill>
              <a:effectLst/>
              <a:latin typeface="Segoe UI" panose="020B0502040204020203" pitchFamily="34" charset="0"/>
              <a:ea typeface="+mn-ea"/>
              <a:cs typeface="Segoe UI" panose="020B0502040204020203" pitchFamily="34" charset="0"/>
            </a:rPr>
            <a:t>Growth</a:t>
          </a:r>
        </a:p>
        <a:p>
          <a:r>
            <a:rPr lang="en-US" sz="1600" b="1" baseline="0">
              <a:latin typeface="Segoe UI" panose="020B0502040204020203" pitchFamily="34" charset="0"/>
              <a:cs typeface="Segoe UI" panose="020B0502040204020203" pitchFamily="34" charset="0"/>
            </a:rPr>
            <a:t>9,007</a:t>
          </a:r>
        </a:p>
        <a:p>
          <a:endParaRPr lang="en-US" sz="1100" b="1">
            <a:latin typeface="Segoe UI" panose="020B0502040204020203" pitchFamily="34" charset="0"/>
            <a:cs typeface="Segoe UI" panose="020B0502040204020203" pitchFamily="34" charset="0"/>
          </a:endParaRPr>
        </a:p>
      </xdr:txBody>
    </xdr:sp>
    <xdr:clientData/>
  </xdr:twoCellAnchor>
  <xdr:twoCellAnchor>
    <xdr:from>
      <xdr:col>7</xdr:col>
      <xdr:colOff>460461</xdr:colOff>
      <xdr:row>10</xdr:row>
      <xdr:rowOff>52565</xdr:rowOff>
    </xdr:from>
    <xdr:to>
      <xdr:col>9</xdr:col>
      <xdr:colOff>600636</xdr:colOff>
      <xdr:row>14</xdr:row>
      <xdr:rowOff>259975</xdr:rowOff>
    </xdr:to>
    <xdr:sp macro="" textlink="">
      <xdr:nvSpPr>
        <xdr:cNvPr id="54" name="Text Box 1">
          <a:extLst>
            <a:ext uri="{FF2B5EF4-FFF2-40B4-BE49-F238E27FC236}">
              <a16:creationId xmlns:a16="http://schemas.microsoft.com/office/drawing/2014/main" id="{1FBBF655-B8BB-54D0-3B44-A8A7AFF32B63}"/>
            </a:ext>
          </a:extLst>
        </xdr:cNvPr>
        <xdr:cNvSpPr txBox="1">
          <a:spLocks noChangeArrowheads="1"/>
        </xdr:cNvSpPr>
      </xdr:nvSpPr>
      <xdr:spPr bwMode="auto">
        <a:xfrm>
          <a:off x="4978673" y="1746894"/>
          <a:ext cx="1395234" cy="924587"/>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l" rtl="0">
            <a:defRPr sz="1000"/>
          </a:pPr>
          <a:r>
            <a:rPr lang="en-US" sz="1600" b="1" i="0" u="none" strike="noStrike" baseline="0">
              <a:solidFill>
                <a:srgbClr val="000000"/>
              </a:solidFill>
              <a:latin typeface="Segoe UI" panose="020B0502040204020203" pitchFamily="34" charset="0"/>
              <a:cs typeface="Segoe UI" panose="020B0502040204020203" pitchFamily="34" charset="0"/>
            </a:rPr>
            <a:t>Goal Progress </a:t>
          </a:r>
        </a:p>
        <a:p>
          <a:pPr algn="l" rtl="0">
            <a:defRPr sz="1000"/>
          </a:pPr>
          <a:r>
            <a:rPr lang="en-US" sz="1600" b="1" i="0" u="none" strike="noStrike" baseline="0">
              <a:solidFill>
                <a:srgbClr val="000000"/>
              </a:solidFill>
              <a:latin typeface="Segoe UI" panose="020B0502040204020203" pitchFamily="34" charset="0"/>
              <a:cs typeface="Segoe UI" panose="020B0502040204020203" pitchFamily="34" charset="0"/>
            </a:rPr>
            <a:t>    </a:t>
          </a:r>
          <a:r>
            <a:rPr lang="en-US" sz="2000" b="1" i="0" u="none" strike="noStrike" baseline="0">
              <a:solidFill>
                <a:srgbClr val="000000"/>
              </a:solidFill>
              <a:latin typeface="Segoe UI" panose="020B0502040204020203" pitchFamily="34" charset="0"/>
              <a:cs typeface="Segoe UI" panose="020B0502040204020203" pitchFamily="34" charset="0"/>
            </a:rPr>
            <a:t>60</a:t>
          </a:r>
          <a:r>
            <a:rPr lang="en-US" sz="2400" b="1" i="0" u="none" strike="noStrike" baseline="0">
              <a:solidFill>
                <a:srgbClr val="000000"/>
              </a:solidFill>
              <a:latin typeface="Segoe UI" panose="020B0502040204020203" pitchFamily="34" charset="0"/>
              <a:cs typeface="Segoe UI" panose="020B0502040204020203" pitchFamily="34" charset="0"/>
            </a:rPr>
            <a:t>%</a:t>
          </a:r>
        </a:p>
      </xdr:txBody>
    </xdr:sp>
    <xdr:clientData/>
  </xdr:twoCellAnchor>
  <xdr:twoCellAnchor editAs="oneCell">
    <xdr:from>
      <xdr:col>5</xdr:col>
      <xdr:colOff>606135</xdr:colOff>
      <xdr:row>10</xdr:row>
      <xdr:rowOff>86591</xdr:rowOff>
    </xdr:from>
    <xdr:to>
      <xdr:col>7</xdr:col>
      <xdr:colOff>209044</xdr:colOff>
      <xdr:row>14</xdr:row>
      <xdr:rowOff>17156</xdr:rowOff>
    </xdr:to>
    <xdr:pic>
      <xdr:nvPicPr>
        <xdr:cNvPr id="56" name="Picture 55">
          <a:extLst>
            <a:ext uri="{FF2B5EF4-FFF2-40B4-BE49-F238E27FC236}">
              <a16:creationId xmlns:a16="http://schemas.microsoft.com/office/drawing/2014/main" id="{8004C790-E4C1-C904-4D5F-58DA85815B43}"/>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740726" y="1870364"/>
          <a:ext cx="815182" cy="692565"/>
        </a:xfrm>
        <a:prstGeom prst="rect">
          <a:avLst/>
        </a:prstGeom>
      </xdr:spPr>
    </xdr:pic>
    <xdr:clientData/>
  </xdr:twoCellAnchor>
  <xdr:twoCellAnchor editAs="oneCell">
    <xdr:from>
      <xdr:col>13</xdr:col>
      <xdr:colOff>170331</xdr:colOff>
      <xdr:row>10</xdr:row>
      <xdr:rowOff>121227</xdr:rowOff>
    </xdr:from>
    <xdr:to>
      <xdr:col>14</xdr:col>
      <xdr:colOff>453620</xdr:colOff>
      <xdr:row>14</xdr:row>
      <xdr:rowOff>93815</xdr:rowOff>
    </xdr:to>
    <xdr:pic>
      <xdr:nvPicPr>
        <xdr:cNvPr id="58" name="Picture 57">
          <a:extLst>
            <a:ext uri="{FF2B5EF4-FFF2-40B4-BE49-F238E27FC236}">
              <a16:creationId xmlns:a16="http://schemas.microsoft.com/office/drawing/2014/main" id="{57BC162F-2329-7BEA-33C1-289F8AAE003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8154013" y="1905000"/>
          <a:ext cx="889425" cy="734588"/>
        </a:xfrm>
        <a:prstGeom prst="rect">
          <a:avLst/>
        </a:prstGeom>
      </xdr:spPr>
    </xdr:pic>
    <xdr:clientData/>
  </xdr:twoCellAnchor>
  <xdr:twoCellAnchor editAs="oneCell">
    <xdr:from>
      <xdr:col>20</xdr:col>
      <xdr:colOff>406825</xdr:colOff>
      <xdr:row>10</xdr:row>
      <xdr:rowOff>69272</xdr:rowOff>
    </xdr:from>
    <xdr:to>
      <xdr:col>22</xdr:col>
      <xdr:colOff>204093</xdr:colOff>
      <xdr:row>14</xdr:row>
      <xdr:rowOff>221060</xdr:rowOff>
    </xdr:to>
    <xdr:pic>
      <xdr:nvPicPr>
        <xdr:cNvPr id="62" name="Picture 61" descr="Total Sales color icon in PNG, SVG">
          <a:extLst>
            <a:ext uri="{FF2B5EF4-FFF2-40B4-BE49-F238E27FC236}">
              <a16:creationId xmlns:a16="http://schemas.microsoft.com/office/drawing/2014/main" id="{F4AD395A-F0CE-4100-CCC7-D5CA347780AE}"/>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2633461" y="1853045"/>
          <a:ext cx="1009541" cy="9137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451699</xdr:colOff>
      <xdr:row>30</xdr:row>
      <xdr:rowOff>20987</xdr:rowOff>
    </xdr:from>
    <xdr:to>
      <xdr:col>18</xdr:col>
      <xdr:colOff>510989</xdr:colOff>
      <xdr:row>43</xdr:row>
      <xdr:rowOff>17929</xdr:rowOff>
    </xdr:to>
    <xdr:graphicFrame macro="">
      <xdr:nvGraphicFramePr>
        <xdr:cNvPr id="2050" name="Chart 2049">
          <a:extLst>
            <a:ext uri="{FF2B5EF4-FFF2-40B4-BE49-F238E27FC236}">
              <a16:creationId xmlns:a16="http://schemas.microsoft.com/office/drawing/2014/main" id="{43663F18-7377-129C-4795-8CDCE2D2F2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116220</xdr:colOff>
      <xdr:row>16</xdr:row>
      <xdr:rowOff>139114</xdr:rowOff>
    </xdr:from>
    <xdr:to>
      <xdr:col>11</xdr:col>
      <xdr:colOff>116220</xdr:colOff>
      <xdr:row>28</xdr:row>
      <xdr:rowOff>166008</xdr:rowOff>
    </xdr:to>
    <xdr:graphicFrame macro="">
      <xdr:nvGraphicFramePr>
        <xdr:cNvPr id="2051" name="Chart 2050">
          <a:extLst>
            <a:ext uri="{FF2B5EF4-FFF2-40B4-BE49-F238E27FC236}">
              <a16:creationId xmlns:a16="http://schemas.microsoft.com/office/drawing/2014/main" id="{20A9777C-9798-73FD-6DC5-D93C421059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596611</xdr:colOff>
      <xdr:row>30</xdr:row>
      <xdr:rowOff>57456</xdr:rowOff>
    </xdr:from>
    <xdr:to>
      <xdr:col>16</xdr:col>
      <xdr:colOff>213932</xdr:colOff>
      <xdr:row>31</xdr:row>
      <xdr:rowOff>135336</xdr:rowOff>
    </xdr:to>
    <xdr:sp macro="" textlink="">
      <xdr:nvSpPr>
        <xdr:cNvPr id="2052" name="TextBox 2051">
          <a:extLst>
            <a:ext uri="{FF2B5EF4-FFF2-40B4-BE49-F238E27FC236}">
              <a16:creationId xmlns:a16="http://schemas.microsoft.com/office/drawing/2014/main" id="{B46C9AF9-DD17-64EF-CBD7-0E27035199C2}"/>
            </a:ext>
          </a:extLst>
        </xdr:cNvPr>
        <xdr:cNvSpPr txBox="1"/>
      </xdr:nvSpPr>
      <xdr:spPr>
        <a:xfrm>
          <a:off x="8580293" y="5720501"/>
          <a:ext cx="1435730" cy="268380"/>
        </a:xfrm>
        <a:prstGeom prst="rect">
          <a:avLst/>
        </a:prstGeom>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400" b="1"/>
            <a:t>Demand vs</a:t>
          </a:r>
          <a:r>
            <a:rPr lang="en-US" sz="1400" b="1" baseline="0"/>
            <a:t> stock</a:t>
          </a:r>
          <a:endParaRPr lang="en-US" sz="1400" b="1"/>
        </a:p>
      </xdr:txBody>
    </xdr:sp>
    <xdr:clientData/>
  </xdr:twoCellAnchor>
  <xdr:twoCellAnchor editAs="oneCell">
    <xdr:from>
      <xdr:col>11</xdr:col>
      <xdr:colOff>0</xdr:colOff>
      <xdr:row>30</xdr:row>
      <xdr:rowOff>114300</xdr:rowOff>
    </xdr:from>
    <xdr:to>
      <xdr:col>11</xdr:col>
      <xdr:colOff>439882</xdr:colOff>
      <xdr:row>32</xdr:row>
      <xdr:rowOff>173182</xdr:rowOff>
    </xdr:to>
    <xdr:sp macro="" textlink="">
      <xdr:nvSpPr>
        <xdr:cNvPr id="11" name="AutoShape 1">
          <a:extLst>
            <a:ext uri="{FF2B5EF4-FFF2-40B4-BE49-F238E27FC236}">
              <a16:creationId xmlns:a16="http://schemas.microsoft.com/office/drawing/2014/main" id="{65A45AE2-506E-46D6-BA9B-C00532BF9603}"/>
            </a:ext>
          </a:extLst>
        </xdr:cNvPr>
        <xdr:cNvSpPr>
          <a:spLocks noChangeAspect="1" noChangeArrowheads="1"/>
        </xdr:cNvSpPr>
      </xdr:nvSpPr>
      <xdr:spPr bwMode="auto">
        <a:xfrm flipV="1">
          <a:off x="6771409" y="5777345"/>
          <a:ext cx="439882" cy="43988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17</xdr:col>
      <xdr:colOff>62768</xdr:colOff>
      <xdr:row>10</xdr:row>
      <xdr:rowOff>173737</xdr:rowOff>
    </xdr:from>
    <xdr:to>
      <xdr:col>18</xdr:col>
      <xdr:colOff>249322</xdr:colOff>
      <xdr:row>14</xdr:row>
      <xdr:rowOff>108937</xdr:rowOff>
    </xdr:to>
    <xdr:pic>
      <xdr:nvPicPr>
        <xdr:cNvPr id="59" name="Picture 58" descr="Illustration Of Red Sold Stamp Design Icon Royalty Free SVG, Cliparts,  Vectors, and Stock Illustration. Image 41484293.">
          <a:extLst>
            <a:ext uri="{FF2B5EF4-FFF2-40B4-BE49-F238E27FC236}">
              <a16:creationId xmlns:a16="http://schemas.microsoft.com/office/drawing/2014/main" id="{21EBCF87-CF0F-4BB1-85AF-FC4D23417B67}"/>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0470995" y="1957510"/>
          <a:ext cx="792691" cy="69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4745</xdr:colOff>
      <xdr:row>10</xdr:row>
      <xdr:rowOff>155533</xdr:rowOff>
    </xdr:from>
    <xdr:to>
      <xdr:col>11</xdr:col>
      <xdr:colOff>17318</xdr:colOff>
      <xdr:row>14</xdr:row>
      <xdr:rowOff>9894</xdr:rowOff>
    </xdr:to>
    <xdr:pic>
      <xdr:nvPicPr>
        <xdr:cNvPr id="60" name="Picture 59" descr="In Progress color icon in PNG, SVG">
          <a:extLst>
            <a:ext uri="{FF2B5EF4-FFF2-40B4-BE49-F238E27FC236}">
              <a16:creationId xmlns:a16="http://schemas.microsoft.com/office/drawing/2014/main" id="{539550F0-6BAD-4D9C-B5F5-FFF99BEF34E4}"/>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6170018" y="1939306"/>
          <a:ext cx="618709" cy="6163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0</xdr:col>
      <xdr:colOff>103911</xdr:colOff>
      <xdr:row>29</xdr:row>
      <xdr:rowOff>98613</xdr:rowOff>
    </xdr:from>
    <xdr:to>
      <xdr:col>3</xdr:col>
      <xdr:colOff>618565</xdr:colOff>
      <xdr:row>41</xdr:row>
      <xdr:rowOff>121230</xdr:rowOff>
    </xdr:to>
    <mc:AlternateContent xmlns:mc="http://schemas.openxmlformats.org/markup-compatibility/2006" xmlns:sle15="http://schemas.microsoft.com/office/drawing/2012/slicer">
      <mc:Choice Requires="sle15">
        <xdr:graphicFrame macro="">
          <xdr:nvGraphicFramePr>
            <xdr:cNvPr id="66" name="state">
              <a:extLst>
                <a:ext uri="{FF2B5EF4-FFF2-40B4-BE49-F238E27FC236}">
                  <a16:creationId xmlns:a16="http://schemas.microsoft.com/office/drawing/2014/main" id="{0DBAF8EF-C921-448A-9E3D-10427375EE43}"/>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03911" y="5677890"/>
              <a:ext cx="2284763" cy="219941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19</xdr:col>
      <xdr:colOff>1</xdr:colOff>
      <xdr:row>16</xdr:row>
      <xdr:rowOff>17319</xdr:rowOff>
    </xdr:from>
    <xdr:to>
      <xdr:col>26</xdr:col>
      <xdr:colOff>107576</xdr:colOff>
      <xdr:row>29</xdr:row>
      <xdr:rowOff>26894</xdr:rowOff>
    </xdr:to>
    <mc:AlternateContent xmlns:mc="http://schemas.openxmlformats.org/markup-compatibility/2006">
      <mc:Choice xmlns:cx4="http://schemas.microsoft.com/office/drawing/2016/5/10/chartex" Requires="cx4">
        <xdr:graphicFrame macro="">
          <xdr:nvGraphicFramePr>
            <xdr:cNvPr id="67" name="Chart 66">
              <a:extLst>
                <a:ext uri="{FF2B5EF4-FFF2-40B4-BE49-F238E27FC236}">
                  <a16:creationId xmlns:a16="http://schemas.microsoft.com/office/drawing/2014/main" id="{866228AA-6B3A-439E-82EE-3D8B36086C3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2001501" y="2912919"/>
              <a:ext cx="4481455" cy="238701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0.33419</cdr:x>
      <cdr:y>0</cdr:y>
    </cdr:from>
    <cdr:to>
      <cdr:x>0.72313</cdr:x>
      <cdr:y>0.1572</cdr:y>
    </cdr:to>
    <cdr:sp macro="" textlink="">
      <cdr:nvSpPr>
        <cdr:cNvPr id="2" name="TextBox 1">
          <a:extLst xmlns:a="http://schemas.openxmlformats.org/drawingml/2006/main">
            <a:ext uri="{FF2B5EF4-FFF2-40B4-BE49-F238E27FC236}">
              <a16:creationId xmlns:a16="http://schemas.microsoft.com/office/drawing/2014/main" id="{D575681E-A083-4B04-B5FD-ED2EF7647A91}"/>
            </a:ext>
          </a:extLst>
        </cdr:cNvPr>
        <cdr:cNvSpPr txBox="1"/>
      </cdr:nvSpPr>
      <cdr:spPr>
        <a:xfrm xmlns:a="http://schemas.openxmlformats.org/drawingml/2006/main">
          <a:off x="1428299" y="0"/>
          <a:ext cx="1662285" cy="322729"/>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400" b="1"/>
            <a:t>Best 5 Products</a:t>
          </a:r>
        </a:p>
      </cdr:txBody>
    </cdr:sp>
  </cdr:relSizeAnchor>
  <cdr:relSizeAnchor xmlns:cdr="http://schemas.openxmlformats.org/drawingml/2006/chartDrawing">
    <cdr:from>
      <cdr:x>0.2438</cdr:x>
      <cdr:y>0.00457</cdr:y>
    </cdr:from>
    <cdr:to>
      <cdr:x>0.90496</cdr:x>
      <cdr:y>0.20526</cdr:y>
    </cdr:to>
    <cdr:sp macro="" textlink="">
      <cdr:nvSpPr>
        <cdr:cNvPr id="3" name="TextBox 2">
          <a:extLst xmlns:a="http://schemas.openxmlformats.org/drawingml/2006/main">
            <a:ext uri="{FF2B5EF4-FFF2-40B4-BE49-F238E27FC236}">
              <a16:creationId xmlns:a16="http://schemas.microsoft.com/office/drawing/2014/main" id="{C401BA08-7484-410C-8D5D-B00E80BF2B58}"/>
            </a:ext>
          </a:extLst>
        </cdr:cNvPr>
        <cdr:cNvSpPr txBox="1"/>
      </cdr:nvSpPr>
      <cdr:spPr>
        <a:xfrm xmlns:a="http://schemas.openxmlformats.org/drawingml/2006/main">
          <a:off x="1044988" y="10566"/>
          <a:ext cx="2833897" cy="4641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0.18636</cdr:x>
      <cdr:y>0.01633</cdr:y>
    </cdr:from>
    <cdr:to>
      <cdr:x>0.70289</cdr:x>
      <cdr:y>0.16341</cdr:y>
    </cdr:to>
    <cdr:sp macro="" textlink="">
      <cdr:nvSpPr>
        <cdr:cNvPr id="4" name="TextBox 3">
          <a:extLst xmlns:a="http://schemas.openxmlformats.org/drawingml/2006/main">
            <a:ext uri="{FF2B5EF4-FFF2-40B4-BE49-F238E27FC236}">
              <a16:creationId xmlns:a16="http://schemas.microsoft.com/office/drawing/2014/main" id="{F5916F62-BDB1-4846-943F-2B8C30FB2528}"/>
            </a:ext>
          </a:extLst>
        </cdr:cNvPr>
        <cdr:cNvSpPr txBox="1"/>
      </cdr:nvSpPr>
      <cdr:spPr>
        <a:xfrm xmlns:a="http://schemas.openxmlformats.org/drawingml/2006/main">
          <a:off x="798780" y="37779"/>
          <a:ext cx="2213977" cy="34017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0.21098</cdr:x>
      <cdr:y>0.0281</cdr:y>
    </cdr:from>
    <cdr:to>
      <cdr:x>0.81405</cdr:x>
      <cdr:y>0.18421</cdr:y>
    </cdr:to>
    <cdr:sp macro="" textlink="">
      <cdr:nvSpPr>
        <cdr:cNvPr id="5" name="TextBox 4">
          <a:extLst xmlns:a="http://schemas.openxmlformats.org/drawingml/2006/main">
            <a:ext uri="{FF2B5EF4-FFF2-40B4-BE49-F238E27FC236}">
              <a16:creationId xmlns:a16="http://schemas.microsoft.com/office/drawing/2014/main" id="{BF89BD22-76B8-4B51-B6F6-B28C635E9167}"/>
            </a:ext>
          </a:extLst>
        </cdr:cNvPr>
        <cdr:cNvSpPr txBox="1"/>
      </cdr:nvSpPr>
      <cdr:spPr>
        <a:xfrm xmlns:a="http://schemas.openxmlformats.org/drawingml/2006/main">
          <a:off x="904314" y="64993"/>
          <a:ext cx="2584907" cy="36106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23.102958449075" createdVersion="7" refreshedVersion="7" minRefreshableVersion="3" recordCount="1200" xr:uid="{E4129A9D-7FFB-47FF-BEAE-7DBEA3502627}">
  <cacheSource type="worksheet">
    <worksheetSource ref="A5:O1205" sheet="Organic_Data"/>
  </cacheSource>
  <cacheFields count="15">
    <cacheField name="Year" numFmtId="0">
      <sharedItems containsSemiMixedTypes="0" containsString="0" containsNumber="1" containsInteger="1" minValue="2023" maxValue="2025" count="3">
        <n v="2024"/>
        <n v="2025"/>
        <n v="2023"/>
      </sharedItems>
    </cacheField>
    <cacheField name="Month" numFmtId="0">
      <sharedItems count="12">
        <s v="Jan"/>
        <s v="Jul"/>
        <s v="Jun"/>
        <s v="Sep"/>
        <s v="Mar"/>
        <s v="Oct"/>
        <s v="Aug"/>
        <s v="May"/>
        <s v="Nov"/>
        <s v="Apr"/>
        <s v="Feb"/>
        <s v="Dec"/>
      </sharedItems>
    </cacheField>
    <cacheField name="Category" numFmtId="0">
      <sharedItems count="5">
        <s v="Organic Spices"/>
        <s v="Organic Grocery"/>
        <s v="Organic Oils"/>
        <s v="Organic Dairy"/>
        <s v="Organic Superfoods"/>
      </sharedItems>
    </cacheField>
    <cacheField name="Product Name" numFmtId="0">
      <sharedItems count="17">
        <s v="Turmeric Powder"/>
        <s v="Dals"/>
        <s v="Coconut Oil"/>
        <s v="Red Chilli Powder"/>
        <s v="Paneer"/>
        <s v="Ashwagandha"/>
        <s v="Amla Powder"/>
        <s v="Chia Seeds"/>
        <s v="Ghee"/>
        <s v="Curd"/>
        <s v="Sunflower Oil"/>
        <s v="Pulses"/>
        <s v="Milk"/>
        <s v="Wheat Flour"/>
        <s v="Black Pepper"/>
        <s v="Groundnut Oil"/>
        <s v="Rice"/>
      </sharedItems>
    </cacheField>
    <cacheField name="Units Sold" numFmtId="0">
      <sharedItems containsSemiMixedTypes="0" containsString="0" containsNumber="1" containsInteger="1" minValue="50" maxValue="500" count="421">
        <n v="51"/>
        <n v="370"/>
        <n v="82"/>
        <n v="467"/>
        <n v="404"/>
        <n v="62"/>
        <n v="142"/>
        <n v="377"/>
        <n v="171"/>
        <n v="214"/>
        <n v="72"/>
        <n v="157"/>
        <n v="116"/>
        <n v="316"/>
        <n v="421"/>
        <n v="334"/>
        <n v="100"/>
        <n v="234"/>
        <n v="373"/>
        <n v="79"/>
        <n v="195"/>
        <n v="131"/>
        <n v="137"/>
        <n v="315"/>
        <n v="175"/>
        <n v="364"/>
        <n v="295"/>
        <n v="235"/>
        <n v="407"/>
        <n v="312"/>
        <n v="500"/>
        <n v="218"/>
        <n v="456"/>
        <n v="130"/>
        <n v="204"/>
        <n v="270"/>
        <n v="289"/>
        <n v="252"/>
        <n v="123"/>
        <n v="262"/>
        <n v="381"/>
        <n v="81"/>
        <n v="249"/>
        <n v="436"/>
        <n v="216"/>
        <n v="303"/>
        <n v="74"/>
        <n v="88"/>
        <n v="288"/>
        <n v="183"/>
        <n v="242"/>
        <n v="398"/>
        <n v="180"/>
        <n v="228"/>
        <n v="359"/>
        <n v="239"/>
        <n v="361"/>
        <n v="193"/>
        <n v="277"/>
        <n v="52"/>
        <n v="422"/>
        <n v="488"/>
        <n v="363"/>
        <n v="320"/>
        <n v="181"/>
        <n v="391"/>
        <n v="244"/>
        <n v="455"/>
        <n v="189"/>
        <n v="50"/>
        <n v="380"/>
        <n v="126"/>
        <n v="411"/>
        <n v="323"/>
        <n v="132"/>
        <n v="201"/>
        <n v="232"/>
        <n v="91"/>
        <n v="327"/>
        <n v="328"/>
        <n v="341"/>
        <n v="471"/>
        <n v="482"/>
        <n v="459"/>
        <n v="184"/>
        <n v="173"/>
        <n v="418"/>
        <n v="485"/>
        <n v="135"/>
        <n v="410"/>
        <n v="345"/>
        <n v="416"/>
        <n v="200"/>
        <n v="367"/>
        <n v="438"/>
        <n v="162"/>
        <n v="450"/>
        <n v="290"/>
        <n v="211"/>
        <n v="109"/>
        <n v="281"/>
        <n v="287"/>
        <n v="460"/>
        <n v="313"/>
        <n v="89"/>
        <n v="405"/>
        <n v="207"/>
        <n v="258"/>
        <n v="453"/>
        <n v="236"/>
        <n v="337"/>
        <n v="490"/>
        <n v="185"/>
        <n v="261"/>
        <n v="326"/>
        <n v="477"/>
        <n v="393"/>
        <n v="481"/>
        <n v="296"/>
        <n v="263"/>
        <n v="496"/>
        <n v="408"/>
        <n v="479"/>
        <n v="321"/>
        <n v="63"/>
        <n v="64"/>
        <n v="271"/>
        <n v="483"/>
        <n v="360"/>
        <n v="177"/>
        <n v="419"/>
        <n v="282"/>
        <n v="186"/>
        <n v="308"/>
        <n v="256"/>
        <n v="445"/>
        <n v="95"/>
        <n v="169"/>
        <n v="379"/>
        <n v="352"/>
        <n v="469"/>
        <n v="197"/>
        <n v="53"/>
        <n v="322"/>
        <n v="401"/>
        <n v="493"/>
        <n v="435"/>
        <n v="202"/>
        <n v="355"/>
        <n v="128"/>
        <n v="396"/>
        <n v="403"/>
        <n v="304"/>
        <n v="148"/>
        <n v="432"/>
        <n v="388"/>
        <n v="478"/>
        <n v="415"/>
        <n v="164"/>
        <n v="395"/>
        <n v="73"/>
        <n v="280"/>
        <n v="279"/>
        <n v="97"/>
        <n v="476"/>
        <n v="331"/>
        <n v="442"/>
        <n v="475"/>
        <n v="93"/>
        <n v="230"/>
        <n v="272"/>
        <n v="160"/>
        <n v="104"/>
        <n v="133"/>
        <n v="372"/>
        <n v="440"/>
        <n v="324"/>
        <n v="343"/>
        <n v="199"/>
        <n v="120"/>
        <n v="178"/>
        <n v="300"/>
        <n v="366"/>
        <n v="179"/>
        <n v="229"/>
        <n v="350"/>
        <n v="129"/>
        <n v="278"/>
        <n v="161"/>
        <n v="219"/>
        <n v="291"/>
        <n v="87"/>
        <n v="192"/>
        <n v="213"/>
        <n v="67"/>
        <n v="338"/>
        <n v="85"/>
        <n v="392"/>
        <n v="153"/>
        <n v="286"/>
        <n v="247"/>
        <n v="492"/>
        <n v="402"/>
        <n v="191"/>
        <n v="167"/>
        <n v="465"/>
        <n v="348"/>
        <n v="357"/>
        <n v="319"/>
        <n v="233"/>
        <n v="362"/>
        <n v="166"/>
        <n v="425"/>
        <n v="238"/>
        <n v="159"/>
        <n v="61"/>
        <n v="499"/>
        <n v="389"/>
        <n v="446"/>
        <n v="285"/>
        <n v="430"/>
        <n v="368"/>
        <n v="122"/>
        <n v="397"/>
        <n v="266"/>
        <n v="346"/>
        <n v="147"/>
        <n v="470"/>
        <n v="378"/>
        <n v="139"/>
        <n v="325"/>
        <n v="118"/>
        <n v="212"/>
        <n v="245"/>
        <n v="112"/>
        <n v="144"/>
        <n v="431"/>
        <n v="273"/>
        <n v="336"/>
        <n v="99"/>
        <n v="264"/>
        <n v="155"/>
        <n v="371"/>
        <n v="78"/>
        <n v="330"/>
        <n v="284"/>
        <n v="146"/>
        <n v="206"/>
        <n v="439"/>
        <n v="399"/>
        <n v="269"/>
        <n v="384"/>
        <n v="351"/>
        <n v="208"/>
        <n v="299"/>
        <n v="394"/>
        <n v="333"/>
        <n v="374"/>
        <n v="196"/>
        <n v="302"/>
        <n v="347"/>
        <n v="225"/>
        <n v="101"/>
        <n v="156"/>
        <n v="163"/>
        <n v="434"/>
        <n v="125"/>
        <n v="121"/>
        <n v="57"/>
        <n v="414"/>
        <n v="250"/>
        <n v="143"/>
        <n v="71"/>
        <n v="311"/>
        <n v="309"/>
        <n v="365"/>
        <n v="240"/>
        <n v="426"/>
        <n v="138"/>
        <n v="227"/>
        <n v="301"/>
        <n v="86"/>
        <n v="376"/>
        <n v="317"/>
        <n v="84"/>
        <n v="472"/>
        <n v="94"/>
        <n v="83"/>
        <n v="140"/>
        <n v="149"/>
        <n v="463"/>
        <n v="209"/>
        <n v="253"/>
        <n v="424"/>
        <n v="55"/>
        <n v="464"/>
        <n v="447"/>
        <n v="190"/>
        <n v="385"/>
        <n v="498"/>
        <n v="108"/>
        <n v="491"/>
        <n v="77"/>
        <n v="349"/>
        <n v="226"/>
        <n v="241"/>
        <n v="358"/>
        <n v="115"/>
        <n v="454"/>
        <n v="353"/>
        <n v="314"/>
        <n v="150"/>
        <n v="495"/>
        <n v="267"/>
        <n v="329"/>
        <n v="124"/>
        <n v="449"/>
        <n v="80"/>
        <n v="413"/>
        <n v="444"/>
        <n v="433"/>
        <n v="255"/>
        <n v="70"/>
        <n v="497"/>
        <n v="420"/>
        <n v="494"/>
        <n v="221"/>
        <n v="254"/>
        <n v="259"/>
        <n v="188"/>
        <n v="58"/>
        <n v="468"/>
        <n v="243"/>
        <n v="231"/>
        <n v="170"/>
        <n v="260"/>
        <n v="276"/>
        <n v="387"/>
        <n v="451"/>
        <n v="154"/>
        <n v="92"/>
        <n v="441"/>
        <n v="246"/>
        <n v="194"/>
        <n v="168"/>
        <n v="474"/>
        <n v="369"/>
        <n v="172"/>
        <n v="141"/>
        <n v="452"/>
        <n v="429"/>
        <n v="248"/>
        <n v="297"/>
        <n v="428"/>
        <n v="257"/>
        <n v="427"/>
        <n v="152"/>
        <n v="182"/>
        <n v="356"/>
        <n v="354"/>
        <n v="210"/>
        <n v="406"/>
        <n v="268"/>
        <n v="127"/>
        <n v="165"/>
        <n v="423"/>
        <n v="458"/>
        <n v="274"/>
        <n v="344"/>
        <n v="158"/>
        <n v="56"/>
        <n v="448"/>
        <n v="76"/>
        <n v="217"/>
        <n v="203"/>
        <n v="461"/>
        <n v="224"/>
        <n v="457"/>
        <n v="332"/>
        <n v="103"/>
        <n v="96"/>
        <n v="222"/>
        <n v="220"/>
        <n v="198"/>
        <n v="390"/>
        <n v="310"/>
        <n v="151"/>
        <n v="339"/>
        <n v="102"/>
        <n v="275"/>
        <n v="283"/>
        <n v="98"/>
        <n v="65"/>
        <n v="134"/>
        <n v="107"/>
        <n v="294"/>
        <n v="90"/>
        <n v="59"/>
        <n v="265"/>
        <n v="443"/>
        <n v="335"/>
        <n v="375"/>
        <n v="306"/>
        <n v="480"/>
        <n v="136"/>
        <n v="119"/>
        <n v="437"/>
        <n v="111"/>
        <n v="251"/>
        <n v="466"/>
        <n v="386"/>
        <n v="205"/>
        <n v="145"/>
        <n v="117"/>
        <n v="60"/>
        <n v="340"/>
        <n v="187"/>
        <n v="292"/>
        <n v="473"/>
        <n v="417"/>
        <n v="484"/>
      </sharedItems>
    </cacheField>
    <cacheField name="Selling Price" numFmtId="0">
      <sharedItems containsSemiMixedTypes="0" containsString="0" containsNumber="1" containsInteger="1" minValue="50" maxValue="500"/>
    </cacheField>
    <cacheField name="Cost Price" numFmtId="0">
      <sharedItems containsSemiMixedTypes="0" containsString="0" containsNumber="1" containsInteger="1" minValue="30" maxValue="484"/>
    </cacheField>
    <cacheField name="Revenue" numFmtId="0">
      <sharedItems containsSemiMixedTypes="0" containsString="0" containsNumber="1" minValue="2.65" maxValue="244.03" count="1137">
        <n v="15.35"/>
        <n v="79.92"/>
        <n v="36.979999999999997"/>
        <n v="77.06"/>
        <n v="65.040000000000006"/>
        <n v="10.17"/>
        <n v="49.98"/>
        <n v="158.72"/>
        <n v="52.67"/>
        <n v="77.040000000000006"/>
        <n v="29.95"/>
        <n v="50.71"/>
        <n v="44.54"/>
        <n v="106.81"/>
        <n v="147.77000000000001"/>
        <n v="42.08"/>
        <n v="32.4"/>
        <n v="57.65"/>
        <n v="57.8"/>
        <n v="166.73"/>
        <n v="25.83"/>
        <n v="35.49"/>
        <n v="63.67"/>
        <n v="12.06"/>
        <n v="31.82"/>
        <n v="64.400000000000006"/>
        <n v="180.54"/>
        <n v="94.48"/>
        <n v="91.45"/>
        <n v="80.61"/>
        <n v="126.17"/>
        <n v="148.51"/>
        <n v="214.5"/>
        <n v="95.05"/>
        <n v="75.27"/>
        <n v="183.77"/>
        <n v="58.37"/>
        <n v="17.14"/>
        <n v="18.899999999999999"/>
        <n v="19.36"/>
        <n v="41.33"/>
        <n v="13.65"/>
        <n v="100.61"/>
        <n v="60.96"/>
        <n v="32.159999999999997"/>
        <n v="52.29"/>
        <n v="65.760000000000005"/>
        <n v="138.74"/>
        <n v="178.76"/>
        <n v="23.98"/>
        <n v="59.99"/>
        <n v="8.36"/>
        <n v="31.24"/>
        <n v="27.94"/>
        <n v="134.81"/>
        <n v="23.61"/>
        <n v="87.84"/>
        <n v="95.11"/>
        <n v="32.64"/>
        <n v="22.32"/>
        <n v="25.76"/>
        <n v="167.65"/>
        <n v="112.81"/>
        <n v="51.62"/>
        <n v="46.92"/>
        <n v="34.74"/>
        <n v="121.88"/>
        <n v="3.48"/>
        <n v="181.88"/>
        <n v="28.79"/>
        <n v="36.659999999999997"/>
        <n v="67.84"/>
        <n v="70.77"/>
        <n v="122.77"/>
        <n v="26.6"/>
        <n v="132.41"/>
        <n v="31.37"/>
        <n v="7.45"/>
        <n v="169.86"/>
        <n v="41.2"/>
        <n v="27.36"/>
        <n v="97.82"/>
        <n v="36.5"/>
        <n v="64.92"/>
        <n v="60.32"/>
        <n v="29.35"/>
        <n v="19.489999999999998"/>
        <n v="26.12"/>
        <n v="24.62"/>
        <n v="21.79"/>
        <n v="29.43"/>
        <n v="30.18"/>
        <n v="39.22"/>
        <n v="87.61"/>
        <n v="81.459999999999994"/>
        <n v="43.6"/>
        <n v="55.02"/>
        <n v="53.63"/>
        <n v="57.62"/>
        <n v="16.23"/>
        <n v="26.66"/>
        <n v="105.75"/>
        <n v="131.4"/>
        <n v="184.78"/>
        <n v="146.88999999999999"/>
        <n v="53.33"/>
        <n v="52.48"/>
        <n v="131.1"/>
        <n v="97.66"/>
        <n v="97.48"/>
        <n v="84.03"/>
        <n v="14.6"/>
        <n v="35.229999999999997"/>
        <n v="71.83"/>
        <n v="69.16"/>
        <n v="10.85"/>
        <n v="156.6"/>
        <n v="136.30000000000001"/>
        <n v="73.849999999999994"/>
        <n v="12.64"/>
        <n v="154"/>
        <n v="18.55"/>
        <n v="139.09"/>
        <n v="37.31"/>
        <n v="35.880000000000003"/>
        <n v="28.06"/>
        <n v="25.35"/>
        <n v="19.760000000000002"/>
        <n v="214.72"/>
        <n v="159.57"/>
        <n v="48.55"/>
        <n v="46.37"/>
        <n v="62.44"/>
        <n v="189.35"/>
        <n v="47.23"/>
        <n v="16.760000000000002"/>
        <n v="99.29"/>
        <n v="79.19"/>
        <n v="183.75"/>
        <n v="28.68"/>
        <n v="25.06"/>
        <n v="136.27000000000001"/>
        <n v="188.89"/>
        <n v="39.299999999999997"/>
        <n v="146.71"/>
        <n v="123.43"/>
        <n v="65.75"/>
        <n v="71.42"/>
        <n v="58.75"/>
        <n v="237.1"/>
        <n v="36.270000000000003"/>
        <n v="19.84"/>
        <n v="16.38"/>
        <n v="62.06"/>
        <n v="63.49"/>
        <n v="159.87"/>
        <n v="12.96"/>
        <n v="30.6"/>
        <n v="48.6"/>
        <n v="64.17"/>
        <n v="34.159999999999997"/>
        <n v="188.13"/>
        <n v="74.17"/>
        <n v="48.92"/>
        <n v="66.150000000000006"/>
        <n v="38.5"/>
        <n v="121.35"/>
        <n v="68.099999999999994"/>
        <n v="18.09"/>
        <n v="93.89"/>
        <n v="24.77"/>
        <n v="92.11"/>
        <n v="17.77"/>
        <n v="70.81"/>
        <n v="153.87"/>
        <n v="29.72"/>
        <n v="119.33"/>
        <n v="111.15"/>
        <n v="30.8"/>
        <n v="28.17"/>
        <n v="17.010000000000002"/>
        <n v="25.42"/>
        <n v="124.94"/>
        <n v="152.78"/>
        <n v="226.78"/>
        <n v="46.72"/>
        <n v="161.82"/>
        <n v="96.76"/>
        <n v="17.75"/>
        <n v="41.86"/>
        <n v="122.4"/>
        <n v="123.95"/>
        <n v="52.79"/>
        <n v="18.850000000000001"/>
        <n v="9.4700000000000006"/>
        <n v="88.56"/>
        <n v="135.41"/>
        <n v="83.52"/>
        <n v="26.71"/>
        <n v="224.18"/>
        <n v="46.9"/>
        <n v="22.14"/>
        <n v="65.17"/>
        <n v="34.97"/>
        <n v="113.12"/>
        <n v="135.59"/>
        <n v="33.76"/>
        <n v="218.01"/>
        <n v="54.28"/>
        <n v="5.3"/>
        <n v="85.31"/>
        <n v="47.74"/>
        <n v="38"/>
        <n v="23.37"/>
        <n v="24.37"/>
        <n v="29.44"/>
        <n v="43.25"/>
        <n v="49.76"/>
        <n v="32.11"/>
        <n v="47.63"/>
        <n v="99.26"/>
        <n v="48.84"/>
        <n v="57.32"/>
        <n v="89.76"/>
        <n v="100.35"/>
        <n v="63.11"/>
        <n v="66.739999999999995"/>
        <n v="68.36"/>
        <n v="69.63"/>
        <n v="37.39"/>
        <n v="61.89"/>
        <n v="49.32"/>
        <n v="83.66"/>
        <n v="46.2"/>
        <n v="111.26"/>
        <n v="88.43"/>
        <n v="74.42"/>
        <n v="122.98"/>
        <n v="112.35"/>
        <n v="40.76"/>
        <n v="75.34"/>
        <n v="66.33"/>
        <n v="80.37"/>
        <n v="45.77"/>
        <n v="23.49"/>
        <n v="66.78"/>
        <n v="157.62"/>
        <n v="94.85"/>
        <n v="42.6"/>
        <n v="129.44999999999999"/>
        <n v="178.93"/>
        <n v="21.34"/>
        <n v="27.44"/>
        <n v="28.46"/>
        <n v="100.39"/>
        <n v="108.43"/>
        <n v="150.06"/>
        <n v="14.45"/>
        <n v="186.53"/>
        <n v="34.57"/>
        <n v="35.07"/>
        <n v="66.06"/>
        <n v="69.77"/>
        <n v="36.729999999999997"/>
        <n v="37.799999999999997"/>
        <n v="147.9"/>
        <n v="181.64"/>
        <n v="130.31"/>
        <n v="159.84"/>
        <n v="17.48"/>
        <n v="163.26"/>
        <n v="9.9600000000000009"/>
        <n v="165.75"/>
        <n v="44.93"/>
        <n v="98.67"/>
        <n v="78.540000000000006"/>
        <n v="36.9"/>
        <n v="28.78"/>
        <n v="128.78"/>
        <n v="166.67"/>
        <n v="31.11"/>
        <n v="67.69"/>
        <n v="140.04"/>
        <n v="119.3"/>
        <n v="58.8"/>
        <n v="73.97"/>
        <n v="17.100000000000001"/>
        <n v="24.28"/>
        <n v="92.45"/>
        <n v="180.32"/>
        <n v="31.72"/>
        <n v="55.98"/>
        <n v="63.84"/>
        <n v="55.38"/>
        <n v="47.67"/>
        <n v="228.36"/>
        <n v="45.9"/>
        <n v="76.36"/>
        <n v="58.13"/>
        <n v="28.08"/>
        <n v="52.17"/>
        <n v="108.86"/>
        <n v="32.25"/>
        <n v="84.25"/>
        <n v="49.82"/>
        <n v="87.75"/>
        <n v="21.9"/>
        <n v="172.22"/>
        <n v="30.92"/>
        <n v="100.94"/>
        <n v="79.69"/>
        <n v="137.76"/>
        <n v="129.96"/>
        <n v="13.66"/>
        <n v="8.06"/>
        <n v="46.98"/>
        <n v="86.54"/>
        <n v="92.96"/>
        <n v="13.2"/>
        <n v="64.510000000000005"/>
        <n v="49.4"/>
        <n v="48.05"/>
        <n v="14.88"/>
        <n v="47.5"/>
        <n v="92.3"/>
        <n v="29.87"/>
        <n v="181.79"/>
        <n v="203.28"/>
        <n v="9.74"/>
        <n v="123.42"/>
        <n v="103.62"/>
        <n v="146.72999999999999"/>
        <n v="32.619999999999997"/>
        <n v="34.69"/>
        <n v="45.83"/>
        <n v="20.45"/>
        <n v="45.41"/>
        <n v="41.08"/>
        <n v="51.29"/>
        <n v="22.92"/>
        <n v="72.31"/>
        <n v="32.92"/>
        <n v="58.65"/>
        <n v="3.72"/>
        <n v="123.31"/>
        <n v="51.65"/>
        <n v="124.2"/>
        <n v="36.74"/>
        <n v="60.29"/>
        <n v="203.86"/>
        <n v="51.25"/>
        <n v="166.66"/>
        <n v="93.81"/>
        <n v="74.89"/>
        <n v="116.2"/>
        <n v="43.28"/>
        <n v="90.04"/>
        <n v="25.93"/>
        <n v="49.61"/>
        <n v="96.28"/>
        <n v="22.8"/>
        <n v="78.66"/>
        <n v="82.18"/>
        <n v="105.3"/>
        <n v="45.98"/>
        <n v="106.68"/>
        <n v="74.239999999999995"/>
        <n v="154.82"/>
        <n v="110.93"/>
        <n v="25.6"/>
        <n v="174.15"/>
        <n v="124.54"/>
        <n v="4.46"/>
        <n v="79.209999999999994"/>
        <n v="149.97"/>
        <n v="66.05"/>
        <n v="82.75"/>
        <n v="34.61"/>
        <n v="21.72"/>
        <n v="68.45"/>
        <n v="9.18"/>
        <n v="83.28"/>
        <n v="42.3"/>
        <n v="39.39"/>
        <n v="64.58"/>
        <n v="22.23"/>
        <n v="59.44"/>
        <n v="30.89"/>
        <n v="132.6"/>
        <n v="20.38"/>
        <n v="48.4"/>
        <n v="37.82"/>
        <n v="25.28"/>
        <n v="14.54"/>
        <n v="35.909999999999997"/>
        <n v="87.23"/>
        <n v="49.5"/>
        <n v="24.68"/>
        <n v="9.35"/>
        <n v="32.29"/>
        <n v="30"/>
        <n v="122.84"/>
        <n v="35.75"/>
        <n v="110.88"/>
        <n v="27.77"/>
        <n v="100.8"/>
        <n v="32.71"/>
        <n v="155.43"/>
        <n v="99.88"/>
        <n v="27.67"/>
        <n v="14.06"/>
        <n v="18.64"/>
        <n v="55.06"/>
        <n v="24.19"/>
        <n v="97.78"/>
        <n v="147.4"/>
        <n v="33.590000000000003"/>
        <n v="9.65"/>
        <n v="78.5"/>
        <n v="120.65"/>
        <n v="108.15"/>
        <n v="38.22"/>
        <n v="55.25"/>
        <n v="65.33"/>
        <n v="63.6"/>
        <n v="168.7"/>
        <n v="83.45"/>
        <n v="102.34"/>
        <n v="50.06"/>
        <n v="124.95"/>
        <n v="41.4"/>
        <n v="73.69"/>
        <n v="104.88"/>
        <n v="36.85"/>
        <n v="91.25"/>
        <n v="106.48"/>
        <n v="55.57"/>
        <n v="60.13"/>
        <n v="139.59"/>
        <n v="172.39"/>
        <n v="67.12"/>
        <n v="16.170000000000002"/>
        <n v="72.180000000000007"/>
        <n v="22.59"/>
        <n v="57.57"/>
        <n v="15.88"/>
        <n v="106"/>
        <n v="18.36"/>
        <n v="99.8"/>
        <n v="64.3"/>
        <n v="52.95"/>
        <n v="80.290000000000006"/>
        <n v="155.01"/>
        <n v="33.43"/>
        <n v="185.5"/>
        <n v="95.47"/>
        <n v="27.66"/>
        <n v="154.84"/>
        <n v="46.06"/>
        <n v="57.83"/>
        <n v="32.369999999999997"/>
        <n v="87.7"/>
        <n v="24.22"/>
        <n v="138.78"/>
        <n v="128.74"/>
        <n v="47.33"/>
        <n v="27.3"/>
        <n v="62.88"/>
        <n v="110.63"/>
        <n v="163.62"/>
        <n v="37.659999999999997"/>
        <n v="31.03"/>
        <n v="165.17"/>
        <n v="41.7"/>
        <n v="155.57"/>
        <n v="94.47"/>
        <n v="54.9"/>
        <n v="61.25"/>
        <n v="24.82"/>
        <n v="94.35"/>
        <n v="170.33"/>
        <n v="32.76"/>
        <n v="198.86"/>
        <n v="26.02"/>
        <n v="81.66"/>
        <n v="42.14"/>
        <n v="16.46"/>
        <n v="84.93"/>
        <n v="59.09"/>
        <n v="10.5"/>
        <n v="74.27"/>
        <n v="105.61"/>
        <n v="39.99"/>
        <n v="74.52"/>
        <n v="104.58"/>
        <n v="29.96"/>
        <n v="76.099999999999994"/>
        <n v="28.22"/>
        <n v="12.53"/>
        <n v="41.26"/>
        <n v="81.93"/>
        <n v="37.81"/>
        <n v="108.39"/>
        <n v="7.47"/>
        <n v="76.45"/>
        <n v="64.91"/>
        <n v="161.88"/>
        <n v="66.430000000000007"/>
        <n v="46.88"/>
        <n v="35.58"/>
        <n v="83.85"/>
        <n v="80.52"/>
        <n v="31.55"/>
        <n v="159.74"/>
        <n v="83.46"/>
        <n v="92.66"/>
        <n v="48.33"/>
        <n v="181.34"/>
        <n v="46.42"/>
        <n v="104.59"/>
        <n v="36.869999999999997"/>
        <n v="11.85"/>
        <n v="44.85"/>
        <n v="33.6"/>
        <n v="35.299999999999997"/>
        <n v="51.48"/>
        <n v="65.92"/>
        <n v="23.88"/>
        <n v="136.26"/>
        <n v="64.45"/>
        <n v="159"/>
        <n v="96.32"/>
        <n v="118.1"/>
        <n v="97.65"/>
        <n v="119.01"/>
        <n v="32.72"/>
        <n v="9.75"/>
        <n v="39.24"/>
        <n v="28.98"/>
        <n v="152.96"/>
        <n v="77.87"/>
        <n v="132.43"/>
        <n v="154.96"/>
        <n v="127.91"/>
        <n v="31.12"/>
        <n v="175.3"/>
        <n v="145.93"/>
        <n v="37.36"/>
        <n v="201.54"/>
        <n v="161.38"/>
        <n v="31.48"/>
        <n v="34.03"/>
        <n v="174"/>
        <n v="18.18"/>
        <n v="56.25"/>
        <n v="138.43"/>
        <n v="10.91"/>
        <n v="108.36"/>
        <n v="104.49"/>
        <n v="159.4"/>
        <n v="172.33"/>
        <n v="43.34"/>
        <n v="23.2"/>
        <n v="149.57"/>
        <n v="7.56"/>
        <n v="244.03"/>
        <n v="121.58"/>
        <n v="38.64"/>
        <n v="45.69"/>
        <n v="28.16"/>
        <n v="27.84"/>
        <n v="71.06"/>
        <n v="127.94"/>
        <n v="63.21"/>
        <n v="15.37"/>
        <n v="192.85"/>
        <n v="64.959999999999994"/>
        <n v="56.59"/>
        <n v="22.94"/>
        <n v="5.2"/>
        <n v="43.98"/>
        <n v="96.53"/>
        <n v="47.24"/>
        <n v="37.99"/>
        <n v="63.41"/>
        <n v="102.87"/>
        <n v="105.27"/>
        <n v="43.92"/>
        <n v="82.36"/>
        <n v="29.04"/>
        <n v="85.89"/>
        <n v="14.71"/>
        <n v="15.34"/>
        <n v="45.12"/>
        <n v="24.84"/>
        <n v="21.68"/>
        <n v="190.79"/>
        <n v="15.14"/>
        <n v="24.8"/>
        <n v="49.73"/>
        <n v="172.97"/>
        <n v="29.4"/>
        <n v="33.03"/>
        <n v="9.86"/>
        <n v="131.24"/>
        <n v="66.67"/>
        <n v="48.59"/>
        <n v="101.29"/>
        <n v="157.91999999999999"/>
        <n v="25.58"/>
        <n v="22.26"/>
        <n v="39.36"/>
        <n v="28.07"/>
        <n v="105.77"/>
        <n v="82.68"/>
        <n v="44"/>
        <n v="124.19"/>
        <n v="33.729999999999997"/>
        <n v="232.24"/>
        <n v="209.66"/>
        <n v="186.92"/>
        <n v="60.88"/>
        <n v="37.4"/>
        <n v="76.63"/>
        <n v="123.11"/>
        <n v="61.37"/>
        <n v="70.989999999999995"/>
        <n v="70.64"/>
        <n v="182.02"/>
        <n v="39.28"/>
        <n v="44.82"/>
        <n v="101.49"/>
        <n v="146.53"/>
        <n v="60.56"/>
        <n v="86.44"/>
        <n v="34.93"/>
        <n v="18.43"/>
        <n v="47.71"/>
        <n v="26.54"/>
        <n v="56.83"/>
        <n v="59.66"/>
        <n v="67.540000000000006"/>
        <n v="30.38"/>
        <n v="96.56"/>
        <n v="82.56"/>
        <n v="120.75"/>
        <n v="66.64"/>
        <n v="39.479999999999997"/>
        <n v="21.73"/>
        <n v="219.67"/>
        <n v="137.69"/>
        <n v="47.93"/>
        <n v="206.11"/>
        <n v="14.98"/>
        <n v="34.56"/>
        <n v="65.510000000000005"/>
        <n v="56.71"/>
        <n v="18.260000000000002"/>
        <n v="63.43"/>
        <n v="42.05"/>
        <n v="72.38"/>
        <n v="71.19"/>
        <n v="134.83000000000001"/>
        <n v="26.73"/>
        <n v="65.64"/>
        <n v="126.22"/>
        <n v="19.399999999999999"/>
        <n v="79.62"/>
        <n v="86.33"/>
        <n v="22.39"/>
        <n v="68.7"/>
        <n v="44.35"/>
        <n v="114.94"/>
        <n v="57.41"/>
        <n v="116.23"/>
        <n v="28.66"/>
        <n v="53.46"/>
        <n v="160.36000000000001"/>
        <n v="68.16"/>
        <n v="144.9"/>
        <n v="20.91"/>
        <n v="114.2"/>
        <n v="65.55"/>
        <n v="185.75"/>
        <n v="173.53"/>
        <n v="64.430000000000007"/>
        <n v="127.36"/>
        <n v="56.28"/>
        <n v="68.319999999999993"/>
        <n v="8.34"/>
        <n v="51.7"/>
        <n v="21.67"/>
        <n v="169.46"/>
        <n v="27.78"/>
        <n v="210.87"/>
        <n v="138.93"/>
        <n v="34.53"/>
        <n v="61.66"/>
        <n v="52.96"/>
        <n v="82.81"/>
        <n v="6.8"/>
        <n v="42.84"/>
        <n v="53.05"/>
        <n v="76.37"/>
        <n v="10.01"/>
        <n v="57.9"/>
        <n v="52.82"/>
        <n v="94.74"/>
        <n v="60.98"/>
        <n v="73.42"/>
        <n v="76"/>
        <n v="186.14"/>
        <n v="118.72"/>
        <n v="33.93"/>
        <n v="88.91"/>
        <n v="101.84"/>
        <n v="69"/>
        <n v="81.52"/>
        <n v="27.97"/>
        <n v="129.54"/>
        <n v="16.260000000000002"/>
        <n v="127.2"/>
        <n v="56.49"/>
        <n v="139.5"/>
        <n v="197.86"/>
        <n v="50.19"/>
        <n v="94.55"/>
        <n v="124.24"/>
        <n v="105.59"/>
        <n v="17.3"/>
        <n v="135.27000000000001"/>
        <n v="15.2"/>
        <n v="47.73"/>
        <n v="27.18"/>
        <n v="114.95"/>
        <n v="133.80000000000001"/>
        <n v="171.36"/>
        <n v="36.96"/>
        <n v="164.5"/>
        <n v="174.1"/>
        <n v="12.17"/>
        <n v="27.92"/>
        <n v="39.53"/>
        <n v="123.19"/>
        <n v="180.45"/>
        <n v="11.55"/>
        <n v="36.44"/>
        <n v="57.33"/>
        <n v="77.599999999999994"/>
        <n v="87.46"/>
        <n v="78.97"/>
        <n v="201.6"/>
        <n v="15.49"/>
        <n v="56.76"/>
        <n v="10.49"/>
        <n v="6.44"/>
        <n v="120.03"/>
        <n v="193.52"/>
        <n v="33.880000000000003"/>
        <n v="126.72"/>
        <n v="49.14"/>
        <n v="95.98"/>
        <n v="67.52"/>
        <n v="22.44"/>
        <n v="65.31"/>
        <n v="69.58"/>
        <n v="11.41"/>
        <n v="29.17"/>
        <n v="162.32"/>
        <n v="76.23"/>
        <n v="50.1"/>
        <n v="141.4"/>
        <n v="75.760000000000005"/>
        <n v="108.78"/>
        <n v="136.22"/>
        <n v="13.58"/>
        <n v="83.2"/>
        <n v="13.27"/>
        <n v="134.72999999999999"/>
        <n v="119.64"/>
        <n v="16.3"/>
        <n v="53.25"/>
        <n v="110.8"/>
        <n v="32"/>
        <n v="78.95"/>
        <n v="4.84"/>
        <n v="72.91"/>
        <n v="88.9"/>
        <n v="166.9"/>
        <n v="36.159999999999997"/>
        <n v="136.41"/>
        <n v="124.25"/>
        <n v="38.78"/>
        <n v="223.55"/>
        <n v="22.75"/>
        <n v="32.82"/>
        <n v="49.44"/>
        <n v="19.61"/>
        <n v="25.68"/>
        <n v="9.02"/>
        <n v="18.23"/>
        <n v="34.840000000000003"/>
        <n v="28.42"/>
        <n v="84.35"/>
        <n v="42.24"/>
        <n v="162.72999999999999"/>
        <n v="72.42"/>
        <n v="193.07"/>
        <n v="88.92"/>
        <n v="31.75"/>
        <n v="34.630000000000003"/>
        <n v="87.29"/>
        <n v="194.54"/>
        <n v="26.39"/>
        <n v="101.3"/>
        <n v="204.7"/>
        <n v="93.69"/>
        <n v="149.32"/>
        <n v="72.75"/>
        <n v="16.350000000000001"/>
        <n v="87.57"/>
        <n v="61.49"/>
        <n v="90.17"/>
        <n v="144.34"/>
        <n v="40.1"/>
        <n v="195.6"/>
        <n v="43.07"/>
        <n v="123.84"/>
        <n v="36.229999999999997"/>
        <n v="14.31"/>
        <n v="48.68"/>
        <n v="110.64"/>
        <n v="9.7899999999999991"/>
        <n v="116.38"/>
        <n v="10.97"/>
        <n v="37.729999999999997"/>
        <n v="45.5"/>
        <n v="70.62"/>
        <n v="66.819999999999993"/>
        <n v="22.52"/>
        <n v="53.57"/>
        <n v="140.94"/>
        <n v="69.3"/>
        <n v="24.45"/>
        <n v="25.73"/>
        <n v="133.13"/>
        <n v="40.79"/>
        <n v="157.59"/>
        <n v="65.91"/>
        <n v="37.049999999999997"/>
        <n v="10.34"/>
        <n v="153.44999999999999"/>
        <n v="74.66"/>
        <n v="49.28"/>
        <n v="38.700000000000003"/>
        <n v="36.31"/>
        <n v="179.86"/>
        <n v="46.21"/>
        <n v="36.799999999999997"/>
        <n v="45.76"/>
        <n v="106.89"/>
        <n v="89.16"/>
        <n v="56.33"/>
        <n v="20.59"/>
        <n v="113.22"/>
        <n v="152.63"/>
        <n v="172.42"/>
        <n v="156.38999999999999"/>
        <n v="85.29"/>
        <n v="18.66"/>
        <n v="3.88"/>
        <n v="60.58"/>
        <n v="64.02"/>
        <n v="87.25"/>
        <n v="93.13"/>
        <n v="15.54"/>
        <n v="19.93"/>
        <n v="51.66"/>
        <n v="63.19"/>
        <n v="115.58"/>
        <n v="67.55"/>
        <n v="48.04"/>
        <n v="60.3"/>
        <n v="50.05"/>
        <n v="119.31"/>
        <n v="10.59"/>
        <n v="80.92"/>
        <n v="46.27"/>
        <n v="28.99"/>
        <n v="48.95"/>
        <n v="93.96"/>
        <n v="41.85"/>
        <n v="63.94"/>
        <n v="21.77"/>
        <n v="13.39"/>
        <n v="35.31"/>
        <n v="48.96"/>
        <n v="163.06"/>
        <n v="143.93"/>
        <n v="58.7"/>
        <n v="41.17"/>
        <n v="49.91"/>
        <n v="109.08"/>
        <n v="28.1"/>
        <n v="120.58"/>
        <n v="165.03"/>
        <n v="90.52"/>
        <n v="37.35"/>
        <n v="27.47"/>
        <n v="16.8"/>
        <n v="60.08"/>
        <n v="17.350000000000001"/>
        <n v="15.96"/>
        <n v="36.65"/>
        <n v="124.23"/>
        <n v="121.13"/>
        <n v="83.8"/>
        <n v="133.25"/>
        <n v="90.3"/>
        <n v="195.51"/>
        <n v="51.52"/>
        <n v="15.52"/>
        <n v="193.16"/>
        <n v="59.62"/>
        <n v="201.06"/>
        <n v="69.209999999999994"/>
        <n v="10.35"/>
        <n v="23.8"/>
        <n v="69.650000000000006"/>
        <n v="71.680000000000007"/>
        <n v="86.14"/>
        <n v="124.73"/>
        <n v="49.02"/>
        <n v="69.05"/>
        <n v="126.96"/>
        <n v="116.35"/>
        <n v="188.28"/>
        <n v="43.14"/>
        <n v="152.15"/>
        <n v="78.37"/>
        <n v="27.26"/>
        <n v="42.21"/>
        <n v="93.38"/>
        <n v="59.35"/>
        <n v="51.6"/>
        <n v="56.56"/>
        <n v="22.08"/>
        <n v="59.15"/>
        <n v="57.89"/>
        <n v="31.51"/>
        <n v="112.68"/>
        <n v="144.43"/>
        <n v="143.31"/>
        <n v="30.17"/>
        <n v="153.12"/>
        <n v="47.97"/>
        <n v="170.62"/>
        <n v="47.3"/>
        <n v="63.36"/>
        <n v="19.04"/>
        <n v="89.53"/>
        <n v="52.73"/>
        <n v="169.51"/>
        <n v="75.25"/>
        <n v="44.46"/>
        <n v="208"/>
        <n v="43.24"/>
        <n v="125.63"/>
        <n v="62.42"/>
        <n v="39.450000000000003"/>
        <n v="82.21"/>
        <n v="26.8"/>
        <n v="140.69"/>
        <n v="90.72"/>
        <n v="71.31"/>
        <n v="35.03"/>
        <n v="188.09"/>
        <n v="177.35"/>
        <n v="74.099999999999994"/>
        <n v="37.72"/>
        <n v="220.9"/>
        <n v="72.37"/>
        <n v="134.46"/>
        <n v="201.89"/>
        <n v="57.91"/>
        <n v="125.48"/>
        <n v="59.21"/>
        <n v="169.44"/>
        <n v="76.64"/>
        <n v="49.75"/>
        <n v="173.96"/>
        <n v="137.71"/>
        <n v="138.27000000000001"/>
        <n v="72.86"/>
        <n v="95.72"/>
        <n v="91.49"/>
        <n v="35.630000000000003"/>
        <n v="114.17"/>
        <n v="69.19"/>
        <n v="26.82"/>
        <n v="59.13"/>
        <n v="180.24"/>
        <n v="157.03"/>
        <n v="23.46"/>
        <n v="77.64"/>
        <n v="215.2"/>
        <n v="56.48"/>
        <n v="22.7"/>
        <n v="18.54"/>
        <n v="188.79"/>
        <n v="147.41999999999999"/>
        <n v="110.69"/>
        <n v="93.44"/>
        <n v="36.35"/>
        <n v="4.37"/>
        <n v="57.19"/>
        <n v="87.93"/>
        <n v="37.83"/>
        <n v="79.95"/>
        <n v="41.01"/>
        <n v="149.30000000000001"/>
        <n v="125.15"/>
        <n v="54.67"/>
        <n v="29.14"/>
        <n v="85.73"/>
        <n v="176.34"/>
        <n v="188.21"/>
        <n v="94.63"/>
        <n v="43.15"/>
        <n v="131.26"/>
        <n v="5.99"/>
        <n v="40.18"/>
        <n v="77.12"/>
        <n v="133.66999999999999"/>
        <n v="167.38"/>
        <n v="5.38"/>
        <n v="47.85"/>
        <n v="24.7"/>
        <n v="13.63"/>
        <n v="60.12"/>
        <n v="42.56"/>
        <n v="19.100000000000001"/>
        <n v="106.49"/>
        <n v="15.42"/>
        <n v="52.98"/>
        <n v="122.85"/>
        <n v="39.520000000000003"/>
        <n v="186.05"/>
        <n v="74.72"/>
        <n v="27.83"/>
        <n v="65.83"/>
        <n v="172.41"/>
        <n v="4.5"/>
        <n v="51.5"/>
        <n v="76.05"/>
        <n v="11.59"/>
        <n v="57.12"/>
        <n v="56.85"/>
        <n v="2.65"/>
        <n v="78.62"/>
        <n v="131.6"/>
        <n v="39.700000000000003"/>
        <n v="121.52"/>
        <n v="27.86"/>
        <n v="62.7"/>
        <n v="12.21"/>
        <n v="40.74"/>
        <n v="16.52"/>
        <n v="7.9"/>
        <n v="156.13"/>
        <n v="198.75"/>
        <n v="229.92"/>
        <n v="13.7"/>
        <n v="103.39"/>
        <n v="44.24"/>
        <n v="44.2"/>
        <n v="131.13"/>
        <n v="58.55"/>
        <n v="117.3"/>
        <n v="60.03"/>
        <n v="84.15"/>
        <n v="173.84"/>
        <n v="190.35"/>
        <n v="32.07"/>
        <n v="48.58"/>
        <n v="48.15"/>
        <n v="138.41"/>
        <n v="94.29"/>
        <n v="135.53"/>
        <n v="77.510000000000005"/>
        <n v="142.26"/>
        <n v="56"/>
        <n v="58.14"/>
        <n v="70.52"/>
        <n v="85.07"/>
        <n v="52.94"/>
        <n v="106.83"/>
        <n v="144.24"/>
        <n v="147.58000000000001"/>
        <n v="84.28"/>
        <n v="53.34"/>
        <n v="9.2100000000000009"/>
        <n v="150.94"/>
        <n v="89.66"/>
        <n v="32.869999999999997"/>
        <n v="99.52"/>
        <n v="179.19"/>
        <n v="58.76"/>
        <n v="67.930000000000007"/>
        <n v="42.42"/>
        <n v="161.07"/>
        <n v="43.93"/>
        <n v="175.21"/>
        <n v="21.33"/>
        <n v="62.62"/>
        <n v="135.94"/>
        <n v="123.92"/>
        <n v="51.08"/>
        <n v="84.66"/>
        <n v="17.82"/>
        <n v="71.45"/>
        <n v="193.26"/>
        <n v="49.27"/>
        <n v="16.25"/>
        <n v="47.36"/>
        <n v="20.67"/>
        <n v="55.45"/>
        <n v="43.89"/>
        <n v="119.72"/>
        <n v="94.6"/>
        <n v="96.77"/>
        <n v="19.18"/>
        <n v="5.51"/>
        <n v="76.98"/>
        <n v="14.52"/>
        <n v="56.63"/>
        <n v="12.29"/>
      </sharedItems>
    </cacheField>
    <cacheField name="Total Cost" numFmtId="0">
      <sharedItems containsSemiMixedTypes="0" containsString="0" containsNumber="1" minValue="1.7" maxValue="208.84"/>
    </cacheField>
    <cacheField name="Profit" numFmtId="0">
      <sharedItems containsSemiMixedTypes="0" containsString="0" containsNumber="1" minValue="0.81" maxValue="215.2"/>
    </cacheField>
    <cacheField name="Growth %" numFmtId="0">
      <sharedItems containsSemiMixedTypes="0" containsString="0" containsNumber="1" minValue="-9.99" maxValue="24.99"/>
    </cacheField>
    <cacheField name="Stock Available" numFmtId="0">
      <sharedItems containsSemiMixedTypes="0" containsString="0" containsNumber="1" containsInteger="1" minValue="20" maxValue="300"/>
    </cacheField>
    <cacheField name="Demand Level" numFmtId="0">
      <sharedItems count="3">
        <s v="Medium"/>
        <s v="High"/>
        <s v="Low"/>
      </sharedItems>
    </cacheField>
    <cacheField name="Issue" numFmtId="0">
      <sharedItems count="4">
        <s v="High Demand"/>
        <s v="Supply Delay"/>
        <s v="Low Stock"/>
        <s v="None"/>
      </sharedItems>
    </cacheField>
    <cacheField name="Action Required" numFmtId="0">
      <sharedItems count="4">
        <s v="Improve Marketing"/>
        <s v="Discount"/>
        <s v="Restock"/>
        <s v="Maintain"/>
      </sharedItems>
    </cacheField>
  </cacheFields>
  <extLst>
    <ext xmlns:x14="http://schemas.microsoft.com/office/spreadsheetml/2009/9/main" uri="{725AE2AE-9491-48be-B2B4-4EB974FC3084}">
      <x14:pivotCacheDefinition pivotCacheId="86351458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26.035005555554" createdVersion="7" refreshedVersion="7" minRefreshableVersion="3" recordCount="4" xr:uid="{7827AABC-AE75-48E7-B22E-571C2B6D7D04}">
  <cacheSource type="worksheet">
    <worksheetSource ref="R35:S39" sheet="Organic_Data"/>
  </cacheSource>
  <cacheFields count="2">
    <cacheField name="Gujarat" numFmtId="0">
      <sharedItems/>
    </cacheField>
    <cacheField name="15029.0" numFmtId="165">
      <sharedItems containsSemiMixedTypes="0" containsString="0" containsNumber="1" minValue="14933.759999999995" maxValue="15013.67999999999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26.035375578707" createdVersion="7" refreshedVersion="7" minRefreshableVersion="3" recordCount="1200" xr:uid="{C0EB083C-0A1E-4C54-ADB8-5ECCE40E0064}">
  <cacheSource type="worksheet">
    <worksheetSource ref="A5:P1205" sheet="Organic_Data"/>
  </cacheSource>
  <cacheFields count="16">
    <cacheField name="Year" numFmtId="0">
      <sharedItems containsSemiMixedTypes="0" containsString="0" containsNumber="1" containsInteger="1" minValue="2023" maxValue="2025" count="3">
        <n v="2024"/>
        <n v="2025"/>
        <n v="2023"/>
      </sharedItems>
    </cacheField>
    <cacheField name="Month" numFmtId="0">
      <sharedItems count="12">
        <s v="Jan"/>
        <s v="Jul"/>
        <s v="Jun"/>
        <s v="Sep"/>
        <s v="Mar"/>
        <s v="Oct"/>
        <s v="Aug"/>
        <s v="May"/>
        <s v="Nov"/>
        <s v="Apr"/>
        <s v="Feb"/>
        <s v="Dec"/>
      </sharedItems>
    </cacheField>
    <cacheField name="Category" numFmtId="0">
      <sharedItems/>
    </cacheField>
    <cacheField name="Product Name" numFmtId="0">
      <sharedItems/>
    </cacheField>
    <cacheField name="Units Sold" numFmtId="0">
      <sharedItems containsSemiMixedTypes="0" containsString="0" containsNumber="1" containsInteger="1" minValue="50" maxValue="500"/>
    </cacheField>
    <cacheField name="Selling Price" numFmtId="0">
      <sharedItems containsSemiMixedTypes="0" containsString="0" containsNumber="1" containsInteger="1" minValue="50" maxValue="500"/>
    </cacheField>
    <cacheField name="Cost Price" numFmtId="0">
      <sharedItems containsSemiMixedTypes="0" containsString="0" containsNumber="1" containsInteger="1" minValue="30" maxValue="484"/>
    </cacheField>
    <cacheField name="Revenue" numFmtId="0">
      <sharedItems containsSemiMixedTypes="0" containsString="0" containsNumber="1" minValue="2.65" maxValue="244.03"/>
    </cacheField>
    <cacheField name="Total Cost" numFmtId="0">
      <sharedItems containsSemiMixedTypes="0" containsString="0" containsNumber="1" minValue="1.7" maxValue="208.84"/>
    </cacheField>
    <cacheField name="Profit" numFmtId="0">
      <sharedItems containsSemiMixedTypes="0" containsString="0" containsNumber="1" minValue="0.81" maxValue="215.2"/>
    </cacheField>
    <cacheField name="Growth %" numFmtId="0">
      <sharedItems containsSemiMixedTypes="0" containsString="0" containsNumber="1" minValue="-9.99" maxValue="24.99"/>
    </cacheField>
    <cacheField name="Stock Available" numFmtId="0">
      <sharedItems containsSemiMixedTypes="0" containsString="0" containsNumber="1" containsInteger="1" minValue="20" maxValue="300"/>
    </cacheField>
    <cacheField name="Demand Level" numFmtId="0">
      <sharedItems/>
    </cacheField>
    <cacheField name="Issue" numFmtId="0">
      <sharedItems/>
    </cacheField>
    <cacheField name="Action Required" numFmtId="0">
      <sharedItems/>
    </cacheField>
    <cacheField name="branch" numFmtId="0">
      <sharedItems/>
    </cacheField>
  </cacheFields>
  <extLst>
    <ext xmlns:x14="http://schemas.microsoft.com/office/spreadsheetml/2009/9/main" uri="{725AE2AE-9491-48be-B2B4-4EB974FC3084}">
      <x14:pivotCacheDefinition pivotCacheId="1320216549"/>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29.039976736109" createdVersion="7" refreshedVersion="7" minRefreshableVersion="3" recordCount="5" xr:uid="{88D00DC9-3905-4ED7-AB70-47CB29C63061}">
  <cacheSource type="worksheet">
    <worksheetSource ref="Q3:R8" sheet="Organic_Data"/>
  </cacheSource>
  <cacheFields count="2">
    <cacheField name="Maharashtra" numFmtId="0">
      <sharedItems count="5">
        <s v="Gujarat"/>
        <s v="Tamil Nadu"/>
        <s v="Karnataka"/>
        <s v="Delhi"/>
        <s v="Rajasthan"/>
      </sharedItems>
    </cacheField>
    <cacheField name="16737" numFmtId="1">
      <sharedItems containsSemiMixedTypes="0" containsString="0" containsNumber="1" minValue="13054.849999999997" maxValue="16180.659999999994"/>
    </cacheField>
  </cacheFields>
  <extLst>
    <ext xmlns:x14="http://schemas.microsoft.com/office/spreadsheetml/2009/9/main" uri="{725AE2AE-9491-48be-B2B4-4EB974FC3084}">
      <x14:pivotCacheDefinition pivotCacheId="14486505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x v="0"/>
    <x v="0"/>
    <x v="0"/>
    <n v="301"/>
    <n v="129"/>
    <x v="0"/>
    <n v="6.58"/>
    <n v="8.77"/>
    <n v="-7.88"/>
    <n v="30"/>
    <x v="0"/>
    <x v="0"/>
    <x v="0"/>
  </r>
  <r>
    <x v="0"/>
    <x v="1"/>
    <x v="1"/>
    <x v="1"/>
    <x v="1"/>
    <n v="216"/>
    <n v="38"/>
    <x v="1"/>
    <n v="14.06"/>
    <n v="65.86"/>
    <n v="5.82"/>
    <n v="26"/>
    <x v="0"/>
    <x v="1"/>
    <x v="1"/>
  </r>
  <r>
    <x v="1"/>
    <x v="1"/>
    <x v="2"/>
    <x v="2"/>
    <x v="2"/>
    <n v="451"/>
    <n v="162"/>
    <x v="2"/>
    <n v="13.28"/>
    <n v="23.7"/>
    <n v="5.88"/>
    <n v="176"/>
    <x v="1"/>
    <x v="0"/>
    <x v="0"/>
  </r>
  <r>
    <x v="1"/>
    <x v="2"/>
    <x v="0"/>
    <x v="3"/>
    <x v="3"/>
    <n v="165"/>
    <n v="112"/>
    <x v="3"/>
    <n v="52.3"/>
    <n v="24.75"/>
    <n v="0.88"/>
    <n v="55"/>
    <x v="0"/>
    <x v="2"/>
    <x v="1"/>
  </r>
  <r>
    <x v="2"/>
    <x v="3"/>
    <x v="3"/>
    <x v="4"/>
    <x v="4"/>
    <n v="161"/>
    <n v="77"/>
    <x v="4"/>
    <n v="31.11"/>
    <n v="33.94"/>
    <n v="21.52"/>
    <n v="43"/>
    <x v="0"/>
    <x v="2"/>
    <x v="1"/>
  </r>
  <r>
    <x v="0"/>
    <x v="1"/>
    <x v="4"/>
    <x v="5"/>
    <x v="5"/>
    <n v="164"/>
    <n v="85"/>
    <x v="5"/>
    <n v="5.27"/>
    <n v="4.9000000000000004"/>
    <n v="24.36"/>
    <n v="148"/>
    <x v="2"/>
    <x v="3"/>
    <x v="0"/>
  </r>
  <r>
    <x v="0"/>
    <x v="4"/>
    <x v="4"/>
    <x v="6"/>
    <x v="6"/>
    <n v="352"/>
    <n v="178"/>
    <x v="6"/>
    <n v="25.28"/>
    <n v="24.71"/>
    <n v="17.3"/>
    <n v="73"/>
    <x v="1"/>
    <x v="1"/>
    <x v="1"/>
  </r>
  <r>
    <x v="2"/>
    <x v="5"/>
    <x v="1"/>
    <x v="1"/>
    <x v="7"/>
    <n v="421"/>
    <n v="397"/>
    <x v="7"/>
    <n v="149.66999999999999"/>
    <n v="9.0500000000000007"/>
    <n v="0.2"/>
    <n v="261"/>
    <x v="2"/>
    <x v="0"/>
    <x v="2"/>
  </r>
  <r>
    <x v="1"/>
    <x v="3"/>
    <x v="4"/>
    <x v="7"/>
    <x v="8"/>
    <n v="308"/>
    <n v="245"/>
    <x v="8"/>
    <n v="41.9"/>
    <n v="10.77"/>
    <n v="23.07"/>
    <n v="103"/>
    <x v="0"/>
    <x v="0"/>
    <x v="2"/>
  </r>
  <r>
    <x v="2"/>
    <x v="3"/>
    <x v="1"/>
    <x v="1"/>
    <x v="9"/>
    <n v="360"/>
    <n v="261"/>
    <x v="9"/>
    <n v="55.85"/>
    <n v="21.19"/>
    <n v="1.84"/>
    <n v="285"/>
    <x v="1"/>
    <x v="0"/>
    <x v="3"/>
  </r>
  <r>
    <x v="2"/>
    <x v="6"/>
    <x v="4"/>
    <x v="6"/>
    <x v="10"/>
    <n v="416"/>
    <n v="177"/>
    <x v="10"/>
    <n v="12.74"/>
    <n v="17.21"/>
    <n v="23.85"/>
    <n v="211"/>
    <x v="0"/>
    <x v="1"/>
    <x v="1"/>
  </r>
  <r>
    <x v="0"/>
    <x v="7"/>
    <x v="0"/>
    <x v="3"/>
    <x v="11"/>
    <n v="323"/>
    <n v="105"/>
    <x v="11"/>
    <n v="16.48"/>
    <n v="34.229999999999997"/>
    <n v="22.05"/>
    <n v="63"/>
    <x v="1"/>
    <x v="3"/>
    <x v="1"/>
  </r>
  <r>
    <x v="0"/>
    <x v="8"/>
    <x v="3"/>
    <x v="8"/>
    <x v="12"/>
    <n v="384"/>
    <n v="225"/>
    <x v="12"/>
    <n v="26.1"/>
    <n v="18.440000000000001"/>
    <n v="22.33"/>
    <n v="25"/>
    <x v="2"/>
    <x v="1"/>
    <x v="0"/>
  </r>
  <r>
    <x v="2"/>
    <x v="7"/>
    <x v="0"/>
    <x v="3"/>
    <x v="13"/>
    <n v="338"/>
    <n v="288"/>
    <x v="13"/>
    <n v="91.01"/>
    <n v="15.8"/>
    <n v="19.100000000000001"/>
    <n v="55"/>
    <x v="1"/>
    <x v="3"/>
    <x v="2"/>
  </r>
  <r>
    <x v="0"/>
    <x v="9"/>
    <x v="3"/>
    <x v="9"/>
    <x v="14"/>
    <n v="351"/>
    <n v="278"/>
    <x v="14"/>
    <n v="117.04"/>
    <n v="30.73"/>
    <n v="-6.46"/>
    <n v="75"/>
    <x v="0"/>
    <x v="1"/>
    <x v="1"/>
  </r>
  <r>
    <x v="2"/>
    <x v="4"/>
    <x v="2"/>
    <x v="2"/>
    <x v="15"/>
    <n v="126"/>
    <n v="81"/>
    <x v="15"/>
    <n v="27.05"/>
    <n v="15.03"/>
    <n v="-1.94"/>
    <n v="192"/>
    <x v="0"/>
    <x v="0"/>
    <x v="0"/>
  </r>
  <r>
    <x v="2"/>
    <x v="1"/>
    <x v="0"/>
    <x v="3"/>
    <x v="16"/>
    <n v="324"/>
    <n v="284"/>
    <x v="16"/>
    <n v="28.4"/>
    <n v="4"/>
    <n v="11.38"/>
    <n v="34"/>
    <x v="2"/>
    <x v="3"/>
    <x v="0"/>
  </r>
  <r>
    <x v="0"/>
    <x v="4"/>
    <x v="0"/>
    <x v="0"/>
    <x v="6"/>
    <n v="406"/>
    <n v="284"/>
    <x v="17"/>
    <n v="40.33"/>
    <n v="17.32"/>
    <n v="-0.98"/>
    <n v="47"/>
    <x v="2"/>
    <x v="0"/>
    <x v="3"/>
  </r>
  <r>
    <x v="2"/>
    <x v="10"/>
    <x v="3"/>
    <x v="8"/>
    <x v="17"/>
    <n v="247"/>
    <n v="30"/>
    <x v="18"/>
    <n v="7.02"/>
    <n v="50.78"/>
    <n v="4.5"/>
    <n v="78"/>
    <x v="0"/>
    <x v="3"/>
    <x v="2"/>
  </r>
  <r>
    <x v="0"/>
    <x v="0"/>
    <x v="3"/>
    <x v="4"/>
    <x v="18"/>
    <n v="447"/>
    <n v="410"/>
    <x v="19"/>
    <n v="152.93"/>
    <n v="13.8"/>
    <n v="15.64"/>
    <n v="47"/>
    <x v="0"/>
    <x v="2"/>
    <x v="1"/>
  </r>
  <r>
    <x v="1"/>
    <x v="5"/>
    <x v="3"/>
    <x v="4"/>
    <x v="19"/>
    <n v="327"/>
    <n v="196"/>
    <x v="20"/>
    <n v="15.48"/>
    <n v="10.35"/>
    <n v="12.63"/>
    <n v="233"/>
    <x v="0"/>
    <x v="1"/>
    <x v="2"/>
  </r>
  <r>
    <x v="2"/>
    <x v="5"/>
    <x v="2"/>
    <x v="10"/>
    <x v="20"/>
    <n v="182"/>
    <n v="151"/>
    <x v="21"/>
    <n v="29.45"/>
    <n v="6.05"/>
    <n v="1.66"/>
    <n v="79"/>
    <x v="2"/>
    <x v="1"/>
    <x v="3"/>
  </r>
  <r>
    <x v="0"/>
    <x v="1"/>
    <x v="4"/>
    <x v="7"/>
    <x v="21"/>
    <n v="486"/>
    <n v="308"/>
    <x v="22"/>
    <n v="40.35"/>
    <n v="23.32"/>
    <n v="23.51"/>
    <n v="74"/>
    <x v="0"/>
    <x v="1"/>
    <x v="0"/>
  </r>
  <r>
    <x v="1"/>
    <x v="9"/>
    <x v="1"/>
    <x v="11"/>
    <x v="22"/>
    <n v="88"/>
    <n v="38"/>
    <x v="23"/>
    <n v="5.21"/>
    <n v="6.85"/>
    <n v="22.85"/>
    <n v="152"/>
    <x v="2"/>
    <x v="2"/>
    <x v="0"/>
  </r>
  <r>
    <x v="1"/>
    <x v="6"/>
    <x v="4"/>
    <x v="7"/>
    <x v="23"/>
    <n v="101"/>
    <n v="59"/>
    <x v="24"/>
    <n v="18.59"/>
    <n v="13.23"/>
    <n v="1.42"/>
    <n v="74"/>
    <x v="2"/>
    <x v="3"/>
    <x v="0"/>
  </r>
  <r>
    <x v="2"/>
    <x v="7"/>
    <x v="4"/>
    <x v="7"/>
    <x v="24"/>
    <n v="368"/>
    <n v="61"/>
    <x v="25"/>
    <n v="10.68"/>
    <n v="53.73"/>
    <n v="11.59"/>
    <n v="121"/>
    <x v="1"/>
    <x v="2"/>
    <x v="2"/>
  </r>
  <r>
    <x v="2"/>
    <x v="3"/>
    <x v="3"/>
    <x v="12"/>
    <x v="25"/>
    <n v="496"/>
    <n v="387"/>
    <x v="26"/>
    <n v="140.87"/>
    <n v="39.68"/>
    <n v="-4.28"/>
    <n v="169"/>
    <x v="0"/>
    <x v="0"/>
    <x v="3"/>
  </r>
  <r>
    <x v="2"/>
    <x v="2"/>
    <x v="1"/>
    <x v="13"/>
    <x v="13"/>
    <n v="299"/>
    <n v="139"/>
    <x v="27"/>
    <n v="43.92"/>
    <n v="50.56"/>
    <n v="6.58"/>
    <n v="56"/>
    <x v="0"/>
    <x v="1"/>
    <x v="3"/>
  </r>
  <r>
    <x v="2"/>
    <x v="8"/>
    <x v="0"/>
    <x v="3"/>
    <x v="26"/>
    <n v="310"/>
    <n v="94"/>
    <x v="28"/>
    <n v="27.73"/>
    <n v="63.72"/>
    <n v="-6.44"/>
    <n v="238"/>
    <x v="2"/>
    <x v="2"/>
    <x v="1"/>
  </r>
  <r>
    <x v="0"/>
    <x v="5"/>
    <x v="0"/>
    <x v="14"/>
    <x v="27"/>
    <n v="343"/>
    <n v="176"/>
    <x v="29"/>
    <n v="41.36"/>
    <n v="39.25"/>
    <n v="8.48"/>
    <n v="50"/>
    <x v="1"/>
    <x v="3"/>
    <x v="0"/>
  </r>
  <r>
    <x v="2"/>
    <x v="1"/>
    <x v="2"/>
    <x v="2"/>
    <x v="28"/>
    <n v="310"/>
    <n v="159"/>
    <x v="30"/>
    <n v="64.709999999999994"/>
    <n v="61.46"/>
    <n v="4.25"/>
    <n v="216"/>
    <x v="1"/>
    <x v="1"/>
    <x v="3"/>
  </r>
  <r>
    <x v="0"/>
    <x v="9"/>
    <x v="3"/>
    <x v="8"/>
    <x v="29"/>
    <n v="476"/>
    <n v="227"/>
    <x v="31"/>
    <n v="70.819999999999993"/>
    <n v="77.69"/>
    <n v="6.57"/>
    <n v="50"/>
    <x v="2"/>
    <x v="1"/>
    <x v="2"/>
  </r>
  <r>
    <x v="1"/>
    <x v="1"/>
    <x v="1"/>
    <x v="1"/>
    <x v="30"/>
    <n v="429"/>
    <n v="93"/>
    <x v="32"/>
    <n v="46.5"/>
    <n v="168"/>
    <n v="9.66"/>
    <n v="28"/>
    <x v="1"/>
    <x v="2"/>
    <x v="3"/>
  </r>
  <r>
    <x v="1"/>
    <x v="8"/>
    <x v="4"/>
    <x v="5"/>
    <x v="31"/>
    <n v="436"/>
    <n v="201"/>
    <x v="33"/>
    <n v="43.82"/>
    <n v="51.23"/>
    <n v="2.25"/>
    <n v="144"/>
    <x v="2"/>
    <x v="3"/>
    <x v="3"/>
  </r>
  <r>
    <x v="0"/>
    <x v="11"/>
    <x v="4"/>
    <x v="5"/>
    <x v="20"/>
    <n v="386"/>
    <n v="176"/>
    <x v="34"/>
    <n v="34.32"/>
    <n v="40.950000000000003"/>
    <n v="-0.83"/>
    <n v="206"/>
    <x v="2"/>
    <x v="0"/>
    <x v="2"/>
  </r>
  <r>
    <x v="1"/>
    <x v="4"/>
    <x v="2"/>
    <x v="2"/>
    <x v="32"/>
    <n v="403"/>
    <n v="258"/>
    <x v="35"/>
    <n v="117.65"/>
    <n v="66.12"/>
    <n v="6.13"/>
    <n v="189"/>
    <x v="2"/>
    <x v="3"/>
    <x v="3"/>
  </r>
  <r>
    <x v="2"/>
    <x v="7"/>
    <x v="2"/>
    <x v="2"/>
    <x v="33"/>
    <n v="449"/>
    <n v="290"/>
    <x v="36"/>
    <n v="37.700000000000003"/>
    <n v="20.67"/>
    <n v="17.62"/>
    <n v="136"/>
    <x v="2"/>
    <x v="1"/>
    <x v="2"/>
  </r>
  <r>
    <x v="0"/>
    <x v="1"/>
    <x v="4"/>
    <x v="6"/>
    <x v="34"/>
    <n v="84"/>
    <n v="58"/>
    <x v="37"/>
    <n v="11.83"/>
    <n v="5.3"/>
    <n v="2.5099999999999998"/>
    <n v="251"/>
    <x v="0"/>
    <x v="2"/>
    <x v="3"/>
  </r>
  <r>
    <x v="2"/>
    <x v="6"/>
    <x v="4"/>
    <x v="5"/>
    <x v="35"/>
    <n v="70"/>
    <n v="48"/>
    <x v="38"/>
    <n v="12.96"/>
    <n v="5.94"/>
    <n v="22.65"/>
    <n v="65"/>
    <x v="0"/>
    <x v="0"/>
    <x v="0"/>
  </r>
  <r>
    <x v="0"/>
    <x v="4"/>
    <x v="0"/>
    <x v="3"/>
    <x v="36"/>
    <n v="67"/>
    <n v="47"/>
    <x v="39"/>
    <n v="13.58"/>
    <n v="5.78"/>
    <n v="2.75"/>
    <n v="161"/>
    <x v="0"/>
    <x v="1"/>
    <x v="2"/>
  </r>
  <r>
    <x v="2"/>
    <x v="0"/>
    <x v="3"/>
    <x v="12"/>
    <x v="37"/>
    <n v="164"/>
    <n v="108"/>
    <x v="40"/>
    <n v="27.22"/>
    <n v="14.11"/>
    <n v="15.12"/>
    <n v="238"/>
    <x v="1"/>
    <x v="2"/>
    <x v="2"/>
  </r>
  <r>
    <x v="0"/>
    <x v="10"/>
    <x v="4"/>
    <x v="6"/>
    <x v="38"/>
    <n v="111"/>
    <n v="79"/>
    <x v="41"/>
    <n v="9.7200000000000006"/>
    <n v="3.94"/>
    <n v="18.8"/>
    <n v="35"/>
    <x v="0"/>
    <x v="3"/>
    <x v="3"/>
  </r>
  <r>
    <x v="2"/>
    <x v="1"/>
    <x v="3"/>
    <x v="9"/>
    <x v="39"/>
    <n v="384"/>
    <n v="218"/>
    <x v="42"/>
    <n v="57.12"/>
    <n v="43.49"/>
    <n v="17.579999999999998"/>
    <n v="126"/>
    <x v="1"/>
    <x v="2"/>
    <x v="1"/>
  </r>
  <r>
    <x v="2"/>
    <x v="5"/>
    <x v="1"/>
    <x v="1"/>
    <x v="40"/>
    <n v="160"/>
    <n v="110"/>
    <x v="43"/>
    <n v="41.91"/>
    <n v="19.05"/>
    <n v="21.65"/>
    <n v="106"/>
    <x v="2"/>
    <x v="0"/>
    <x v="2"/>
  </r>
  <r>
    <x v="0"/>
    <x v="9"/>
    <x v="1"/>
    <x v="1"/>
    <x v="41"/>
    <n v="397"/>
    <n v="270"/>
    <x v="44"/>
    <n v="21.87"/>
    <n v="10.29"/>
    <n v="14.56"/>
    <n v="152"/>
    <x v="2"/>
    <x v="3"/>
    <x v="2"/>
  </r>
  <r>
    <x v="2"/>
    <x v="6"/>
    <x v="2"/>
    <x v="10"/>
    <x v="42"/>
    <n v="210"/>
    <n v="56"/>
    <x v="45"/>
    <n v="13.94"/>
    <n v="38.35"/>
    <n v="4.66"/>
    <n v="78"/>
    <x v="2"/>
    <x v="0"/>
    <x v="2"/>
  </r>
  <r>
    <x v="0"/>
    <x v="2"/>
    <x v="0"/>
    <x v="3"/>
    <x v="39"/>
    <n v="251"/>
    <n v="178"/>
    <x v="46"/>
    <n v="46.64"/>
    <n v="19.13"/>
    <n v="9.39"/>
    <n v="178"/>
    <x v="0"/>
    <x v="0"/>
    <x v="1"/>
  </r>
  <r>
    <x v="2"/>
    <x v="5"/>
    <x v="2"/>
    <x v="2"/>
    <x v="7"/>
    <n v="368"/>
    <n v="99"/>
    <x v="47"/>
    <n v="37.32"/>
    <n v="101.41"/>
    <n v="8.56"/>
    <n v="106"/>
    <x v="2"/>
    <x v="0"/>
    <x v="1"/>
  </r>
  <r>
    <x v="2"/>
    <x v="5"/>
    <x v="3"/>
    <x v="8"/>
    <x v="43"/>
    <n v="410"/>
    <n v="104"/>
    <x v="48"/>
    <n v="45.34"/>
    <n v="133.41999999999999"/>
    <n v="-8.83"/>
    <n v="169"/>
    <x v="0"/>
    <x v="1"/>
    <x v="3"/>
  </r>
  <r>
    <x v="0"/>
    <x v="4"/>
    <x v="0"/>
    <x v="0"/>
    <x v="44"/>
    <n v="111"/>
    <n v="64"/>
    <x v="49"/>
    <n v="13.82"/>
    <n v="10.15"/>
    <n v="14.54"/>
    <n v="62"/>
    <x v="2"/>
    <x v="3"/>
    <x v="3"/>
  </r>
  <r>
    <x v="2"/>
    <x v="5"/>
    <x v="1"/>
    <x v="13"/>
    <x v="45"/>
    <n v="198"/>
    <n v="51"/>
    <x v="50"/>
    <n v="15.45"/>
    <n v="44.54"/>
    <n v="-0.27"/>
    <n v="60"/>
    <x v="2"/>
    <x v="1"/>
    <x v="2"/>
  </r>
  <r>
    <x v="1"/>
    <x v="0"/>
    <x v="1"/>
    <x v="13"/>
    <x v="46"/>
    <n v="113"/>
    <n v="86"/>
    <x v="51"/>
    <n v="6.36"/>
    <n v="2"/>
    <n v="10.08"/>
    <n v="191"/>
    <x v="0"/>
    <x v="0"/>
    <x v="3"/>
  </r>
  <r>
    <x v="1"/>
    <x v="11"/>
    <x v="0"/>
    <x v="3"/>
    <x v="47"/>
    <n v="355"/>
    <n v="145"/>
    <x v="52"/>
    <n v="12.76"/>
    <n v="18.48"/>
    <n v="-6.35"/>
    <n v="246"/>
    <x v="0"/>
    <x v="3"/>
    <x v="2"/>
  </r>
  <r>
    <x v="0"/>
    <x v="4"/>
    <x v="2"/>
    <x v="15"/>
    <x v="48"/>
    <n v="97"/>
    <n v="71"/>
    <x v="53"/>
    <n v="20.45"/>
    <n v="7.49"/>
    <n v="5.32"/>
    <n v="230"/>
    <x v="0"/>
    <x v="2"/>
    <x v="3"/>
  </r>
  <r>
    <x v="2"/>
    <x v="4"/>
    <x v="2"/>
    <x v="10"/>
    <x v="26"/>
    <n v="457"/>
    <n v="300"/>
    <x v="54"/>
    <n v="88.5"/>
    <n v="46.31"/>
    <n v="0.34"/>
    <n v="74"/>
    <x v="2"/>
    <x v="1"/>
    <x v="2"/>
  </r>
  <r>
    <x v="0"/>
    <x v="0"/>
    <x v="3"/>
    <x v="4"/>
    <x v="28"/>
    <n v="58"/>
    <n v="32"/>
    <x v="55"/>
    <n v="13.02"/>
    <n v="10.58"/>
    <n v="-4.0599999999999996"/>
    <n v="118"/>
    <x v="1"/>
    <x v="1"/>
    <x v="1"/>
  </r>
  <r>
    <x v="0"/>
    <x v="3"/>
    <x v="1"/>
    <x v="1"/>
    <x v="49"/>
    <n v="480"/>
    <n v="62"/>
    <x v="56"/>
    <n v="11.35"/>
    <n v="76.489999999999995"/>
    <n v="-2.1800000000000002"/>
    <n v="53"/>
    <x v="0"/>
    <x v="0"/>
    <x v="0"/>
  </r>
  <r>
    <x v="1"/>
    <x v="10"/>
    <x v="4"/>
    <x v="7"/>
    <x v="50"/>
    <n v="393"/>
    <n v="102"/>
    <x v="57"/>
    <n v="24.68"/>
    <n v="70.42"/>
    <n v="24.27"/>
    <n v="273"/>
    <x v="2"/>
    <x v="3"/>
    <x v="2"/>
  </r>
  <r>
    <x v="0"/>
    <x v="6"/>
    <x v="0"/>
    <x v="3"/>
    <x v="51"/>
    <n v="82"/>
    <n v="60"/>
    <x v="58"/>
    <n v="23.88"/>
    <n v="8.76"/>
    <n v="15.54"/>
    <n v="136"/>
    <x v="1"/>
    <x v="0"/>
    <x v="2"/>
  </r>
  <r>
    <x v="2"/>
    <x v="6"/>
    <x v="1"/>
    <x v="16"/>
    <x v="52"/>
    <n v="124"/>
    <n v="46"/>
    <x v="59"/>
    <n v="8.2799999999999994"/>
    <n v="14.04"/>
    <n v="0.61"/>
    <n v="21"/>
    <x v="1"/>
    <x v="3"/>
    <x v="0"/>
  </r>
  <r>
    <x v="2"/>
    <x v="11"/>
    <x v="2"/>
    <x v="10"/>
    <x v="53"/>
    <n v="113"/>
    <n v="36"/>
    <x v="60"/>
    <n v="8.2100000000000009"/>
    <n v="17.559999999999999"/>
    <n v="12.94"/>
    <n v="291"/>
    <x v="0"/>
    <x v="2"/>
    <x v="2"/>
  </r>
  <r>
    <x v="1"/>
    <x v="3"/>
    <x v="2"/>
    <x v="2"/>
    <x v="54"/>
    <n v="467"/>
    <n v="111"/>
    <x v="61"/>
    <n v="39.85"/>
    <n v="127.8"/>
    <n v="22.65"/>
    <n v="220"/>
    <x v="0"/>
    <x v="3"/>
    <x v="0"/>
  </r>
  <r>
    <x v="2"/>
    <x v="4"/>
    <x v="1"/>
    <x v="1"/>
    <x v="55"/>
    <n v="472"/>
    <n v="358"/>
    <x v="62"/>
    <n v="85.56"/>
    <n v="27.25"/>
    <n v="5.8"/>
    <n v="137"/>
    <x v="0"/>
    <x v="0"/>
    <x v="2"/>
  </r>
  <r>
    <x v="2"/>
    <x v="5"/>
    <x v="0"/>
    <x v="3"/>
    <x v="56"/>
    <n v="143"/>
    <n v="32"/>
    <x v="63"/>
    <n v="11.55"/>
    <n v="40.07"/>
    <n v="4.6399999999999997"/>
    <n v="139"/>
    <x v="0"/>
    <x v="2"/>
    <x v="3"/>
  </r>
  <r>
    <x v="2"/>
    <x v="8"/>
    <x v="4"/>
    <x v="7"/>
    <x v="34"/>
    <n v="230"/>
    <n v="123"/>
    <x v="64"/>
    <n v="25.09"/>
    <n v="21.83"/>
    <n v="20.170000000000002"/>
    <n v="52"/>
    <x v="0"/>
    <x v="0"/>
    <x v="0"/>
  </r>
  <r>
    <x v="0"/>
    <x v="10"/>
    <x v="0"/>
    <x v="14"/>
    <x v="57"/>
    <n v="180"/>
    <n v="134"/>
    <x v="65"/>
    <n v="25.86"/>
    <n v="8.8800000000000008"/>
    <n v="1.37"/>
    <n v="191"/>
    <x v="2"/>
    <x v="2"/>
    <x v="1"/>
  </r>
  <r>
    <x v="0"/>
    <x v="9"/>
    <x v="1"/>
    <x v="13"/>
    <x v="58"/>
    <n v="440"/>
    <n v="307"/>
    <x v="66"/>
    <n v="85.04"/>
    <n v="36.840000000000003"/>
    <n v="1.91"/>
    <n v="188"/>
    <x v="0"/>
    <x v="0"/>
    <x v="2"/>
  </r>
  <r>
    <x v="1"/>
    <x v="2"/>
    <x v="3"/>
    <x v="12"/>
    <x v="59"/>
    <n v="67"/>
    <n v="39"/>
    <x v="67"/>
    <n v="2.0299999999999998"/>
    <n v="1.46"/>
    <n v="1.21"/>
    <n v="59"/>
    <x v="1"/>
    <x v="3"/>
    <x v="0"/>
  </r>
  <r>
    <x v="0"/>
    <x v="11"/>
    <x v="4"/>
    <x v="5"/>
    <x v="60"/>
    <n v="431"/>
    <n v="178"/>
    <x v="68"/>
    <n v="75.12"/>
    <n v="106.77"/>
    <n v="23.27"/>
    <n v="131"/>
    <x v="2"/>
    <x v="1"/>
    <x v="1"/>
  </r>
  <r>
    <x v="2"/>
    <x v="2"/>
    <x v="2"/>
    <x v="15"/>
    <x v="61"/>
    <n v="59"/>
    <n v="43"/>
    <x v="69"/>
    <n v="20.98"/>
    <n v="7.81"/>
    <n v="-1.67"/>
    <n v="107"/>
    <x v="2"/>
    <x v="2"/>
    <x v="1"/>
  </r>
  <r>
    <x v="2"/>
    <x v="10"/>
    <x v="1"/>
    <x v="13"/>
    <x v="62"/>
    <n v="101"/>
    <n v="35"/>
    <x v="70"/>
    <n v="12.71"/>
    <n v="23.96"/>
    <n v="15.69"/>
    <n v="67"/>
    <x v="2"/>
    <x v="3"/>
    <x v="0"/>
  </r>
  <r>
    <x v="2"/>
    <x v="8"/>
    <x v="0"/>
    <x v="0"/>
    <x v="63"/>
    <n v="212"/>
    <n v="153"/>
    <x v="71"/>
    <n v="48.96"/>
    <n v="18.88"/>
    <n v="-3.41"/>
    <n v="171"/>
    <x v="2"/>
    <x v="1"/>
    <x v="1"/>
  </r>
  <r>
    <x v="0"/>
    <x v="1"/>
    <x v="1"/>
    <x v="1"/>
    <x v="64"/>
    <n v="391"/>
    <n v="295"/>
    <x v="72"/>
    <n v="53.4"/>
    <n v="17.38"/>
    <n v="14.28"/>
    <n v="46"/>
    <x v="1"/>
    <x v="1"/>
    <x v="1"/>
  </r>
  <r>
    <x v="2"/>
    <x v="6"/>
    <x v="3"/>
    <x v="12"/>
    <x v="65"/>
    <n v="314"/>
    <n v="98"/>
    <x v="73"/>
    <n v="38.32"/>
    <n v="84.46"/>
    <n v="7.41"/>
    <n v="111"/>
    <x v="0"/>
    <x v="1"/>
    <x v="2"/>
  </r>
  <r>
    <x v="1"/>
    <x v="3"/>
    <x v="1"/>
    <x v="13"/>
    <x v="66"/>
    <n v="109"/>
    <n v="39"/>
    <x v="74"/>
    <n v="9.52"/>
    <n v="17.079999999999998"/>
    <n v="-4.42"/>
    <n v="109"/>
    <x v="0"/>
    <x v="1"/>
    <x v="3"/>
  </r>
  <r>
    <x v="0"/>
    <x v="0"/>
    <x v="3"/>
    <x v="8"/>
    <x v="67"/>
    <n v="291"/>
    <n v="103"/>
    <x v="75"/>
    <n v="46.87"/>
    <n v="85.54"/>
    <n v="22.42"/>
    <n v="67"/>
    <x v="2"/>
    <x v="3"/>
    <x v="2"/>
  </r>
  <r>
    <x v="1"/>
    <x v="4"/>
    <x v="2"/>
    <x v="10"/>
    <x v="68"/>
    <n v="166"/>
    <n v="90"/>
    <x v="76"/>
    <n v="17.010000000000002"/>
    <n v="14.36"/>
    <n v="-9.01"/>
    <n v="67"/>
    <x v="1"/>
    <x v="1"/>
    <x v="1"/>
  </r>
  <r>
    <x v="2"/>
    <x v="11"/>
    <x v="3"/>
    <x v="12"/>
    <x v="69"/>
    <n v="149"/>
    <n v="49"/>
    <x v="77"/>
    <n v="2.4500000000000002"/>
    <n v="5"/>
    <n v="19.91"/>
    <n v="230"/>
    <x v="0"/>
    <x v="1"/>
    <x v="3"/>
  </r>
  <r>
    <x v="2"/>
    <x v="9"/>
    <x v="0"/>
    <x v="14"/>
    <x v="70"/>
    <n v="447"/>
    <n v="159"/>
    <x v="78"/>
    <n v="60.42"/>
    <n v="109.44"/>
    <n v="8.11"/>
    <n v="197"/>
    <x v="1"/>
    <x v="0"/>
    <x v="3"/>
  </r>
  <r>
    <x v="0"/>
    <x v="5"/>
    <x v="1"/>
    <x v="11"/>
    <x v="71"/>
    <n v="327"/>
    <n v="68"/>
    <x v="79"/>
    <n v="8.57"/>
    <n v="32.630000000000003"/>
    <n v="3.09"/>
    <n v="278"/>
    <x v="0"/>
    <x v="2"/>
    <x v="0"/>
  </r>
  <r>
    <x v="1"/>
    <x v="3"/>
    <x v="0"/>
    <x v="14"/>
    <x v="53"/>
    <n v="120"/>
    <n v="92"/>
    <x v="80"/>
    <n v="20.98"/>
    <n v="6.38"/>
    <n v="-5.7"/>
    <n v="173"/>
    <x v="0"/>
    <x v="0"/>
    <x v="0"/>
  </r>
  <r>
    <x v="0"/>
    <x v="1"/>
    <x v="1"/>
    <x v="13"/>
    <x v="72"/>
    <n v="238"/>
    <n v="177"/>
    <x v="81"/>
    <n v="72.75"/>
    <n v="25.07"/>
    <n v="14.96"/>
    <n v="99"/>
    <x v="0"/>
    <x v="1"/>
    <x v="3"/>
  </r>
  <r>
    <x v="0"/>
    <x v="7"/>
    <x v="2"/>
    <x v="10"/>
    <x v="29"/>
    <n v="117"/>
    <n v="60"/>
    <x v="82"/>
    <n v="18.72"/>
    <n v="17.78"/>
    <n v="-9.2100000000000009"/>
    <n v="156"/>
    <x v="1"/>
    <x v="1"/>
    <x v="1"/>
  </r>
  <r>
    <x v="1"/>
    <x v="3"/>
    <x v="4"/>
    <x v="5"/>
    <x v="73"/>
    <n v="201"/>
    <n v="189"/>
    <x v="83"/>
    <n v="61.05"/>
    <n v="3.88"/>
    <n v="-1.6"/>
    <n v="218"/>
    <x v="2"/>
    <x v="3"/>
    <x v="0"/>
  </r>
  <r>
    <x v="2"/>
    <x v="8"/>
    <x v="2"/>
    <x v="2"/>
    <x v="74"/>
    <n v="457"/>
    <n v="226"/>
    <x v="84"/>
    <n v="29.83"/>
    <n v="30.49"/>
    <n v="3.9"/>
    <n v="138"/>
    <x v="2"/>
    <x v="3"/>
    <x v="2"/>
  </r>
  <r>
    <x v="2"/>
    <x v="8"/>
    <x v="1"/>
    <x v="11"/>
    <x v="75"/>
    <n v="146"/>
    <n v="64"/>
    <x v="85"/>
    <n v="12.86"/>
    <n v="16.48"/>
    <n v="3.72"/>
    <n v="69"/>
    <x v="0"/>
    <x v="0"/>
    <x v="1"/>
  </r>
  <r>
    <x v="0"/>
    <x v="1"/>
    <x v="4"/>
    <x v="5"/>
    <x v="76"/>
    <n v="84"/>
    <n v="67"/>
    <x v="86"/>
    <n v="15.54"/>
    <n v="3.94"/>
    <n v="10.9"/>
    <n v="297"/>
    <x v="2"/>
    <x v="3"/>
    <x v="3"/>
  </r>
  <r>
    <x v="1"/>
    <x v="2"/>
    <x v="0"/>
    <x v="3"/>
    <x v="77"/>
    <n v="287"/>
    <n v="243"/>
    <x v="87"/>
    <n v="22.11"/>
    <n v="4"/>
    <n v="-6.86"/>
    <n v="197"/>
    <x v="0"/>
    <x v="1"/>
    <x v="0"/>
  </r>
  <r>
    <x v="0"/>
    <x v="3"/>
    <x v="1"/>
    <x v="11"/>
    <x v="10"/>
    <n v="342"/>
    <n v="169"/>
    <x v="88"/>
    <n v="12.17"/>
    <n v="12.46"/>
    <n v="-0.02"/>
    <n v="108"/>
    <x v="2"/>
    <x v="1"/>
    <x v="3"/>
  </r>
  <r>
    <x v="2"/>
    <x v="2"/>
    <x v="1"/>
    <x v="13"/>
    <x v="41"/>
    <n v="269"/>
    <n v="66"/>
    <x v="89"/>
    <n v="5.35"/>
    <n v="16.440000000000001"/>
    <n v="-4.6500000000000004"/>
    <n v="175"/>
    <x v="2"/>
    <x v="3"/>
    <x v="1"/>
  </r>
  <r>
    <x v="2"/>
    <x v="10"/>
    <x v="4"/>
    <x v="7"/>
    <x v="78"/>
    <n v="90"/>
    <n v="72"/>
    <x v="90"/>
    <n v="23.54"/>
    <n v="5.89"/>
    <n v="-4.0999999999999996"/>
    <n v="90"/>
    <x v="0"/>
    <x v="1"/>
    <x v="1"/>
  </r>
  <r>
    <x v="0"/>
    <x v="9"/>
    <x v="3"/>
    <x v="12"/>
    <x v="79"/>
    <n v="92"/>
    <n v="46"/>
    <x v="91"/>
    <n v="15.09"/>
    <n v="15.09"/>
    <n v="5.16"/>
    <n v="22"/>
    <x v="0"/>
    <x v="0"/>
    <x v="1"/>
  </r>
  <r>
    <x v="2"/>
    <x v="7"/>
    <x v="1"/>
    <x v="13"/>
    <x v="80"/>
    <n v="115"/>
    <n v="60"/>
    <x v="92"/>
    <n v="20.46"/>
    <n v="18.760000000000002"/>
    <n v="-3.83"/>
    <n v="274"/>
    <x v="0"/>
    <x v="3"/>
    <x v="3"/>
  </r>
  <r>
    <x v="1"/>
    <x v="8"/>
    <x v="1"/>
    <x v="13"/>
    <x v="81"/>
    <n v="186"/>
    <n v="119"/>
    <x v="93"/>
    <n v="56.05"/>
    <n v="31.56"/>
    <n v="16.71"/>
    <n v="197"/>
    <x v="1"/>
    <x v="1"/>
    <x v="0"/>
  </r>
  <r>
    <x v="2"/>
    <x v="5"/>
    <x v="1"/>
    <x v="13"/>
    <x v="82"/>
    <n v="169"/>
    <n v="32"/>
    <x v="94"/>
    <n v="15.42"/>
    <n v="66.03"/>
    <n v="-9.16"/>
    <n v="50"/>
    <x v="2"/>
    <x v="1"/>
    <x v="1"/>
  </r>
  <r>
    <x v="1"/>
    <x v="3"/>
    <x v="0"/>
    <x v="0"/>
    <x v="83"/>
    <n v="95"/>
    <n v="37"/>
    <x v="95"/>
    <n v="16.98"/>
    <n v="26.62"/>
    <n v="-2.5299999999999998"/>
    <n v="71"/>
    <x v="2"/>
    <x v="1"/>
    <x v="3"/>
  </r>
  <r>
    <x v="0"/>
    <x v="7"/>
    <x v="1"/>
    <x v="11"/>
    <x v="84"/>
    <n v="299"/>
    <n v="142"/>
    <x v="96"/>
    <n v="26.13"/>
    <n v="28.89"/>
    <n v="8.0500000000000007"/>
    <n v="22"/>
    <x v="1"/>
    <x v="1"/>
    <x v="1"/>
  </r>
  <r>
    <x v="2"/>
    <x v="2"/>
    <x v="1"/>
    <x v="16"/>
    <x v="85"/>
    <n v="310"/>
    <n v="213"/>
    <x v="97"/>
    <n v="36.85"/>
    <n v="16.78"/>
    <n v="12.13"/>
    <n v="176"/>
    <x v="2"/>
    <x v="0"/>
    <x v="1"/>
  </r>
  <r>
    <x v="2"/>
    <x v="7"/>
    <x v="4"/>
    <x v="6"/>
    <x v="11"/>
    <n v="367"/>
    <n v="294"/>
    <x v="98"/>
    <n v="46.16"/>
    <n v="11.46"/>
    <n v="12.95"/>
    <n v="201"/>
    <x v="1"/>
    <x v="3"/>
    <x v="1"/>
  </r>
  <r>
    <x v="0"/>
    <x v="5"/>
    <x v="2"/>
    <x v="2"/>
    <x v="26"/>
    <n v="55"/>
    <n v="42"/>
    <x v="99"/>
    <n v="12.39"/>
    <n v="3.84"/>
    <n v="22.78"/>
    <n v="125"/>
    <x v="0"/>
    <x v="0"/>
    <x v="2"/>
  </r>
  <r>
    <x v="1"/>
    <x v="4"/>
    <x v="0"/>
    <x v="3"/>
    <x v="45"/>
    <n v="88"/>
    <n v="48"/>
    <x v="100"/>
    <n v="14.54"/>
    <n v="12.12"/>
    <n v="24.22"/>
    <n v="25"/>
    <x v="2"/>
    <x v="3"/>
    <x v="2"/>
  </r>
  <r>
    <x v="1"/>
    <x v="5"/>
    <x v="2"/>
    <x v="15"/>
    <x v="86"/>
    <n v="253"/>
    <n v="139"/>
    <x v="101"/>
    <n v="58.1"/>
    <n v="47.65"/>
    <n v="11.03"/>
    <n v="25"/>
    <x v="0"/>
    <x v="1"/>
    <x v="1"/>
  </r>
  <r>
    <x v="1"/>
    <x v="5"/>
    <x v="2"/>
    <x v="2"/>
    <x v="25"/>
    <n v="361"/>
    <n v="228"/>
    <x v="102"/>
    <n v="82.99"/>
    <n v="48.41"/>
    <n v="4.0599999999999996"/>
    <n v="134"/>
    <x v="0"/>
    <x v="2"/>
    <x v="0"/>
  </r>
  <r>
    <x v="1"/>
    <x v="11"/>
    <x v="4"/>
    <x v="7"/>
    <x v="87"/>
    <n v="381"/>
    <n v="356"/>
    <x v="103"/>
    <n v="172.66"/>
    <n v="12.12"/>
    <n v="19.73"/>
    <n v="240"/>
    <x v="2"/>
    <x v="3"/>
    <x v="3"/>
  </r>
  <r>
    <x v="0"/>
    <x v="7"/>
    <x v="1"/>
    <x v="16"/>
    <x v="1"/>
    <n v="397"/>
    <n v="205"/>
    <x v="104"/>
    <n v="75.849999999999994"/>
    <n v="71.040000000000006"/>
    <n v="-7.83"/>
    <n v="232"/>
    <x v="0"/>
    <x v="3"/>
    <x v="1"/>
  </r>
  <r>
    <x v="1"/>
    <x v="5"/>
    <x v="1"/>
    <x v="11"/>
    <x v="88"/>
    <n v="395"/>
    <n v="168"/>
    <x v="105"/>
    <n v="22.68"/>
    <n v="30.65"/>
    <n v="18.59"/>
    <n v="123"/>
    <x v="1"/>
    <x v="0"/>
    <x v="1"/>
  </r>
  <r>
    <x v="1"/>
    <x v="10"/>
    <x v="3"/>
    <x v="12"/>
    <x v="89"/>
    <n v="128"/>
    <n v="113"/>
    <x v="106"/>
    <n v="46.33"/>
    <n v="6.15"/>
    <n v="-0.17"/>
    <n v="157"/>
    <x v="2"/>
    <x v="3"/>
    <x v="1"/>
  </r>
  <r>
    <x v="2"/>
    <x v="1"/>
    <x v="2"/>
    <x v="15"/>
    <x v="90"/>
    <n v="380"/>
    <n v="119"/>
    <x v="107"/>
    <n v="41.05"/>
    <n v="90.04"/>
    <n v="14.74"/>
    <n v="116"/>
    <x v="0"/>
    <x v="2"/>
    <x v="1"/>
  </r>
  <r>
    <x v="0"/>
    <x v="9"/>
    <x v="2"/>
    <x v="15"/>
    <x v="43"/>
    <n v="224"/>
    <n v="194"/>
    <x v="108"/>
    <n v="84.58"/>
    <n v="13.08"/>
    <n v="-4.99"/>
    <n v="232"/>
    <x v="0"/>
    <x v="3"/>
    <x v="3"/>
  </r>
  <r>
    <x v="1"/>
    <x v="2"/>
    <x v="2"/>
    <x v="15"/>
    <x v="87"/>
    <n v="201"/>
    <n v="182"/>
    <x v="109"/>
    <n v="88.27"/>
    <n v="9.2200000000000006"/>
    <n v="-3.03"/>
    <n v="107"/>
    <x v="2"/>
    <x v="1"/>
    <x v="3"/>
  </r>
  <r>
    <x v="0"/>
    <x v="7"/>
    <x v="2"/>
    <x v="2"/>
    <x v="91"/>
    <n v="202"/>
    <n v="79"/>
    <x v="110"/>
    <n v="32.86"/>
    <n v="51.17"/>
    <n v="21.01"/>
    <n v="69"/>
    <x v="1"/>
    <x v="3"/>
    <x v="3"/>
  </r>
  <r>
    <x v="0"/>
    <x v="6"/>
    <x v="3"/>
    <x v="8"/>
    <x v="92"/>
    <n v="73"/>
    <n v="50"/>
    <x v="111"/>
    <n v="10"/>
    <n v="4.5999999999999996"/>
    <n v="-9.48"/>
    <n v="106"/>
    <x v="1"/>
    <x v="1"/>
    <x v="1"/>
  </r>
  <r>
    <x v="0"/>
    <x v="9"/>
    <x v="3"/>
    <x v="8"/>
    <x v="93"/>
    <n v="96"/>
    <n v="51"/>
    <x v="112"/>
    <n v="18.72"/>
    <n v="16.52"/>
    <n v="7.02"/>
    <n v="55"/>
    <x v="0"/>
    <x v="1"/>
    <x v="1"/>
  </r>
  <r>
    <x v="1"/>
    <x v="1"/>
    <x v="0"/>
    <x v="14"/>
    <x v="94"/>
    <n v="164"/>
    <n v="92"/>
    <x v="113"/>
    <n v="40.299999999999997"/>
    <n v="31.54"/>
    <n v="8.57"/>
    <n v="204"/>
    <x v="0"/>
    <x v="0"/>
    <x v="0"/>
  </r>
  <r>
    <x v="0"/>
    <x v="11"/>
    <x v="0"/>
    <x v="0"/>
    <x v="34"/>
    <n v="339"/>
    <n v="220"/>
    <x v="114"/>
    <n v="44.88"/>
    <n v="24.28"/>
    <n v="8.57"/>
    <n v="97"/>
    <x v="2"/>
    <x v="0"/>
    <x v="3"/>
  </r>
  <r>
    <x v="2"/>
    <x v="8"/>
    <x v="1"/>
    <x v="11"/>
    <x v="95"/>
    <n v="67"/>
    <n v="35"/>
    <x v="115"/>
    <n v="5.67"/>
    <n v="5.18"/>
    <n v="11.04"/>
    <n v="85"/>
    <x v="1"/>
    <x v="2"/>
    <x v="1"/>
  </r>
  <r>
    <x v="1"/>
    <x v="1"/>
    <x v="0"/>
    <x v="3"/>
    <x v="96"/>
    <n v="348"/>
    <n v="42"/>
    <x v="116"/>
    <n v="18.899999999999999"/>
    <n v="137.69999999999999"/>
    <n v="24.84"/>
    <n v="279"/>
    <x v="1"/>
    <x v="0"/>
    <x v="1"/>
  </r>
  <r>
    <x v="2"/>
    <x v="11"/>
    <x v="4"/>
    <x v="6"/>
    <x v="97"/>
    <n v="470"/>
    <n v="222"/>
    <x v="117"/>
    <n v="64.38"/>
    <n v="71.92"/>
    <n v="17.75"/>
    <n v="216"/>
    <x v="2"/>
    <x v="3"/>
    <x v="2"/>
  </r>
  <r>
    <x v="1"/>
    <x v="10"/>
    <x v="1"/>
    <x v="1"/>
    <x v="98"/>
    <n v="350"/>
    <n v="79"/>
    <x v="118"/>
    <n v="16.670000000000002"/>
    <n v="57.18"/>
    <n v="16.079999999999998"/>
    <n v="124"/>
    <x v="1"/>
    <x v="1"/>
    <x v="3"/>
  </r>
  <r>
    <x v="2"/>
    <x v="4"/>
    <x v="4"/>
    <x v="5"/>
    <x v="99"/>
    <n v="116"/>
    <n v="45"/>
    <x v="119"/>
    <n v="4.91"/>
    <n v="7.74"/>
    <n v="21.8"/>
    <n v="103"/>
    <x v="0"/>
    <x v="2"/>
    <x v="1"/>
  </r>
  <r>
    <x v="2"/>
    <x v="0"/>
    <x v="0"/>
    <x v="0"/>
    <x v="30"/>
    <n v="308"/>
    <n v="37"/>
    <x v="120"/>
    <n v="18.5"/>
    <n v="135.5"/>
    <n v="-6.55"/>
    <n v="157"/>
    <x v="0"/>
    <x v="1"/>
    <x v="1"/>
  </r>
  <r>
    <x v="0"/>
    <x v="0"/>
    <x v="4"/>
    <x v="6"/>
    <x v="69"/>
    <n v="371"/>
    <n v="285"/>
    <x v="121"/>
    <n v="14.25"/>
    <n v="4.3"/>
    <n v="18.46"/>
    <n v="214"/>
    <x v="0"/>
    <x v="3"/>
    <x v="0"/>
  </r>
  <r>
    <x v="0"/>
    <x v="9"/>
    <x v="1"/>
    <x v="1"/>
    <x v="100"/>
    <n v="495"/>
    <n v="213"/>
    <x v="122"/>
    <n v="59.85"/>
    <n v="79.239999999999995"/>
    <n v="-5.84"/>
    <n v="40"/>
    <x v="0"/>
    <x v="0"/>
    <x v="2"/>
  </r>
  <r>
    <x v="0"/>
    <x v="9"/>
    <x v="0"/>
    <x v="3"/>
    <x v="101"/>
    <n v="130"/>
    <n v="70"/>
    <x v="123"/>
    <n v="20.09"/>
    <n v="17.22"/>
    <n v="7.46"/>
    <n v="282"/>
    <x v="0"/>
    <x v="3"/>
    <x v="3"/>
  </r>
  <r>
    <x v="0"/>
    <x v="10"/>
    <x v="4"/>
    <x v="6"/>
    <x v="102"/>
    <n v="78"/>
    <n v="41"/>
    <x v="124"/>
    <n v="18.86"/>
    <n v="17.02"/>
    <n v="5.73"/>
    <n v="298"/>
    <x v="0"/>
    <x v="0"/>
    <x v="0"/>
  </r>
  <r>
    <x v="2"/>
    <x v="7"/>
    <x v="4"/>
    <x v="6"/>
    <x v="15"/>
    <n v="84"/>
    <n v="64"/>
    <x v="125"/>
    <n v="21.38"/>
    <n v="6.68"/>
    <n v="-5.1100000000000003"/>
    <n v="208"/>
    <x v="1"/>
    <x v="2"/>
    <x v="3"/>
  </r>
  <r>
    <x v="1"/>
    <x v="11"/>
    <x v="1"/>
    <x v="16"/>
    <x v="103"/>
    <n v="81"/>
    <n v="62"/>
    <x v="126"/>
    <n v="19.41"/>
    <n v="5.95"/>
    <n v="-9.76"/>
    <n v="182"/>
    <x v="1"/>
    <x v="0"/>
    <x v="1"/>
  </r>
  <r>
    <x v="2"/>
    <x v="3"/>
    <x v="3"/>
    <x v="8"/>
    <x v="104"/>
    <n v="222"/>
    <n v="176"/>
    <x v="127"/>
    <n v="15.66"/>
    <n v="4.09"/>
    <n v="9.7100000000000009"/>
    <n v="214"/>
    <x v="0"/>
    <x v="2"/>
    <x v="3"/>
  </r>
  <r>
    <x v="0"/>
    <x v="5"/>
    <x v="1"/>
    <x v="11"/>
    <x v="61"/>
    <n v="440"/>
    <n v="407"/>
    <x v="128"/>
    <n v="198.62"/>
    <n v="16.100000000000001"/>
    <n v="2.37"/>
    <n v="277"/>
    <x v="0"/>
    <x v="0"/>
    <x v="2"/>
  </r>
  <r>
    <x v="0"/>
    <x v="1"/>
    <x v="3"/>
    <x v="9"/>
    <x v="105"/>
    <n v="394"/>
    <n v="299"/>
    <x v="129"/>
    <n v="121.09"/>
    <n v="38.47"/>
    <n v="-5.83"/>
    <n v="141"/>
    <x v="1"/>
    <x v="3"/>
    <x v="2"/>
  </r>
  <r>
    <x v="1"/>
    <x v="8"/>
    <x v="1"/>
    <x v="16"/>
    <x v="42"/>
    <n v="195"/>
    <n v="174"/>
    <x v="130"/>
    <n v="43.33"/>
    <n v="5.23"/>
    <n v="18.84"/>
    <n v="241"/>
    <x v="0"/>
    <x v="2"/>
    <x v="1"/>
  </r>
  <r>
    <x v="2"/>
    <x v="4"/>
    <x v="1"/>
    <x v="11"/>
    <x v="106"/>
    <n v="224"/>
    <n v="86"/>
    <x v="131"/>
    <n v="17.8"/>
    <n v="28.57"/>
    <n v="17.95"/>
    <n v="104"/>
    <x v="2"/>
    <x v="2"/>
    <x v="2"/>
  </r>
  <r>
    <x v="0"/>
    <x v="11"/>
    <x v="3"/>
    <x v="8"/>
    <x v="107"/>
    <n v="242"/>
    <n v="220"/>
    <x v="132"/>
    <n v="56.76"/>
    <n v="5.68"/>
    <n v="14.12"/>
    <n v="54"/>
    <x v="0"/>
    <x v="1"/>
    <x v="2"/>
  </r>
  <r>
    <x v="0"/>
    <x v="8"/>
    <x v="4"/>
    <x v="6"/>
    <x v="108"/>
    <n v="418"/>
    <n v="92"/>
    <x v="133"/>
    <n v="41.68"/>
    <n v="147.68"/>
    <n v="20.71"/>
    <n v="125"/>
    <x v="1"/>
    <x v="2"/>
    <x v="2"/>
  </r>
  <r>
    <x v="0"/>
    <x v="7"/>
    <x v="2"/>
    <x v="2"/>
    <x v="85"/>
    <n v="273"/>
    <n v="171"/>
    <x v="134"/>
    <n v="29.58"/>
    <n v="17.649999999999999"/>
    <n v="-7.4"/>
    <n v="219"/>
    <x v="2"/>
    <x v="2"/>
    <x v="2"/>
  </r>
  <r>
    <x v="1"/>
    <x v="1"/>
    <x v="4"/>
    <x v="7"/>
    <x v="109"/>
    <n v="71"/>
    <n v="49"/>
    <x v="135"/>
    <n v="11.56"/>
    <n v="5.19"/>
    <n v="-4.95"/>
    <n v="144"/>
    <x v="2"/>
    <x v="2"/>
    <x v="0"/>
  </r>
  <r>
    <x v="2"/>
    <x v="5"/>
    <x v="3"/>
    <x v="9"/>
    <x v="75"/>
    <n v="494"/>
    <n v="271"/>
    <x v="136"/>
    <n v="54.47"/>
    <n v="44.82"/>
    <n v="11.27"/>
    <n v="53"/>
    <x v="0"/>
    <x v="0"/>
    <x v="1"/>
  </r>
  <r>
    <x v="0"/>
    <x v="1"/>
    <x v="0"/>
    <x v="14"/>
    <x v="110"/>
    <n v="235"/>
    <n v="195"/>
    <x v="137"/>
    <n v="65.72"/>
    <n v="13.48"/>
    <n v="-6.27"/>
    <n v="114"/>
    <x v="2"/>
    <x v="0"/>
    <x v="2"/>
  </r>
  <r>
    <x v="0"/>
    <x v="7"/>
    <x v="2"/>
    <x v="2"/>
    <x v="111"/>
    <n v="375"/>
    <n v="147"/>
    <x v="138"/>
    <n v="72.03"/>
    <n v="111.72"/>
    <n v="10.039999999999999"/>
    <n v="81"/>
    <x v="0"/>
    <x v="3"/>
    <x v="0"/>
  </r>
  <r>
    <x v="2"/>
    <x v="9"/>
    <x v="1"/>
    <x v="16"/>
    <x v="112"/>
    <n v="155"/>
    <n v="102"/>
    <x v="139"/>
    <n v="18.87"/>
    <n v="9.8000000000000007"/>
    <n v="-3.18"/>
    <n v="275"/>
    <x v="1"/>
    <x v="3"/>
    <x v="0"/>
  </r>
  <r>
    <x v="1"/>
    <x v="9"/>
    <x v="4"/>
    <x v="7"/>
    <x v="113"/>
    <n v="96"/>
    <n v="43"/>
    <x v="140"/>
    <n v="11.22"/>
    <n v="13.83"/>
    <n v="1.68"/>
    <n v="111"/>
    <x v="0"/>
    <x v="0"/>
    <x v="3"/>
  </r>
  <r>
    <x v="1"/>
    <x v="10"/>
    <x v="1"/>
    <x v="11"/>
    <x v="114"/>
    <n v="418"/>
    <n v="333"/>
    <x v="141"/>
    <n v="108.56"/>
    <n v="27.71"/>
    <n v="-0.2"/>
    <n v="184"/>
    <x v="0"/>
    <x v="1"/>
    <x v="2"/>
  </r>
  <r>
    <x v="2"/>
    <x v="4"/>
    <x v="0"/>
    <x v="0"/>
    <x v="115"/>
    <n v="396"/>
    <n v="57"/>
    <x v="142"/>
    <n v="27.19"/>
    <n v="161.69999999999999"/>
    <n v="1.7"/>
    <n v="89"/>
    <x v="0"/>
    <x v="0"/>
    <x v="2"/>
  </r>
  <r>
    <x v="0"/>
    <x v="6"/>
    <x v="1"/>
    <x v="16"/>
    <x v="116"/>
    <n v="100"/>
    <n v="86"/>
    <x v="143"/>
    <n v="33.799999999999997"/>
    <n v="5.5"/>
    <n v="10.99"/>
    <n v="37"/>
    <x v="1"/>
    <x v="1"/>
    <x v="3"/>
  </r>
  <r>
    <x v="2"/>
    <x v="3"/>
    <x v="4"/>
    <x v="7"/>
    <x v="117"/>
    <n v="305"/>
    <n v="227"/>
    <x v="144"/>
    <n v="109.19"/>
    <n v="37.520000000000003"/>
    <n v="10.74"/>
    <n v="268"/>
    <x v="0"/>
    <x v="1"/>
    <x v="1"/>
  </r>
  <r>
    <x v="2"/>
    <x v="11"/>
    <x v="3"/>
    <x v="12"/>
    <x v="118"/>
    <n v="417"/>
    <n v="103"/>
    <x v="145"/>
    <n v="30.49"/>
    <n v="92.94"/>
    <n v="2.21"/>
    <n v="34"/>
    <x v="0"/>
    <x v="0"/>
    <x v="2"/>
  </r>
  <r>
    <x v="1"/>
    <x v="2"/>
    <x v="1"/>
    <x v="13"/>
    <x v="119"/>
    <n v="250"/>
    <n v="119"/>
    <x v="146"/>
    <n v="31.3"/>
    <n v="34.450000000000003"/>
    <n v="9.82"/>
    <n v="247"/>
    <x v="1"/>
    <x v="0"/>
    <x v="1"/>
  </r>
  <r>
    <x v="2"/>
    <x v="11"/>
    <x v="3"/>
    <x v="9"/>
    <x v="120"/>
    <n v="144"/>
    <n v="111"/>
    <x v="147"/>
    <n v="55.06"/>
    <n v="16.37"/>
    <n v="14.92"/>
    <n v="105"/>
    <x v="2"/>
    <x v="2"/>
    <x v="1"/>
  </r>
  <r>
    <x v="0"/>
    <x v="7"/>
    <x v="2"/>
    <x v="15"/>
    <x v="121"/>
    <n v="144"/>
    <n v="37"/>
    <x v="148"/>
    <n v="15.1"/>
    <n v="43.66"/>
    <n v="6.76"/>
    <n v="247"/>
    <x v="0"/>
    <x v="0"/>
    <x v="2"/>
  </r>
  <r>
    <x v="1"/>
    <x v="11"/>
    <x v="0"/>
    <x v="0"/>
    <x v="122"/>
    <n v="495"/>
    <n v="205"/>
    <x v="149"/>
    <n v="98.19"/>
    <n v="138.91"/>
    <n v="13.95"/>
    <n v="291"/>
    <x v="1"/>
    <x v="0"/>
    <x v="1"/>
  </r>
  <r>
    <x v="2"/>
    <x v="2"/>
    <x v="4"/>
    <x v="7"/>
    <x v="123"/>
    <n v="113"/>
    <n v="73"/>
    <x v="150"/>
    <n v="23.43"/>
    <n v="12.84"/>
    <n v="-5.0999999999999996"/>
    <n v="238"/>
    <x v="2"/>
    <x v="2"/>
    <x v="3"/>
  </r>
  <r>
    <x v="0"/>
    <x v="2"/>
    <x v="1"/>
    <x v="16"/>
    <x v="124"/>
    <n v="315"/>
    <n v="241"/>
    <x v="151"/>
    <n v="15.18"/>
    <n v="4.66"/>
    <n v="19.72"/>
    <n v="230"/>
    <x v="2"/>
    <x v="0"/>
    <x v="3"/>
  </r>
  <r>
    <x v="0"/>
    <x v="9"/>
    <x v="4"/>
    <x v="5"/>
    <x v="125"/>
    <n v="256"/>
    <n v="68"/>
    <x v="152"/>
    <n v="4.3499999999999996"/>
    <n v="12.03"/>
    <n v="19.21"/>
    <n v="189"/>
    <x v="1"/>
    <x v="1"/>
    <x v="2"/>
  </r>
  <r>
    <x v="0"/>
    <x v="9"/>
    <x v="0"/>
    <x v="3"/>
    <x v="126"/>
    <n v="229"/>
    <n v="147"/>
    <x v="153"/>
    <n v="39.840000000000003"/>
    <n v="22.22"/>
    <n v="16.87"/>
    <n v="136"/>
    <x v="2"/>
    <x v="2"/>
    <x v="3"/>
  </r>
  <r>
    <x v="0"/>
    <x v="3"/>
    <x v="0"/>
    <x v="3"/>
    <x v="74"/>
    <n v="481"/>
    <n v="178"/>
    <x v="154"/>
    <n v="23.5"/>
    <n v="40"/>
    <n v="8.23"/>
    <n v="164"/>
    <x v="0"/>
    <x v="1"/>
    <x v="1"/>
  </r>
  <r>
    <x v="0"/>
    <x v="0"/>
    <x v="0"/>
    <x v="0"/>
    <x v="127"/>
    <n v="331"/>
    <n v="149"/>
    <x v="155"/>
    <n v="71.97"/>
    <n v="87.91"/>
    <n v="14.54"/>
    <n v="73"/>
    <x v="1"/>
    <x v="0"/>
    <x v="0"/>
  </r>
  <r>
    <x v="0"/>
    <x v="5"/>
    <x v="4"/>
    <x v="5"/>
    <x v="2"/>
    <n v="158"/>
    <n v="101"/>
    <x v="156"/>
    <n v="8.2799999999999994"/>
    <n v="4.67"/>
    <n v="-1.89"/>
    <n v="288"/>
    <x v="0"/>
    <x v="3"/>
    <x v="0"/>
  </r>
  <r>
    <x v="0"/>
    <x v="7"/>
    <x v="4"/>
    <x v="7"/>
    <x v="128"/>
    <n v="85"/>
    <n v="71"/>
    <x v="157"/>
    <n v="25.56"/>
    <n v="5.04"/>
    <n v="8.9"/>
    <n v="28"/>
    <x v="2"/>
    <x v="2"/>
    <x v="3"/>
  </r>
  <r>
    <x v="2"/>
    <x v="3"/>
    <x v="4"/>
    <x v="5"/>
    <x v="16"/>
    <n v="486"/>
    <n v="254"/>
    <x v="158"/>
    <n v="25.4"/>
    <n v="23.2"/>
    <n v="23.42"/>
    <n v="270"/>
    <x v="2"/>
    <x v="0"/>
    <x v="1"/>
  </r>
  <r>
    <x v="2"/>
    <x v="8"/>
    <x v="1"/>
    <x v="13"/>
    <x v="90"/>
    <n v="186"/>
    <n v="37"/>
    <x v="159"/>
    <n v="12.77"/>
    <n v="51.41"/>
    <n v="10.34"/>
    <n v="187"/>
    <x v="2"/>
    <x v="3"/>
    <x v="0"/>
  </r>
  <r>
    <x v="2"/>
    <x v="7"/>
    <x v="0"/>
    <x v="0"/>
    <x v="129"/>
    <n v="193"/>
    <n v="182"/>
    <x v="160"/>
    <n v="32.21"/>
    <n v="1.95"/>
    <n v="13.07"/>
    <n v="186"/>
    <x v="1"/>
    <x v="3"/>
    <x v="1"/>
  </r>
  <r>
    <x v="2"/>
    <x v="1"/>
    <x v="1"/>
    <x v="1"/>
    <x v="130"/>
    <n v="449"/>
    <n v="160"/>
    <x v="161"/>
    <n v="67.040000000000006"/>
    <n v="121.09"/>
    <n v="11.12"/>
    <n v="192"/>
    <x v="0"/>
    <x v="2"/>
    <x v="1"/>
  </r>
  <r>
    <x v="0"/>
    <x v="3"/>
    <x v="1"/>
    <x v="1"/>
    <x v="131"/>
    <n v="263"/>
    <n v="205"/>
    <x v="162"/>
    <n v="57.81"/>
    <n v="16.36"/>
    <n v="2.6"/>
    <n v="239"/>
    <x v="1"/>
    <x v="2"/>
    <x v="3"/>
  </r>
  <r>
    <x v="1"/>
    <x v="1"/>
    <x v="0"/>
    <x v="14"/>
    <x v="95"/>
    <n v="302"/>
    <n v="288"/>
    <x v="163"/>
    <n v="46.66"/>
    <n v="2.27"/>
    <n v="17.48"/>
    <n v="290"/>
    <x v="1"/>
    <x v="3"/>
    <x v="2"/>
  </r>
  <r>
    <x v="2"/>
    <x v="5"/>
    <x v="1"/>
    <x v="13"/>
    <x v="24"/>
    <n v="378"/>
    <n v="268"/>
    <x v="164"/>
    <n v="46.9"/>
    <n v="19.25"/>
    <n v="16.649999999999999"/>
    <n v="140"/>
    <x v="1"/>
    <x v="3"/>
    <x v="3"/>
  </r>
  <r>
    <x v="2"/>
    <x v="11"/>
    <x v="1"/>
    <x v="13"/>
    <x v="132"/>
    <n v="207"/>
    <n v="65"/>
    <x v="165"/>
    <n v="12.09"/>
    <n v="26.41"/>
    <n v="-2.54"/>
    <n v="162"/>
    <x v="2"/>
    <x v="3"/>
    <x v="3"/>
  </r>
  <r>
    <x v="0"/>
    <x v="8"/>
    <x v="3"/>
    <x v="8"/>
    <x v="133"/>
    <n v="394"/>
    <n v="348"/>
    <x v="166"/>
    <n v="107.18"/>
    <n v="14.17"/>
    <n v="20.29"/>
    <n v="65"/>
    <x v="1"/>
    <x v="1"/>
    <x v="3"/>
  </r>
  <r>
    <x v="1"/>
    <x v="2"/>
    <x v="1"/>
    <x v="1"/>
    <x v="134"/>
    <n v="266"/>
    <n v="208"/>
    <x v="167"/>
    <n v="53.25"/>
    <n v="14.85"/>
    <n v="12.12"/>
    <n v="150"/>
    <x v="0"/>
    <x v="3"/>
    <x v="2"/>
  </r>
  <r>
    <x v="1"/>
    <x v="0"/>
    <x v="1"/>
    <x v="11"/>
    <x v="99"/>
    <n v="166"/>
    <n v="57"/>
    <x v="168"/>
    <n v="6.21"/>
    <n v="11.88"/>
    <n v="-6"/>
    <n v="104"/>
    <x v="0"/>
    <x v="1"/>
    <x v="2"/>
  </r>
  <r>
    <x v="1"/>
    <x v="3"/>
    <x v="1"/>
    <x v="11"/>
    <x v="135"/>
    <n v="211"/>
    <n v="100"/>
    <x v="169"/>
    <n v="44.5"/>
    <n v="49.39"/>
    <n v="20.73"/>
    <n v="110"/>
    <x v="2"/>
    <x v="3"/>
    <x v="3"/>
  </r>
  <r>
    <x v="0"/>
    <x v="4"/>
    <x v="3"/>
    <x v="4"/>
    <x v="54"/>
    <n v="69"/>
    <n v="45"/>
    <x v="170"/>
    <n v="16.16"/>
    <n v="8.6199999999999992"/>
    <n v="19.350000000000001"/>
    <n v="23"/>
    <x v="0"/>
    <x v="1"/>
    <x v="1"/>
  </r>
  <r>
    <x v="1"/>
    <x v="0"/>
    <x v="2"/>
    <x v="2"/>
    <x v="135"/>
    <n v="207"/>
    <n v="127"/>
    <x v="171"/>
    <n v="56.52"/>
    <n v="35.6"/>
    <n v="14.14"/>
    <n v="247"/>
    <x v="2"/>
    <x v="2"/>
    <x v="3"/>
  </r>
  <r>
    <x v="1"/>
    <x v="6"/>
    <x v="3"/>
    <x v="8"/>
    <x v="136"/>
    <n v="187"/>
    <n v="80"/>
    <x v="172"/>
    <n v="7.6"/>
    <n v="10.17"/>
    <n v="10.88"/>
    <n v="283"/>
    <x v="1"/>
    <x v="0"/>
    <x v="3"/>
  </r>
  <r>
    <x v="0"/>
    <x v="8"/>
    <x v="0"/>
    <x v="3"/>
    <x v="137"/>
    <n v="419"/>
    <n v="48"/>
    <x v="173"/>
    <n v="8.11"/>
    <n v="62.7"/>
    <n v="0.65"/>
    <n v="144"/>
    <x v="2"/>
    <x v="3"/>
    <x v="3"/>
  </r>
  <r>
    <x v="2"/>
    <x v="10"/>
    <x v="4"/>
    <x v="7"/>
    <x v="138"/>
    <n v="406"/>
    <n v="387"/>
    <x v="174"/>
    <n v="146.66999999999999"/>
    <n v="7.2"/>
    <n v="11"/>
    <n v="264"/>
    <x v="1"/>
    <x v="3"/>
    <x v="3"/>
  </r>
  <r>
    <x v="1"/>
    <x v="2"/>
    <x v="2"/>
    <x v="15"/>
    <x v="119"/>
    <n v="113"/>
    <n v="96"/>
    <x v="175"/>
    <n v="25.25"/>
    <n v="4.47"/>
    <n v="9.7799999999999994"/>
    <n v="168"/>
    <x v="2"/>
    <x v="2"/>
    <x v="2"/>
  </r>
  <r>
    <x v="1"/>
    <x v="0"/>
    <x v="2"/>
    <x v="15"/>
    <x v="139"/>
    <n v="339"/>
    <n v="61"/>
    <x v="176"/>
    <n v="21.47"/>
    <n v="97.86"/>
    <n v="23.75"/>
    <n v="82"/>
    <x v="1"/>
    <x v="2"/>
    <x v="0"/>
  </r>
  <r>
    <x v="2"/>
    <x v="2"/>
    <x v="0"/>
    <x v="3"/>
    <x v="140"/>
    <n v="237"/>
    <n v="110"/>
    <x v="177"/>
    <n v="51.59"/>
    <n v="59.56"/>
    <n v="19.05"/>
    <n v="101"/>
    <x v="0"/>
    <x v="2"/>
    <x v="3"/>
  </r>
  <r>
    <x v="2"/>
    <x v="5"/>
    <x v="2"/>
    <x v="15"/>
    <x v="129"/>
    <n v="174"/>
    <n v="81"/>
    <x v="178"/>
    <n v="14.34"/>
    <n v="16.46"/>
    <n v="9.9499999999999993"/>
    <n v="255"/>
    <x v="2"/>
    <x v="3"/>
    <x v="2"/>
  </r>
  <r>
    <x v="2"/>
    <x v="3"/>
    <x v="0"/>
    <x v="0"/>
    <x v="141"/>
    <n v="143"/>
    <n v="133"/>
    <x v="179"/>
    <n v="26.2"/>
    <n v="1.97"/>
    <n v="11.82"/>
    <n v="66"/>
    <x v="2"/>
    <x v="0"/>
    <x v="2"/>
  </r>
  <r>
    <x v="0"/>
    <x v="11"/>
    <x v="0"/>
    <x v="14"/>
    <x v="142"/>
    <n v="321"/>
    <n v="95"/>
    <x v="180"/>
    <n v="5.04"/>
    <n v="11.98"/>
    <n v="0.74"/>
    <n v="259"/>
    <x v="0"/>
    <x v="1"/>
    <x v="3"/>
  </r>
  <r>
    <x v="1"/>
    <x v="10"/>
    <x v="1"/>
    <x v="11"/>
    <x v="10"/>
    <n v="353"/>
    <n v="135"/>
    <x v="181"/>
    <n v="9.7200000000000006"/>
    <n v="15.7"/>
    <n v="2.17"/>
    <n v="50"/>
    <x v="0"/>
    <x v="3"/>
    <x v="2"/>
  </r>
  <r>
    <x v="0"/>
    <x v="11"/>
    <x v="2"/>
    <x v="15"/>
    <x v="143"/>
    <n v="388"/>
    <n v="359"/>
    <x v="182"/>
    <n v="115.6"/>
    <n v="9.34"/>
    <n v="22.6"/>
    <n v="46"/>
    <x v="0"/>
    <x v="3"/>
    <x v="1"/>
  </r>
  <r>
    <x v="1"/>
    <x v="11"/>
    <x v="1"/>
    <x v="1"/>
    <x v="144"/>
    <n v="381"/>
    <n v="191"/>
    <x v="183"/>
    <n v="76.59"/>
    <n v="76.19"/>
    <n v="5.79"/>
    <n v="86"/>
    <x v="2"/>
    <x v="0"/>
    <x v="2"/>
  </r>
  <r>
    <x v="2"/>
    <x v="8"/>
    <x v="2"/>
    <x v="15"/>
    <x v="145"/>
    <n v="460"/>
    <n v="254"/>
    <x v="184"/>
    <n v="125.22"/>
    <n v="101.56"/>
    <n v="3.23"/>
    <n v="37"/>
    <x v="2"/>
    <x v="2"/>
    <x v="0"/>
  </r>
  <r>
    <x v="2"/>
    <x v="8"/>
    <x v="3"/>
    <x v="9"/>
    <x v="113"/>
    <n v="179"/>
    <n v="157"/>
    <x v="185"/>
    <n v="40.98"/>
    <n v="5.74"/>
    <n v="10.29"/>
    <n v="275"/>
    <x v="2"/>
    <x v="0"/>
    <x v="2"/>
  </r>
  <r>
    <x v="2"/>
    <x v="0"/>
    <x v="3"/>
    <x v="12"/>
    <x v="146"/>
    <n v="372"/>
    <n v="84"/>
    <x v="186"/>
    <n v="36.54"/>
    <n v="125.28"/>
    <n v="20.04"/>
    <n v="240"/>
    <x v="0"/>
    <x v="2"/>
    <x v="1"/>
  </r>
  <r>
    <x v="2"/>
    <x v="11"/>
    <x v="3"/>
    <x v="8"/>
    <x v="147"/>
    <n v="479"/>
    <n v="303"/>
    <x v="187"/>
    <n v="61.21"/>
    <n v="35.549999999999997"/>
    <n v="7.91"/>
    <n v="126"/>
    <x v="0"/>
    <x v="2"/>
    <x v="3"/>
  </r>
  <r>
    <x v="1"/>
    <x v="2"/>
    <x v="0"/>
    <x v="3"/>
    <x v="148"/>
    <n v="50"/>
    <n v="30"/>
    <x v="188"/>
    <n v="10.65"/>
    <n v="7.1"/>
    <n v="3.58"/>
    <n v="195"/>
    <x v="1"/>
    <x v="2"/>
    <x v="1"/>
  </r>
  <r>
    <x v="2"/>
    <x v="2"/>
    <x v="2"/>
    <x v="15"/>
    <x v="149"/>
    <n v="327"/>
    <n v="199"/>
    <x v="189"/>
    <n v="25.47"/>
    <n v="16.38"/>
    <n v="21.84"/>
    <n v="50"/>
    <x v="2"/>
    <x v="3"/>
    <x v="2"/>
  </r>
  <r>
    <x v="2"/>
    <x v="2"/>
    <x v="1"/>
    <x v="13"/>
    <x v="96"/>
    <n v="272"/>
    <n v="58"/>
    <x v="190"/>
    <n v="26.1"/>
    <n v="96.3"/>
    <n v="-4.04"/>
    <n v="146"/>
    <x v="2"/>
    <x v="3"/>
    <x v="2"/>
  </r>
  <r>
    <x v="0"/>
    <x v="0"/>
    <x v="2"/>
    <x v="10"/>
    <x v="150"/>
    <n v="313"/>
    <n v="238"/>
    <x v="191"/>
    <n v="94.25"/>
    <n v="29.7"/>
    <n v="-5.21"/>
    <n v="86"/>
    <x v="0"/>
    <x v="0"/>
    <x v="0"/>
  </r>
  <r>
    <x v="0"/>
    <x v="2"/>
    <x v="0"/>
    <x v="14"/>
    <x v="151"/>
    <n v="131"/>
    <n v="33"/>
    <x v="192"/>
    <n v="13.3"/>
    <n v="39.49"/>
    <n v="-8.4499999999999993"/>
    <n v="100"/>
    <x v="0"/>
    <x v="1"/>
    <x v="2"/>
  </r>
  <r>
    <x v="1"/>
    <x v="9"/>
    <x v="3"/>
    <x v="4"/>
    <x v="152"/>
    <n v="62"/>
    <n v="51"/>
    <x v="193"/>
    <n v="15.5"/>
    <n v="3.34"/>
    <n v="10.039999999999999"/>
    <n v="33"/>
    <x v="1"/>
    <x v="1"/>
    <x v="1"/>
  </r>
  <r>
    <x v="2"/>
    <x v="8"/>
    <x v="1"/>
    <x v="11"/>
    <x v="153"/>
    <n v="64"/>
    <n v="50"/>
    <x v="194"/>
    <n v="7.4"/>
    <n v="2.0699999999999998"/>
    <n v="-9.81"/>
    <n v="104"/>
    <x v="2"/>
    <x v="0"/>
    <x v="1"/>
  </r>
  <r>
    <x v="1"/>
    <x v="10"/>
    <x v="1"/>
    <x v="16"/>
    <x v="154"/>
    <n v="205"/>
    <n v="87"/>
    <x v="195"/>
    <n v="37.58"/>
    <n v="50.98"/>
    <n v="-5.88"/>
    <n v="81"/>
    <x v="1"/>
    <x v="1"/>
    <x v="3"/>
  </r>
  <r>
    <x v="2"/>
    <x v="6"/>
    <x v="0"/>
    <x v="3"/>
    <x v="155"/>
    <n v="349"/>
    <n v="69"/>
    <x v="196"/>
    <n v="26.77"/>
    <n v="108.64"/>
    <n v="13.93"/>
    <n v="149"/>
    <x v="1"/>
    <x v="1"/>
    <x v="0"/>
  </r>
  <r>
    <x v="1"/>
    <x v="0"/>
    <x v="4"/>
    <x v="6"/>
    <x v="146"/>
    <n v="192"/>
    <n v="106"/>
    <x v="197"/>
    <n v="46.11"/>
    <n v="37.409999999999997"/>
    <n v="0.92"/>
    <n v="147"/>
    <x v="2"/>
    <x v="2"/>
    <x v="2"/>
  </r>
  <r>
    <x v="2"/>
    <x v="11"/>
    <x v="1"/>
    <x v="1"/>
    <x v="124"/>
    <n v="424"/>
    <n v="384"/>
    <x v="198"/>
    <n v="24.19"/>
    <n v="2.52"/>
    <n v="20.91"/>
    <n v="272"/>
    <x v="0"/>
    <x v="1"/>
    <x v="1"/>
  </r>
  <r>
    <x v="1"/>
    <x v="2"/>
    <x v="4"/>
    <x v="7"/>
    <x v="156"/>
    <n v="469"/>
    <n v="289"/>
    <x v="199"/>
    <n v="138.13999999999999"/>
    <n v="86.04"/>
    <n v="13.2"/>
    <n v="243"/>
    <x v="2"/>
    <x v="3"/>
    <x v="1"/>
  </r>
  <r>
    <x v="1"/>
    <x v="9"/>
    <x v="2"/>
    <x v="10"/>
    <x v="157"/>
    <n v="113"/>
    <n v="30"/>
    <x v="200"/>
    <n v="12.45"/>
    <n v="34.450000000000003"/>
    <n v="15.93"/>
    <n v="154"/>
    <x v="1"/>
    <x v="2"/>
    <x v="1"/>
  </r>
  <r>
    <x v="2"/>
    <x v="3"/>
    <x v="3"/>
    <x v="12"/>
    <x v="158"/>
    <n v="135"/>
    <n v="98"/>
    <x v="201"/>
    <n v="16.07"/>
    <n v="6.07"/>
    <n v="0.82"/>
    <n v="127"/>
    <x v="0"/>
    <x v="1"/>
    <x v="0"/>
  </r>
  <r>
    <x v="1"/>
    <x v="8"/>
    <x v="2"/>
    <x v="15"/>
    <x v="159"/>
    <n v="165"/>
    <n v="31"/>
    <x v="202"/>
    <n v="12.24"/>
    <n v="52.93"/>
    <n v="15.37"/>
    <n v="75"/>
    <x v="1"/>
    <x v="1"/>
    <x v="0"/>
  </r>
  <r>
    <x v="2"/>
    <x v="6"/>
    <x v="4"/>
    <x v="6"/>
    <x v="160"/>
    <n v="479"/>
    <n v="122"/>
    <x v="203"/>
    <n v="8.91"/>
    <n v="26.06"/>
    <n v="-7.41"/>
    <n v="167"/>
    <x v="1"/>
    <x v="2"/>
    <x v="2"/>
  </r>
  <r>
    <x v="0"/>
    <x v="10"/>
    <x v="0"/>
    <x v="14"/>
    <x v="161"/>
    <n v="404"/>
    <n v="52"/>
    <x v="204"/>
    <n v="14.56"/>
    <n v="98.56"/>
    <n v="-8.8699999999999992"/>
    <n v="106"/>
    <x v="2"/>
    <x v="3"/>
    <x v="0"/>
  </r>
  <r>
    <x v="2"/>
    <x v="11"/>
    <x v="4"/>
    <x v="5"/>
    <x v="162"/>
    <n v="486"/>
    <n v="205"/>
    <x v="205"/>
    <n v="57.2"/>
    <n v="78.400000000000006"/>
    <n v="-1.8"/>
    <n v="42"/>
    <x v="0"/>
    <x v="1"/>
    <x v="0"/>
  </r>
  <r>
    <x v="0"/>
    <x v="7"/>
    <x v="1"/>
    <x v="13"/>
    <x v="163"/>
    <n v="348"/>
    <n v="94"/>
    <x v="206"/>
    <n v="9.1199999999999992"/>
    <n v="24.64"/>
    <n v="9.14"/>
    <n v="217"/>
    <x v="2"/>
    <x v="0"/>
    <x v="1"/>
  </r>
  <r>
    <x v="0"/>
    <x v="1"/>
    <x v="4"/>
    <x v="7"/>
    <x v="164"/>
    <n v="458"/>
    <n v="324"/>
    <x v="207"/>
    <n v="154.22"/>
    <n v="63.78"/>
    <n v="11.77"/>
    <n v="207"/>
    <x v="0"/>
    <x v="3"/>
    <x v="3"/>
  </r>
  <r>
    <x v="2"/>
    <x v="2"/>
    <x v="3"/>
    <x v="4"/>
    <x v="165"/>
    <n v="164"/>
    <n v="43"/>
    <x v="208"/>
    <n v="14.23"/>
    <n v="40.049999999999997"/>
    <n v="19.14"/>
    <n v="42"/>
    <x v="0"/>
    <x v="3"/>
    <x v="3"/>
  </r>
  <r>
    <x v="1"/>
    <x v="3"/>
    <x v="2"/>
    <x v="10"/>
    <x v="69"/>
    <n v="106"/>
    <n v="34"/>
    <x v="209"/>
    <n v="1.7"/>
    <n v="3.6"/>
    <n v="0.08"/>
    <n v="75"/>
    <x v="1"/>
    <x v="3"/>
    <x v="2"/>
  </r>
  <r>
    <x v="2"/>
    <x v="8"/>
    <x v="4"/>
    <x v="7"/>
    <x v="62"/>
    <n v="235"/>
    <n v="161"/>
    <x v="210"/>
    <n v="58.44"/>
    <n v="26.86"/>
    <n v="5.0599999999999996"/>
    <n v="146"/>
    <x v="2"/>
    <x v="3"/>
    <x v="0"/>
  </r>
  <r>
    <x v="1"/>
    <x v="8"/>
    <x v="4"/>
    <x v="6"/>
    <x v="166"/>
    <n v="108"/>
    <n v="43"/>
    <x v="211"/>
    <n v="19.010000000000002"/>
    <n v="28.73"/>
    <n v="20.079999999999998"/>
    <n v="23"/>
    <x v="0"/>
    <x v="1"/>
    <x v="3"/>
  </r>
  <r>
    <x v="1"/>
    <x v="0"/>
    <x v="4"/>
    <x v="5"/>
    <x v="167"/>
    <n v="80"/>
    <n v="45"/>
    <x v="212"/>
    <n v="21.38"/>
    <n v="16.62"/>
    <n v="-0.99"/>
    <n v="217"/>
    <x v="2"/>
    <x v="1"/>
    <x v="1"/>
  </r>
  <r>
    <x v="2"/>
    <x v="7"/>
    <x v="2"/>
    <x v="2"/>
    <x v="5"/>
    <n v="377"/>
    <n v="55"/>
    <x v="213"/>
    <n v="3.41"/>
    <n v="19.96"/>
    <n v="7.83"/>
    <n v="158"/>
    <x v="2"/>
    <x v="2"/>
    <x v="1"/>
  </r>
  <r>
    <x v="2"/>
    <x v="3"/>
    <x v="2"/>
    <x v="15"/>
    <x v="168"/>
    <n v="262"/>
    <n v="49"/>
    <x v="214"/>
    <n v="4.5599999999999996"/>
    <n v="19.809999999999999"/>
    <n v="22.5"/>
    <n v="20"/>
    <x v="2"/>
    <x v="2"/>
    <x v="3"/>
  </r>
  <r>
    <x v="1"/>
    <x v="5"/>
    <x v="0"/>
    <x v="3"/>
    <x v="169"/>
    <n v="128"/>
    <n v="103"/>
    <x v="215"/>
    <n v="23.69"/>
    <n v="5.75"/>
    <n v="21.96"/>
    <n v="273"/>
    <x v="0"/>
    <x v="0"/>
    <x v="0"/>
  </r>
  <r>
    <x v="0"/>
    <x v="9"/>
    <x v="0"/>
    <x v="0"/>
    <x v="170"/>
    <n v="159"/>
    <n v="77"/>
    <x v="216"/>
    <n v="20.94"/>
    <n v="22.3"/>
    <n v="16.52"/>
    <n v="128"/>
    <x v="0"/>
    <x v="3"/>
    <x v="1"/>
  </r>
  <r>
    <x v="2"/>
    <x v="9"/>
    <x v="3"/>
    <x v="12"/>
    <x v="171"/>
    <n v="311"/>
    <n v="263"/>
    <x v="217"/>
    <n v="42.08"/>
    <n v="7.68"/>
    <n v="-7.27"/>
    <n v="116"/>
    <x v="0"/>
    <x v="3"/>
    <x v="1"/>
  </r>
  <r>
    <x v="2"/>
    <x v="0"/>
    <x v="4"/>
    <x v="7"/>
    <x v="10"/>
    <n v="446"/>
    <n v="377"/>
    <x v="218"/>
    <n v="27.14"/>
    <n v="4.97"/>
    <n v="10.51"/>
    <n v="117"/>
    <x v="0"/>
    <x v="2"/>
    <x v="0"/>
  </r>
  <r>
    <x v="1"/>
    <x v="1"/>
    <x v="4"/>
    <x v="7"/>
    <x v="172"/>
    <n v="458"/>
    <n v="75"/>
    <x v="219"/>
    <n v="7.8"/>
    <n v="39.83"/>
    <n v="-2.61"/>
    <n v="236"/>
    <x v="0"/>
    <x v="0"/>
    <x v="3"/>
  </r>
  <r>
    <x v="1"/>
    <x v="7"/>
    <x v="2"/>
    <x v="10"/>
    <x v="131"/>
    <n v="352"/>
    <n v="107"/>
    <x v="220"/>
    <n v="30.17"/>
    <n v="69.09"/>
    <n v="24.03"/>
    <n v="98"/>
    <x v="2"/>
    <x v="0"/>
    <x v="0"/>
  </r>
  <r>
    <x v="1"/>
    <x v="11"/>
    <x v="2"/>
    <x v="10"/>
    <x v="137"/>
    <n v="289"/>
    <n v="46"/>
    <x v="221"/>
    <n v="7.77"/>
    <n v="41.07"/>
    <n v="20.059999999999999"/>
    <n v="156"/>
    <x v="1"/>
    <x v="1"/>
    <x v="0"/>
  </r>
  <r>
    <x v="1"/>
    <x v="4"/>
    <x v="1"/>
    <x v="16"/>
    <x v="173"/>
    <n v="431"/>
    <n v="404"/>
    <x v="222"/>
    <n v="53.73"/>
    <n v="3.59"/>
    <n v="17.22"/>
    <n v="102"/>
    <x v="1"/>
    <x v="2"/>
    <x v="1"/>
  </r>
  <r>
    <x v="2"/>
    <x v="1"/>
    <x v="1"/>
    <x v="1"/>
    <x v="174"/>
    <n v="94"/>
    <n v="82"/>
    <x v="203"/>
    <n v="30.5"/>
    <n v="4.46"/>
    <n v="19.48"/>
    <n v="270"/>
    <x v="2"/>
    <x v="1"/>
    <x v="3"/>
  </r>
  <r>
    <x v="1"/>
    <x v="5"/>
    <x v="0"/>
    <x v="3"/>
    <x v="175"/>
    <n v="204"/>
    <n v="77"/>
    <x v="223"/>
    <n v="33.880000000000003"/>
    <n v="55.88"/>
    <n v="7.4"/>
    <n v="161"/>
    <x v="0"/>
    <x v="0"/>
    <x v="2"/>
  </r>
  <r>
    <x v="1"/>
    <x v="2"/>
    <x v="2"/>
    <x v="2"/>
    <x v="134"/>
    <n v="392"/>
    <n v="267"/>
    <x v="224"/>
    <n v="68.349999999999994"/>
    <n v="32"/>
    <n v="20.99"/>
    <n v="275"/>
    <x v="1"/>
    <x v="2"/>
    <x v="3"/>
  </r>
  <r>
    <x v="2"/>
    <x v="9"/>
    <x v="0"/>
    <x v="0"/>
    <x v="84"/>
    <n v="343"/>
    <n v="246"/>
    <x v="225"/>
    <n v="45.26"/>
    <n v="17.850000000000001"/>
    <n v="16.7"/>
    <n v="243"/>
    <x v="2"/>
    <x v="2"/>
    <x v="2"/>
  </r>
  <r>
    <x v="0"/>
    <x v="3"/>
    <x v="2"/>
    <x v="10"/>
    <x v="6"/>
    <n v="470"/>
    <n v="310"/>
    <x v="226"/>
    <n v="44.02"/>
    <n v="22.72"/>
    <n v="19.14"/>
    <n v="180"/>
    <x v="2"/>
    <x v="1"/>
    <x v="2"/>
  </r>
  <r>
    <x v="1"/>
    <x v="11"/>
    <x v="1"/>
    <x v="16"/>
    <x v="176"/>
    <n v="211"/>
    <n v="119"/>
    <x v="227"/>
    <n v="38.56"/>
    <n v="29.81"/>
    <n v="17.89"/>
    <n v="139"/>
    <x v="1"/>
    <x v="0"/>
    <x v="2"/>
  </r>
  <r>
    <x v="2"/>
    <x v="11"/>
    <x v="3"/>
    <x v="9"/>
    <x v="177"/>
    <n v="203"/>
    <n v="189"/>
    <x v="228"/>
    <n v="64.83"/>
    <n v="4.8"/>
    <n v="6.96"/>
    <n v="212"/>
    <x v="2"/>
    <x v="1"/>
    <x v="2"/>
  </r>
  <r>
    <x v="0"/>
    <x v="9"/>
    <x v="2"/>
    <x v="10"/>
    <x v="38"/>
    <n v="304"/>
    <n v="136"/>
    <x v="229"/>
    <n v="16.73"/>
    <n v="20.66"/>
    <n v="-9"/>
    <n v="209"/>
    <x v="1"/>
    <x v="3"/>
    <x v="1"/>
  </r>
  <r>
    <x v="1"/>
    <x v="1"/>
    <x v="0"/>
    <x v="3"/>
    <x v="178"/>
    <n v="311"/>
    <n v="101"/>
    <x v="230"/>
    <n v="20.100000000000001"/>
    <n v="41.79"/>
    <n v="-9.44"/>
    <n v="43"/>
    <x v="1"/>
    <x v="0"/>
    <x v="3"/>
  </r>
  <r>
    <x v="1"/>
    <x v="0"/>
    <x v="4"/>
    <x v="7"/>
    <x v="179"/>
    <n v="411"/>
    <n v="359"/>
    <x v="231"/>
    <n v="43.08"/>
    <n v="6.24"/>
    <n v="17.54"/>
    <n v="229"/>
    <x v="2"/>
    <x v="1"/>
    <x v="1"/>
  </r>
  <r>
    <x v="2"/>
    <x v="2"/>
    <x v="3"/>
    <x v="9"/>
    <x v="180"/>
    <n v="470"/>
    <n v="398"/>
    <x v="232"/>
    <n v="70.84"/>
    <n v="12.82"/>
    <n v="-1.56"/>
    <n v="137"/>
    <x v="0"/>
    <x v="0"/>
    <x v="0"/>
  </r>
  <r>
    <x v="2"/>
    <x v="0"/>
    <x v="0"/>
    <x v="0"/>
    <x v="181"/>
    <n v="154"/>
    <n v="101"/>
    <x v="233"/>
    <n v="30.3"/>
    <n v="15.9"/>
    <n v="-3.98"/>
    <n v="100"/>
    <x v="1"/>
    <x v="3"/>
    <x v="1"/>
  </r>
  <r>
    <x v="0"/>
    <x v="1"/>
    <x v="0"/>
    <x v="3"/>
    <x v="182"/>
    <n v="304"/>
    <n v="178"/>
    <x v="234"/>
    <n v="65.150000000000006"/>
    <n v="46.12"/>
    <n v="23.63"/>
    <n v="261"/>
    <x v="0"/>
    <x v="1"/>
    <x v="3"/>
  </r>
  <r>
    <x v="2"/>
    <x v="4"/>
    <x v="2"/>
    <x v="10"/>
    <x v="183"/>
    <n v="494"/>
    <n v="127"/>
    <x v="235"/>
    <n v="22.73"/>
    <n v="65.69"/>
    <n v="16.28"/>
    <n v="235"/>
    <x v="1"/>
    <x v="3"/>
    <x v="2"/>
  </r>
  <r>
    <x v="1"/>
    <x v="4"/>
    <x v="0"/>
    <x v="0"/>
    <x v="184"/>
    <n v="325"/>
    <n v="205"/>
    <x v="236"/>
    <n v="46.95"/>
    <n v="27.48"/>
    <n v="12.96"/>
    <n v="243"/>
    <x v="2"/>
    <x v="3"/>
    <x v="2"/>
  </r>
  <r>
    <x v="2"/>
    <x v="0"/>
    <x v="3"/>
    <x v="12"/>
    <x v="61"/>
    <n v="252"/>
    <n v="221"/>
    <x v="237"/>
    <n v="107.85"/>
    <n v="15.13"/>
    <n v="11.6"/>
    <n v="33"/>
    <x v="2"/>
    <x v="0"/>
    <x v="0"/>
  </r>
  <r>
    <x v="2"/>
    <x v="9"/>
    <x v="0"/>
    <x v="3"/>
    <x v="185"/>
    <n v="321"/>
    <n v="299"/>
    <x v="238"/>
    <n v="104.65"/>
    <n v="7.7"/>
    <n v="6.58"/>
    <n v="221"/>
    <x v="2"/>
    <x v="2"/>
    <x v="1"/>
  </r>
  <r>
    <x v="0"/>
    <x v="1"/>
    <x v="3"/>
    <x v="4"/>
    <x v="186"/>
    <n v="316"/>
    <n v="96"/>
    <x v="239"/>
    <n v="12.38"/>
    <n v="28.38"/>
    <n v="-3.03"/>
    <n v="63"/>
    <x v="2"/>
    <x v="3"/>
    <x v="0"/>
  </r>
  <r>
    <x v="1"/>
    <x v="7"/>
    <x v="2"/>
    <x v="10"/>
    <x v="187"/>
    <n v="271"/>
    <n v="233"/>
    <x v="240"/>
    <n v="64.77"/>
    <n v="10.56"/>
    <n v="24.1"/>
    <n v="47"/>
    <x v="2"/>
    <x v="0"/>
    <x v="1"/>
  </r>
  <r>
    <x v="0"/>
    <x v="8"/>
    <x v="4"/>
    <x v="5"/>
    <x v="188"/>
    <n v="412"/>
    <n v="251"/>
    <x v="241"/>
    <n v="40.409999999999997"/>
    <n v="25.92"/>
    <n v="11.03"/>
    <n v="174"/>
    <x v="1"/>
    <x v="2"/>
    <x v="2"/>
  </r>
  <r>
    <x v="2"/>
    <x v="8"/>
    <x v="0"/>
    <x v="14"/>
    <x v="189"/>
    <n v="367"/>
    <n v="32"/>
    <x v="242"/>
    <n v="7.01"/>
    <n v="73.37"/>
    <n v="0.18"/>
    <n v="209"/>
    <x v="0"/>
    <x v="3"/>
    <x v="0"/>
  </r>
  <r>
    <x v="0"/>
    <x v="5"/>
    <x v="1"/>
    <x v="16"/>
    <x v="3"/>
    <n v="98"/>
    <n v="30"/>
    <x v="243"/>
    <n v="14.01"/>
    <n v="31.76"/>
    <n v="1.61"/>
    <n v="266"/>
    <x v="1"/>
    <x v="3"/>
    <x v="0"/>
  </r>
  <r>
    <x v="2"/>
    <x v="9"/>
    <x v="4"/>
    <x v="7"/>
    <x v="190"/>
    <n v="181"/>
    <n v="95"/>
    <x v="8"/>
    <n v="27.64"/>
    <n v="25.03"/>
    <n v="-5.68"/>
    <n v="283"/>
    <x v="1"/>
    <x v="2"/>
    <x v="2"/>
  </r>
  <r>
    <x v="2"/>
    <x v="9"/>
    <x v="3"/>
    <x v="12"/>
    <x v="191"/>
    <n v="270"/>
    <n v="34"/>
    <x v="244"/>
    <n v="2.96"/>
    <n v="20.53"/>
    <n v="15.69"/>
    <n v="244"/>
    <x v="0"/>
    <x v="2"/>
    <x v="0"/>
  </r>
  <r>
    <x v="0"/>
    <x v="1"/>
    <x v="4"/>
    <x v="6"/>
    <x v="57"/>
    <n v="346"/>
    <n v="300"/>
    <x v="245"/>
    <n v="57.9"/>
    <n v="8.8800000000000008"/>
    <n v="-4.12"/>
    <n v="255"/>
    <x v="0"/>
    <x v="1"/>
    <x v="0"/>
  </r>
  <r>
    <x v="1"/>
    <x v="9"/>
    <x v="4"/>
    <x v="7"/>
    <x v="73"/>
    <n v="488"/>
    <n v="253"/>
    <x v="246"/>
    <n v="81.72"/>
    <n v="75.91"/>
    <n v="14.09"/>
    <n v="298"/>
    <x v="2"/>
    <x v="1"/>
    <x v="2"/>
  </r>
  <r>
    <x v="0"/>
    <x v="2"/>
    <x v="2"/>
    <x v="15"/>
    <x v="192"/>
    <n v="494"/>
    <n v="45"/>
    <x v="247"/>
    <n v="8.64"/>
    <n v="86.21"/>
    <n v="7.4"/>
    <n v="97"/>
    <x v="2"/>
    <x v="3"/>
    <x v="3"/>
  </r>
  <r>
    <x v="1"/>
    <x v="8"/>
    <x v="1"/>
    <x v="1"/>
    <x v="193"/>
    <n v="200"/>
    <n v="53"/>
    <x v="248"/>
    <n v="11.29"/>
    <n v="31.31"/>
    <n v="0.38"/>
    <n v="118"/>
    <x v="2"/>
    <x v="1"/>
    <x v="2"/>
  </r>
  <r>
    <x v="2"/>
    <x v="0"/>
    <x v="3"/>
    <x v="12"/>
    <x v="194"/>
    <n v="270"/>
    <n v="136"/>
    <x v="168"/>
    <n v="9.11"/>
    <n v="8.98"/>
    <n v="-0.53"/>
    <n v="265"/>
    <x v="1"/>
    <x v="0"/>
    <x v="3"/>
  </r>
  <r>
    <x v="1"/>
    <x v="7"/>
    <x v="3"/>
    <x v="4"/>
    <x v="195"/>
    <n v="383"/>
    <n v="298"/>
    <x v="249"/>
    <n v="100.72"/>
    <n v="28.73"/>
    <n v="-2.96"/>
    <n v="272"/>
    <x v="0"/>
    <x v="0"/>
    <x v="3"/>
  </r>
  <r>
    <x v="2"/>
    <x v="7"/>
    <x v="2"/>
    <x v="2"/>
    <x v="151"/>
    <n v="444"/>
    <n v="411"/>
    <x v="250"/>
    <n v="165.63"/>
    <n v="13.3"/>
    <n v="-5.71"/>
    <n v="248"/>
    <x v="1"/>
    <x v="3"/>
    <x v="2"/>
  </r>
  <r>
    <x v="2"/>
    <x v="0"/>
    <x v="2"/>
    <x v="15"/>
    <x v="196"/>
    <n v="251"/>
    <n v="75"/>
    <x v="251"/>
    <n v="6.38"/>
    <n v="14.96"/>
    <n v="23.8"/>
    <n v="87"/>
    <x v="1"/>
    <x v="3"/>
    <x v="1"/>
  </r>
  <r>
    <x v="1"/>
    <x v="3"/>
    <x v="0"/>
    <x v="0"/>
    <x v="197"/>
    <n v="70"/>
    <n v="35"/>
    <x v="252"/>
    <n v="13.72"/>
    <n v="13.72"/>
    <n v="18.46"/>
    <n v="210"/>
    <x v="2"/>
    <x v="1"/>
    <x v="3"/>
  </r>
  <r>
    <x v="1"/>
    <x v="1"/>
    <x v="2"/>
    <x v="2"/>
    <x v="198"/>
    <n v="186"/>
    <n v="117"/>
    <x v="253"/>
    <n v="17.899999999999999"/>
    <n v="10.56"/>
    <n v="21.73"/>
    <n v="241"/>
    <x v="0"/>
    <x v="2"/>
    <x v="3"/>
  </r>
  <r>
    <x v="0"/>
    <x v="10"/>
    <x v="2"/>
    <x v="15"/>
    <x v="199"/>
    <n v="351"/>
    <n v="179"/>
    <x v="254"/>
    <n v="51.19"/>
    <n v="49.19"/>
    <n v="-3.9"/>
    <n v="84"/>
    <x v="2"/>
    <x v="0"/>
    <x v="0"/>
  </r>
  <r>
    <x v="1"/>
    <x v="6"/>
    <x v="2"/>
    <x v="10"/>
    <x v="200"/>
    <n v="439"/>
    <n v="112"/>
    <x v="255"/>
    <n v="27.66"/>
    <n v="80.77"/>
    <n v="3.82"/>
    <n v="117"/>
    <x v="2"/>
    <x v="1"/>
    <x v="3"/>
  </r>
  <r>
    <x v="2"/>
    <x v="10"/>
    <x v="4"/>
    <x v="5"/>
    <x v="201"/>
    <n v="305"/>
    <n v="46"/>
    <x v="256"/>
    <n v="22.63"/>
    <n v="127.43"/>
    <n v="10.57"/>
    <n v="141"/>
    <x v="0"/>
    <x v="1"/>
    <x v="1"/>
  </r>
  <r>
    <x v="1"/>
    <x v="6"/>
    <x v="1"/>
    <x v="16"/>
    <x v="107"/>
    <n v="56"/>
    <n v="34"/>
    <x v="257"/>
    <n v="8.77"/>
    <n v="5.68"/>
    <n v="15.61"/>
    <n v="174"/>
    <x v="2"/>
    <x v="1"/>
    <x v="2"/>
  </r>
  <r>
    <x v="2"/>
    <x v="1"/>
    <x v="3"/>
    <x v="8"/>
    <x v="202"/>
    <n v="464"/>
    <n v="123"/>
    <x v="258"/>
    <n v="49.45"/>
    <n v="137.08000000000001"/>
    <n v="11.47"/>
    <n v="153"/>
    <x v="2"/>
    <x v="3"/>
    <x v="3"/>
  </r>
  <r>
    <x v="1"/>
    <x v="2"/>
    <x v="1"/>
    <x v="16"/>
    <x v="203"/>
    <n v="181"/>
    <n v="98"/>
    <x v="259"/>
    <n v="18.72"/>
    <n v="15.85"/>
    <n v="5.82"/>
    <n v="276"/>
    <x v="2"/>
    <x v="1"/>
    <x v="1"/>
  </r>
  <r>
    <x v="0"/>
    <x v="1"/>
    <x v="3"/>
    <x v="8"/>
    <x v="204"/>
    <n v="210"/>
    <n v="141"/>
    <x v="260"/>
    <n v="23.55"/>
    <n v="11.52"/>
    <n v="0.62"/>
    <n v="92"/>
    <x v="1"/>
    <x v="3"/>
    <x v="3"/>
  </r>
  <r>
    <x v="2"/>
    <x v="11"/>
    <x v="2"/>
    <x v="2"/>
    <x v="64"/>
    <n v="365"/>
    <n v="222"/>
    <x v="261"/>
    <n v="40.18"/>
    <n v="25.88"/>
    <n v="-4.87"/>
    <n v="20"/>
    <x v="1"/>
    <x v="2"/>
    <x v="3"/>
  </r>
  <r>
    <x v="1"/>
    <x v="10"/>
    <x v="3"/>
    <x v="9"/>
    <x v="44"/>
    <n v="323"/>
    <n v="312"/>
    <x v="262"/>
    <n v="67.39"/>
    <n v="2.38"/>
    <n v="6.23"/>
    <n v="50"/>
    <x v="1"/>
    <x v="2"/>
    <x v="0"/>
  </r>
  <r>
    <x v="1"/>
    <x v="2"/>
    <x v="2"/>
    <x v="15"/>
    <x v="205"/>
    <n v="79"/>
    <n v="62"/>
    <x v="263"/>
    <n v="28.83"/>
    <n v="7.91"/>
    <n v="-5.41"/>
    <n v="186"/>
    <x v="1"/>
    <x v="3"/>
    <x v="2"/>
  </r>
  <r>
    <x v="2"/>
    <x v="7"/>
    <x v="2"/>
    <x v="2"/>
    <x v="23"/>
    <n v="120"/>
    <n v="89"/>
    <x v="264"/>
    <n v="28.04"/>
    <n v="9.76"/>
    <n v="9.33"/>
    <n v="216"/>
    <x v="1"/>
    <x v="2"/>
    <x v="2"/>
  </r>
  <r>
    <x v="0"/>
    <x v="5"/>
    <x v="2"/>
    <x v="10"/>
    <x v="93"/>
    <n v="180"/>
    <n v="44"/>
    <x v="261"/>
    <n v="16.149999999999999"/>
    <n v="49.91"/>
    <n v="3.51"/>
    <n v="86"/>
    <x v="2"/>
    <x v="1"/>
    <x v="1"/>
  </r>
  <r>
    <x v="0"/>
    <x v="3"/>
    <x v="2"/>
    <x v="10"/>
    <x v="206"/>
    <n v="425"/>
    <n v="138"/>
    <x v="265"/>
    <n v="48.02"/>
    <n v="99.88"/>
    <n v="11.19"/>
    <n v="238"/>
    <x v="2"/>
    <x v="0"/>
    <x v="1"/>
  </r>
  <r>
    <x v="2"/>
    <x v="2"/>
    <x v="3"/>
    <x v="4"/>
    <x v="70"/>
    <n v="478"/>
    <n v="168"/>
    <x v="266"/>
    <n v="63.84"/>
    <n v="117.8"/>
    <n v="12"/>
    <n v="142"/>
    <x v="1"/>
    <x v="1"/>
    <x v="0"/>
  </r>
  <r>
    <x v="2"/>
    <x v="2"/>
    <x v="1"/>
    <x v="1"/>
    <x v="207"/>
    <n v="365"/>
    <n v="130"/>
    <x v="267"/>
    <n v="46.41"/>
    <n v="83.9"/>
    <n v="-2.94"/>
    <n v="278"/>
    <x v="1"/>
    <x v="1"/>
    <x v="1"/>
  </r>
  <r>
    <x v="2"/>
    <x v="2"/>
    <x v="2"/>
    <x v="2"/>
    <x v="154"/>
    <n v="370"/>
    <n v="120"/>
    <x v="268"/>
    <n v="51.84"/>
    <n v="108"/>
    <n v="19.41"/>
    <n v="205"/>
    <x v="2"/>
    <x v="2"/>
    <x v="1"/>
  </r>
  <r>
    <x v="0"/>
    <x v="11"/>
    <x v="2"/>
    <x v="15"/>
    <x v="208"/>
    <n v="156"/>
    <n v="40"/>
    <x v="217"/>
    <n v="12.76"/>
    <n v="37"/>
    <n v="-8.41"/>
    <n v="263"/>
    <x v="0"/>
    <x v="2"/>
    <x v="1"/>
  </r>
  <r>
    <x v="2"/>
    <x v="7"/>
    <x v="1"/>
    <x v="1"/>
    <x v="209"/>
    <n v="75"/>
    <n v="62"/>
    <x v="269"/>
    <n v="14.45"/>
    <n v="3.03"/>
    <n v="0.62"/>
    <n v="60"/>
    <x v="0"/>
    <x v="1"/>
    <x v="1"/>
  </r>
  <r>
    <x v="0"/>
    <x v="10"/>
    <x v="2"/>
    <x v="2"/>
    <x v="210"/>
    <n v="451"/>
    <n v="200"/>
    <x v="270"/>
    <n v="72.400000000000006"/>
    <n v="90.86"/>
    <n v="-5.65"/>
    <n v="139"/>
    <x v="1"/>
    <x v="3"/>
    <x v="3"/>
  </r>
  <r>
    <x v="1"/>
    <x v="5"/>
    <x v="0"/>
    <x v="0"/>
    <x v="211"/>
    <n v="60"/>
    <n v="49"/>
    <x v="271"/>
    <n v="8.1300000000000008"/>
    <n v="1.83"/>
    <n v="20.11"/>
    <n v="169"/>
    <x v="0"/>
    <x v="1"/>
    <x v="3"/>
  </r>
  <r>
    <x v="2"/>
    <x v="7"/>
    <x v="2"/>
    <x v="10"/>
    <x v="212"/>
    <n v="390"/>
    <n v="254"/>
    <x v="272"/>
    <n v="107.95"/>
    <n v="57.8"/>
    <n v="-6.94"/>
    <n v="172"/>
    <x v="1"/>
    <x v="0"/>
    <x v="3"/>
  </r>
  <r>
    <x v="2"/>
    <x v="5"/>
    <x v="3"/>
    <x v="8"/>
    <x v="21"/>
    <n v="343"/>
    <n v="154"/>
    <x v="273"/>
    <n v="20.170000000000002"/>
    <n v="24.76"/>
    <n v="23.69"/>
    <n v="224"/>
    <x v="2"/>
    <x v="0"/>
    <x v="0"/>
  </r>
  <r>
    <x v="1"/>
    <x v="6"/>
    <x v="3"/>
    <x v="9"/>
    <x v="122"/>
    <n v="206"/>
    <n v="124"/>
    <x v="274"/>
    <n v="59.4"/>
    <n v="39.28"/>
    <n v="22.7"/>
    <n v="234"/>
    <x v="2"/>
    <x v="1"/>
    <x v="2"/>
  </r>
  <r>
    <x v="1"/>
    <x v="9"/>
    <x v="3"/>
    <x v="9"/>
    <x v="213"/>
    <n v="330"/>
    <n v="59"/>
    <x v="275"/>
    <n v="14.04"/>
    <n v="64.5"/>
    <n v="4.63"/>
    <n v="148"/>
    <x v="0"/>
    <x v="0"/>
    <x v="3"/>
  </r>
  <r>
    <x v="2"/>
    <x v="10"/>
    <x v="0"/>
    <x v="14"/>
    <x v="96"/>
    <n v="82"/>
    <n v="33"/>
    <x v="276"/>
    <n v="14.85"/>
    <n v="22.05"/>
    <n v="13.47"/>
    <n v="127"/>
    <x v="2"/>
    <x v="0"/>
    <x v="1"/>
  </r>
  <r>
    <x v="2"/>
    <x v="7"/>
    <x v="4"/>
    <x v="7"/>
    <x v="214"/>
    <n v="181"/>
    <n v="98"/>
    <x v="277"/>
    <n v="15.58"/>
    <n v="13.2"/>
    <n v="5.97"/>
    <n v="190"/>
    <x v="0"/>
    <x v="1"/>
    <x v="1"/>
  </r>
  <r>
    <x v="2"/>
    <x v="8"/>
    <x v="1"/>
    <x v="11"/>
    <x v="40"/>
    <n v="338"/>
    <n v="310"/>
    <x v="278"/>
    <n v="118.11"/>
    <n v="10.67"/>
    <n v="19.39"/>
    <n v="135"/>
    <x v="2"/>
    <x v="1"/>
    <x v="3"/>
  </r>
  <r>
    <x v="2"/>
    <x v="10"/>
    <x v="2"/>
    <x v="2"/>
    <x v="215"/>
    <n v="291"/>
    <n v="173"/>
    <x v="188"/>
    <n v="10.55"/>
    <n v="7.2"/>
    <n v="-4.29"/>
    <n v="111"/>
    <x v="0"/>
    <x v="1"/>
    <x v="2"/>
  </r>
  <r>
    <x v="0"/>
    <x v="2"/>
    <x v="3"/>
    <x v="8"/>
    <x v="216"/>
    <n v="334"/>
    <n v="93"/>
    <x v="279"/>
    <n v="46.41"/>
    <n v="120.26"/>
    <n v="-3.23"/>
    <n v="243"/>
    <x v="0"/>
    <x v="3"/>
    <x v="0"/>
  </r>
  <r>
    <x v="0"/>
    <x v="6"/>
    <x v="2"/>
    <x v="15"/>
    <x v="196"/>
    <n v="366"/>
    <n v="168"/>
    <x v="280"/>
    <n v="14.28"/>
    <n v="16.829999999999998"/>
    <n v="9.3000000000000007"/>
    <n v="174"/>
    <x v="0"/>
    <x v="3"/>
    <x v="1"/>
  </r>
  <r>
    <x v="0"/>
    <x v="10"/>
    <x v="1"/>
    <x v="11"/>
    <x v="217"/>
    <n v="174"/>
    <n v="134"/>
    <x v="281"/>
    <n v="52.13"/>
    <n v="15.56"/>
    <n v="11.56"/>
    <n v="161"/>
    <x v="1"/>
    <x v="1"/>
    <x v="3"/>
  </r>
  <r>
    <x v="0"/>
    <x v="6"/>
    <x v="1"/>
    <x v="16"/>
    <x v="218"/>
    <n v="314"/>
    <n v="286"/>
    <x v="282"/>
    <n v="127.56"/>
    <n v="12.49"/>
    <n v="-5.55"/>
    <n v="239"/>
    <x v="2"/>
    <x v="1"/>
    <x v="0"/>
  </r>
  <r>
    <x v="2"/>
    <x v="2"/>
    <x v="3"/>
    <x v="12"/>
    <x v="200"/>
    <n v="483"/>
    <n v="390"/>
    <x v="283"/>
    <n v="96.33"/>
    <n v="22.97"/>
    <n v="10.46"/>
    <n v="239"/>
    <x v="1"/>
    <x v="2"/>
    <x v="2"/>
  </r>
  <r>
    <x v="0"/>
    <x v="5"/>
    <x v="4"/>
    <x v="5"/>
    <x v="161"/>
    <n v="210"/>
    <n v="159"/>
    <x v="284"/>
    <n v="44.52"/>
    <n v="14.28"/>
    <n v="16.440000000000001"/>
    <n v="261"/>
    <x v="2"/>
    <x v="3"/>
    <x v="3"/>
  </r>
  <r>
    <x v="0"/>
    <x v="2"/>
    <x v="3"/>
    <x v="9"/>
    <x v="184"/>
    <n v="323"/>
    <n v="179"/>
    <x v="285"/>
    <n v="40.99"/>
    <n v="32.979999999999997"/>
    <n v="2.72"/>
    <n v="127"/>
    <x v="0"/>
    <x v="2"/>
    <x v="1"/>
  </r>
  <r>
    <x v="0"/>
    <x v="4"/>
    <x v="4"/>
    <x v="6"/>
    <x v="219"/>
    <n v="60"/>
    <n v="34"/>
    <x v="286"/>
    <n v="9.69"/>
    <n v="7.41"/>
    <n v="16.45"/>
    <n v="114"/>
    <x v="0"/>
    <x v="3"/>
    <x v="2"/>
  </r>
  <r>
    <x v="1"/>
    <x v="4"/>
    <x v="0"/>
    <x v="14"/>
    <x v="51"/>
    <n v="61"/>
    <n v="40"/>
    <x v="287"/>
    <n v="15.92"/>
    <n v="8.36"/>
    <n v="-0.51"/>
    <n v="167"/>
    <x v="0"/>
    <x v="1"/>
    <x v="2"/>
  </r>
  <r>
    <x v="2"/>
    <x v="11"/>
    <x v="0"/>
    <x v="0"/>
    <x v="220"/>
    <n v="215"/>
    <n v="171"/>
    <x v="288"/>
    <n v="73.53"/>
    <n v="18.920000000000002"/>
    <n v="13.16"/>
    <n v="276"/>
    <x v="0"/>
    <x v="2"/>
    <x v="0"/>
  </r>
  <r>
    <x v="1"/>
    <x v="6"/>
    <x v="3"/>
    <x v="12"/>
    <x v="221"/>
    <n v="490"/>
    <n v="145"/>
    <x v="289"/>
    <n v="53.36"/>
    <n v="126.96"/>
    <n v="24.63"/>
    <n v="62"/>
    <x v="2"/>
    <x v="0"/>
    <x v="0"/>
  </r>
  <r>
    <x v="2"/>
    <x v="5"/>
    <x v="3"/>
    <x v="12"/>
    <x v="222"/>
    <n v="260"/>
    <n v="139"/>
    <x v="290"/>
    <n v="16.96"/>
    <n v="14.76"/>
    <n v="-5.55"/>
    <n v="227"/>
    <x v="0"/>
    <x v="3"/>
    <x v="1"/>
  </r>
  <r>
    <x v="0"/>
    <x v="9"/>
    <x v="4"/>
    <x v="5"/>
    <x v="0"/>
    <n v="146"/>
    <n v="97"/>
    <x v="77"/>
    <n v="4.95"/>
    <n v="2.5"/>
    <n v="-9.51"/>
    <n v="266"/>
    <x v="2"/>
    <x v="2"/>
    <x v="2"/>
  </r>
  <r>
    <x v="0"/>
    <x v="6"/>
    <x v="1"/>
    <x v="1"/>
    <x v="223"/>
    <n v="141"/>
    <n v="93"/>
    <x v="291"/>
    <n v="36.92"/>
    <n v="19.059999999999999"/>
    <n v="-4.68"/>
    <n v="264"/>
    <x v="2"/>
    <x v="2"/>
    <x v="3"/>
  </r>
  <r>
    <x v="1"/>
    <x v="6"/>
    <x v="2"/>
    <x v="10"/>
    <x v="224"/>
    <n v="240"/>
    <n v="100"/>
    <x v="292"/>
    <n v="26.6"/>
    <n v="37.24"/>
    <n v="23.33"/>
    <n v="213"/>
    <x v="1"/>
    <x v="0"/>
    <x v="0"/>
  </r>
  <r>
    <x v="0"/>
    <x v="3"/>
    <x v="3"/>
    <x v="4"/>
    <x v="193"/>
    <n v="260"/>
    <n v="217"/>
    <x v="293"/>
    <n v="46.22"/>
    <n v="9.16"/>
    <n v="15.22"/>
    <n v="104"/>
    <x v="2"/>
    <x v="1"/>
    <x v="3"/>
  </r>
  <r>
    <x v="0"/>
    <x v="1"/>
    <x v="0"/>
    <x v="3"/>
    <x v="141"/>
    <n v="242"/>
    <n v="35"/>
    <x v="294"/>
    <n v="6.89"/>
    <n v="40.78"/>
    <n v="23.53"/>
    <n v="232"/>
    <x v="1"/>
    <x v="3"/>
    <x v="0"/>
  </r>
  <r>
    <x v="1"/>
    <x v="7"/>
    <x v="2"/>
    <x v="10"/>
    <x v="3"/>
    <n v="489"/>
    <n v="388"/>
    <x v="295"/>
    <n v="181.2"/>
    <n v="47.17"/>
    <n v="-0.72"/>
    <n v="36"/>
    <x v="0"/>
    <x v="2"/>
    <x v="0"/>
  </r>
  <r>
    <x v="1"/>
    <x v="4"/>
    <x v="4"/>
    <x v="6"/>
    <x v="123"/>
    <n v="143"/>
    <n v="102"/>
    <x v="296"/>
    <n v="32.74"/>
    <n v="13.16"/>
    <n v="-2.85"/>
    <n v="283"/>
    <x v="0"/>
    <x v="0"/>
    <x v="3"/>
  </r>
  <r>
    <x v="1"/>
    <x v="10"/>
    <x v="4"/>
    <x v="6"/>
    <x v="84"/>
    <n v="415"/>
    <n v="394"/>
    <x v="297"/>
    <n v="72.5"/>
    <n v="3.86"/>
    <n v="12.78"/>
    <n v="111"/>
    <x v="2"/>
    <x v="2"/>
    <x v="0"/>
  </r>
  <r>
    <x v="2"/>
    <x v="2"/>
    <x v="4"/>
    <x v="7"/>
    <x v="225"/>
    <n v="168"/>
    <n v="107"/>
    <x v="298"/>
    <n v="37.020000000000003"/>
    <n v="21.11"/>
    <n v="-3.83"/>
    <n v="96"/>
    <x v="0"/>
    <x v="3"/>
    <x v="0"/>
  </r>
  <r>
    <x v="0"/>
    <x v="1"/>
    <x v="0"/>
    <x v="14"/>
    <x v="226"/>
    <n v="191"/>
    <n v="34"/>
    <x v="299"/>
    <n v="5"/>
    <n v="23.08"/>
    <n v="-3.88"/>
    <n v="40"/>
    <x v="0"/>
    <x v="3"/>
    <x v="1"/>
  </r>
  <r>
    <x v="2"/>
    <x v="5"/>
    <x v="2"/>
    <x v="10"/>
    <x v="227"/>
    <n v="111"/>
    <n v="59"/>
    <x v="300"/>
    <n v="27.73"/>
    <n v="24.44"/>
    <n v="8.92"/>
    <n v="264"/>
    <x v="2"/>
    <x v="1"/>
    <x v="3"/>
  </r>
  <r>
    <x v="2"/>
    <x v="7"/>
    <x v="1"/>
    <x v="16"/>
    <x v="228"/>
    <n v="288"/>
    <n v="278"/>
    <x v="301"/>
    <n v="105.08"/>
    <n v="3.78"/>
    <n v="24.06"/>
    <n v="69"/>
    <x v="1"/>
    <x v="3"/>
    <x v="0"/>
  </r>
  <r>
    <x v="0"/>
    <x v="5"/>
    <x v="2"/>
    <x v="2"/>
    <x v="229"/>
    <n v="232"/>
    <n v="148"/>
    <x v="302"/>
    <n v="20.57"/>
    <n v="11.68"/>
    <n v="17.350000000000001"/>
    <n v="69"/>
    <x v="1"/>
    <x v="1"/>
    <x v="0"/>
  </r>
  <r>
    <x v="0"/>
    <x v="10"/>
    <x v="3"/>
    <x v="9"/>
    <x v="106"/>
    <n v="407"/>
    <n v="326"/>
    <x v="303"/>
    <n v="67.48"/>
    <n v="16.77"/>
    <n v="3.67"/>
    <n v="211"/>
    <x v="1"/>
    <x v="3"/>
    <x v="0"/>
  </r>
  <r>
    <x v="2"/>
    <x v="7"/>
    <x v="3"/>
    <x v="4"/>
    <x v="227"/>
    <n v="106"/>
    <n v="40"/>
    <x v="304"/>
    <n v="18.8"/>
    <n v="31.02"/>
    <n v="19.62"/>
    <n v="147"/>
    <x v="1"/>
    <x v="0"/>
    <x v="1"/>
  </r>
  <r>
    <x v="2"/>
    <x v="9"/>
    <x v="3"/>
    <x v="4"/>
    <x v="230"/>
    <n v="270"/>
    <n v="176"/>
    <x v="305"/>
    <n v="57.2"/>
    <n v="30.55"/>
    <n v="1.49"/>
    <n v="222"/>
    <x v="0"/>
    <x v="1"/>
    <x v="1"/>
  </r>
  <r>
    <x v="2"/>
    <x v="1"/>
    <x v="1"/>
    <x v="13"/>
    <x v="209"/>
    <n v="94"/>
    <n v="40"/>
    <x v="306"/>
    <n v="9.32"/>
    <n v="12.58"/>
    <n v="4.7699999999999996"/>
    <n v="80"/>
    <x v="2"/>
    <x v="3"/>
    <x v="1"/>
  </r>
  <r>
    <x v="2"/>
    <x v="7"/>
    <x v="2"/>
    <x v="2"/>
    <x v="159"/>
    <n v="436"/>
    <n v="255"/>
    <x v="307"/>
    <n v="100.72"/>
    <n v="71.5"/>
    <n v="17.91"/>
    <n v="210"/>
    <x v="0"/>
    <x v="2"/>
    <x v="2"/>
  </r>
  <r>
    <x v="2"/>
    <x v="2"/>
    <x v="1"/>
    <x v="13"/>
    <x v="231"/>
    <n v="262"/>
    <n v="202"/>
    <x v="308"/>
    <n v="23.84"/>
    <n v="7.08"/>
    <n v="9.58"/>
    <n v="204"/>
    <x v="1"/>
    <x v="0"/>
    <x v="0"/>
  </r>
  <r>
    <x v="0"/>
    <x v="8"/>
    <x v="1"/>
    <x v="11"/>
    <x v="232"/>
    <n v="320"/>
    <n v="35"/>
    <x v="71"/>
    <n v="7.42"/>
    <n v="60.42"/>
    <n v="10.02"/>
    <n v="285"/>
    <x v="2"/>
    <x v="0"/>
    <x v="3"/>
  </r>
  <r>
    <x v="2"/>
    <x v="6"/>
    <x v="0"/>
    <x v="14"/>
    <x v="233"/>
    <n v="412"/>
    <n v="192"/>
    <x v="309"/>
    <n v="47.04"/>
    <n v="53.9"/>
    <n v="12.03"/>
    <n v="287"/>
    <x v="2"/>
    <x v="0"/>
    <x v="2"/>
  </r>
  <r>
    <x v="0"/>
    <x v="7"/>
    <x v="2"/>
    <x v="2"/>
    <x v="23"/>
    <n v="253"/>
    <n v="230"/>
    <x v="310"/>
    <n v="72.45"/>
    <n v="7.24"/>
    <n v="-9.39"/>
    <n v="233"/>
    <x v="0"/>
    <x v="3"/>
    <x v="2"/>
  </r>
  <r>
    <x v="2"/>
    <x v="9"/>
    <x v="2"/>
    <x v="10"/>
    <x v="223"/>
    <n v="347"/>
    <n v="50"/>
    <x v="311"/>
    <n v="19.850000000000001"/>
    <n v="117.91"/>
    <n v="-9.24"/>
    <n v="226"/>
    <x v="2"/>
    <x v="3"/>
    <x v="0"/>
  </r>
  <r>
    <x v="2"/>
    <x v="9"/>
    <x v="3"/>
    <x v="8"/>
    <x v="159"/>
    <n v="329"/>
    <n v="72"/>
    <x v="312"/>
    <n v="28.44"/>
    <n v="101.52"/>
    <n v="10.97"/>
    <n v="195"/>
    <x v="1"/>
    <x v="2"/>
    <x v="2"/>
  </r>
  <r>
    <x v="0"/>
    <x v="5"/>
    <x v="0"/>
    <x v="3"/>
    <x v="234"/>
    <n v="122"/>
    <n v="104"/>
    <x v="313"/>
    <n v="11.65"/>
    <n v="2.02"/>
    <n v="20.190000000000001"/>
    <n v="127"/>
    <x v="1"/>
    <x v="3"/>
    <x v="0"/>
  </r>
  <r>
    <x v="1"/>
    <x v="4"/>
    <x v="0"/>
    <x v="3"/>
    <x v="235"/>
    <n v="56"/>
    <n v="41"/>
    <x v="314"/>
    <n v="5.9"/>
    <n v="2.16"/>
    <n v="-8.74"/>
    <n v="109"/>
    <x v="1"/>
    <x v="3"/>
    <x v="1"/>
  </r>
  <r>
    <x v="1"/>
    <x v="4"/>
    <x v="3"/>
    <x v="8"/>
    <x v="236"/>
    <n v="109"/>
    <n v="88"/>
    <x v="315"/>
    <n v="37.93"/>
    <n v="9.0500000000000007"/>
    <n v="3.37"/>
    <n v="91"/>
    <x v="0"/>
    <x v="3"/>
    <x v="2"/>
  </r>
  <r>
    <x v="2"/>
    <x v="7"/>
    <x v="4"/>
    <x v="6"/>
    <x v="237"/>
    <n v="317"/>
    <n v="306"/>
    <x v="316"/>
    <n v="83.54"/>
    <n v="3"/>
    <n v="13.2"/>
    <n v="67"/>
    <x v="0"/>
    <x v="0"/>
    <x v="0"/>
  </r>
  <r>
    <x v="0"/>
    <x v="9"/>
    <x v="4"/>
    <x v="7"/>
    <x v="66"/>
    <n v="381"/>
    <n v="38"/>
    <x v="317"/>
    <n v="9.27"/>
    <n v="83.69"/>
    <n v="7.38"/>
    <n v="272"/>
    <x v="1"/>
    <x v="3"/>
    <x v="2"/>
  </r>
  <r>
    <x v="0"/>
    <x v="3"/>
    <x v="3"/>
    <x v="8"/>
    <x v="214"/>
    <n v="83"/>
    <n v="51"/>
    <x v="318"/>
    <n v="8.11"/>
    <n v="5.09"/>
    <n v="-4.9800000000000004"/>
    <n v="221"/>
    <x v="0"/>
    <x v="0"/>
    <x v="3"/>
  </r>
  <r>
    <x v="0"/>
    <x v="5"/>
    <x v="3"/>
    <x v="12"/>
    <x v="238"/>
    <n v="192"/>
    <n v="31"/>
    <x v="319"/>
    <n v="10.42"/>
    <n v="54.1"/>
    <n v="7.69"/>
    <n v="207"/>
    <x v="2"/>
    <x v="1"/>
    <x v="0"/>
  </r>
  <r>
    <x v="1"/>
    <x v="5"/>
    <x v="0"/>
    <x v="3"/>
    <x v="239"/>
    <n v="499"/>
    <n v="401"/>
    <x v="320"/>
    <n v="39.700000000000003"/>
    <n v="9.6999999999999993"/>
    <n v="-6.55"/>
    <n v="204"/>
    <x v="2"/>
    <x v="3"/>
    <x v="3"/>
  </r>
  <r>
    <x v="0"/>
    <x v="2"/>
    <x v="3"/>
    <x v="4"/>
    <x v="240"/>
    <n v="182"/>
    <n v="144"/>
    <x v="321"/>
    <n v="38.020000000000003"/>
    <n v="10.029999999999999"/>
    <n v="5.83"/>
    <n v="53"/>
    <x v="1"/>
    <x v="3"/>
    <x v="3"/>
  </r>
  <r>
    <x v="2"/>
    <x v="1"/>
    <x v="3"/>
    <x v="4"/>
    <x v="241"/>
    <n v="96"/>
    <n v="53"/>
    <x v="322"/>
    <n v="8.2100000000000009"/>
    <n v="6.67"/>
    <n v="0.95"/>
    <n v="280"/>
    <x v="2"/>
    <x v="2"/>
    <x v="1"/>
  </r>
  <r>
    <x v="0"/>
    <x v="1"/>
    <x v="3"/>
    <x v="12"/>
    <x v="237"/>
    <n v="174"/>
    <n v="34"/>
    <x v="323"/>
    <n v="9.2799999999999994"/>
    <n v="38.22"/>
    <n v="22.43"/>
    <n v="230"/>
    <x v="0"/>
    <x v="3"/>
    <x v="3"/>
  </r>
  <r>
    <x v="0"/>
    <x v="10"/>
    <x v="3"/>
    <x v="8"/>
    <x v="224"/>
    <n v="347"/>
    <n v="77"/>
    <x v="324"/>
    <n v="20.48"/>
    <n v="71.819999999999993"/>
    <n v="-3.97"/>
    <n v="29"/>
    <x v="0"/>
    <x v="3"/>
    <x v="1"/>
  </r>
  <r>
    <x v="1"/>
    <x v="11"/>
    <x v="4"/>
    <x v="6"/>
    <x v="99"/>
    <n v="274"/>
    <n v="56"/>
    <x v="325"/>
    <n v="6.1"/>
    <n v="23.76"/>
    <n v="20.16"/>
    <n v="68"/>
    <x v="2"/>
    <x v="1"/>
    <x v="0"/>
  </r>
  <r>
    <x v="0"/>
    <x v="11"/>
    <x v="1"/>
    <x v="1"/>
    <x v="242"/>
    <n v="490"/>
    <n v="251"/>
    <x v="326"/>
    <n v="93.12"/>
    <n v="88.67"/>
    <n v="4.29"/>
    <n v="203"/>
    <x v="0"/>
    <x v="2"/>
    <x v="0"/>
  </r>
  <r>
    <x v="0"/>
    <x v="11"/>
    <x v="2"/>
    <x v="15"/>
    <x v="175"/>
    <n v="462"/>
    <n v="446"/>
    <x v="327"/>
    <n v="196.24"/>
    <n v="7.04"/>
    <n v="4.75"/>
    <n v="148"/>
    <x v="0"/>
    <x v="3"/>
    <x v="3"/>
  </r>
  <r>
    <x v="2"/>
    <x v="11"/>
    <x v="0"/>
    <x v="0"/>
    <x v="77"/>
    <n v="107"/>
    <n v="43"/>
    <x v="328"/>
    <n v="3.91"/>
    <n v="5.82"/>
    <n v="4.82"/>
    <n v="220"/>
    <x v="1"/>
    <x v="0"/>
    <x v="0"/>
  </r>
  <r>
    <x v="0"/>
    <x v="9"/>
    <x v="3"/>
    <x v="12"/>
    <x v="243"/>
    <n v="468"/>
    <n v="276"/>
    <x v="82"/>
    <n v="21.53"/>
    <n v="14.98"/>
    <n v="-3.64"/>
    <n v="290"/>
    <x v="1"/>
    <x v="0"/>
    <x v="3"/>
  </r>
  <r>
    <x v="2"/>
    <x v="0"/>
    <x v="4"/>
    <x v="7"/>
    <x v="244"/>
    <n v="374"/>
    <n v="296"/>
    <x v="329"/>
    <n v="97.68"/>
    <n v="25.74"/>
    <n v="13.61"/>
    <n v="126"/>
    <x v="0"/>
    <x v="0"/>
    <x v="1"/>
  </r>
  <r>
    <x v="0"/>
    <x v="0"/>
    <x v="1"/>
    <x v="16"/>
    <x v="119"/>
    <n v="394"/>
    <n v="101"/>
    <x v="330"/>
    <n v="26.56"/>
    <n v="77.06"/>
    <n v="6.72"/>
    <n v="85"/>
    <x v="1"/>
    <x v="3"/>
    <x v="0"/>
  </r>
  <r>
    <x v="2"/>
    <x v="1"/>
    <x v="2"/>
    <x v="15"/>
    <x v="94"/>
    <n v="335"/>
    <n v="174"/>
    <x v="331"/>
    <n v="76.209999999999994"/>
    <n v="70.52"/>
    <n v="3.36"/>
    <n v="43"/>
    <x v="1"/>
    <x v="3"/>
    <x v="0"/>
  </r>
  <r>
    <x v="2"/>
    <x v="9"/>
    <x v="3"/>
    <x v="9"/>
    <x v="116"/>
    <n v="83"/>
    <n v="38"/>
    <x v="332"/>
    <n v="14.93"/>
    <n v="17.690000000000001"/>
    <n v="-3.89"/>
    <n v="168"/>
    <x v="0"/>
    <x v="0"/>
    <x v="2"/>
  </r>
  <r>
    <x v="0"/>
    <x v="6"/>
    <x v="0"/>
    <x v="3"/>
    <x v="168"/>
    <n v="373"/>
    <n v="252"/>
    <x v="333"/>
    <n v="23.44"/>
    <n v="11.25"/>
    <n v="20.25"/>
    <n v="163"/>
    <x v="1"/>
    <x v="3"/>
    <x v="3"/>
  </r>
  <r>
    <x v="1"/>
    <x v="2"/>
    <x v="0"/>
    <x v="3"/>
    <x v="110"/>
    <n v="136"/>
    <n v="109"/>
    <x v="334"/>
    <n v="36.729999999999997"/>
    <n v="9.1"/>
    <n v="17.04"/>
    <n v="43"/>
    <x v="0"/>
    <x v="3"/>
    <x v="0"/>
  </r>
  <r>
    <x v="2"/>
    <x v="9"/>
    <x v="2"/>
    <x v="15"/>
    <x v="245"/>
    <n v="72"/>
    <n v="47"/>
    <x v="335"/>
    <n v="13.35"/>
    <n v="7.1"/>
    <n v="11.84"/>
    <n v="240"/>
    <x v="1"/>
    <x v="0"/>
    <x v="1"/>
  </r>
  <r>
    <x v="1"/>
    <x v="3"/>
    <x v="0"/>
    <x v="3"/>
    <x v="107"/>
    <n v="176"/>
    <n v="41"/>
    <x v="336"/>
    <n v="10.58"/>
    <n v="34.83"/>
    <n v="20.329999999999998"/>
    <n v="184"/>
    <x v="0"/>
    <x v="2"/>
    <x v="2"/>
  </r>
  <r>
    <x v="2"/>
    <x v="5"/>
    <x v="1"/>
    <x v="13"/>
    <x v="159"/>
    <n v="104"/>
    <n v="94"/>
    <x v="337"/>
    <n v="37.130000000000003"/>
    <n v="3.95"/>
    <n v="20.22"/>
    <n v="185"/>
    <x v="1"/>
    <x v="2"/>
    <x v="2"/>
  </r>
  <r>
    <x v="2"/>
    <x v="2"/>
    <x v="0"/>
    <x v="0"/>
    <x v="38"/>
    <n v="417"/>
    <n v="180"/>
    <x v="338"/>
    <n v="22.14"/>
    <n v="29.15"/>
    <n v="3.41"/>
    <n v="158"/>
    <x v="2"/>
    <x v="1"/>
    <x v="3"/>
  </r>
  <r>
    <x v="0"/>
    <x v="3"/>
    <x v="1"/>
    <x v="1"/>
    <x v="246"/>
    <n v="157"/>
    <n v="66"/>
    <x v="339"/>
    <n v="9.64"/>
    <n v="13.29"/>
    <n v="11.8"/>
    <n v="190"/>
    <x v="1"/>
    <x v="3"/>
    <x v="0"/>
  </r>
  <r>
    <x v="2"/>
    <x v="5"/>
    <x v="2"/>
    <x v="10"/>
    <x v="247"/>
    <n v="351"/>
    <n v="139"/>
    <x v="340"/>
    <n v="28.63"/>
    <n v="43.67"/>
    <n v="-8.15"/>
    <n v="174"/>
    <x v="2"/>
    <x v="1"/>
    <x v="2"/>
  </r>
  <r>
    <x v="1"/>
    <x v="11"/>
    <x v="2"/>
    <x v="2"/>
    <x v="248"/>
    <n v="75"/>
    <n v="36"/>
    <x v="341"/>
    <n v="15.8"/>
    <n v="17.12"/>
    <n v="15.79"/>
    <n v="48"/>
    <x v="1"/>
    <x v="0"/>
    <x v="1"/>
  </r>
  <r>
    <x v="0"/>
    <x v="11"/>
    <x v="1"/>
    <x v="11"/>
    <x v="249"/>
    <n v="147"/>
    <n v="135"/>
    <x v="342"/>
    <n v="53.87"/>
    <n v="4.79"/>
    <n v="17.25"/>
    <n v="180"/>
    <x v="2"/>
    <x v="1"/>
    <x v="1"/>
  </r>
  <r>
    <x v="0"/>
    <x v="4"/>
    <x v="3"/>
    <x v="12"/>
    <x v="215"/>
    <n v="61"/>
    <n v="45"/>
    <x v="343"/>
    <n v="2.75"/>
    <n v="0.98"/>
    <n v="-6"/>
    <n v="224"/>
    <x v="0"/>
    <x v="0"/>
    <x v="1"/>
  </r>
  <r>
    <x v="1"/>
    <x v="0"/>
    <x v="4"/>
    <x v="5"/>
    <x v="217"/>
    <n v="317"/>
    <n v="270"/>
    <x v="344"/>
    <n v="105.03"/>
    <n v="18.28"/>
    <n v="3.58"/>
    <n v="57"/>
    <x v="1"/>
    <x v="0"/>
    <x v="2"/>
  </r>
  <r>
    <x v="1"/>
    <x v="7"/>
    <x v="1"/>
    <x v="13"/>
    <x v="250"/>
    <n v="192"/>
    <n v="166"/>
    <x v="345"/>
    <n v="44.65"/>
    <n v="6.99"/>
    <n v="0.38"/>
    <n v="169"/>
    <x v="0"/>
    <x v="3"/>
    <x v="1"/>
  </r>
  <r>
    <x v="0"/>
    <x v="0"/>
    <x v="0"/>
    <x v="0"/>
    <x v="181"/>
    <n v="414"/>
    <n v="259"/>
    <x v="346"/>
    <n v="77.7"/>
    <n v="46.5"/>
    <n v="-9.82"/>
    <n v="199"/>
    <x v="0"/>
    <x v="1"/>
    <x v="1"/>
  </r>
  <r>
    <x v="0"/>
    <x v="5"/>
    <x v="2"/>
    <x v="15"/>
    <x v="243"/>
    <n v="471"/>
    <n v="418"/>
    <x v="347"/>
    <n v="32.6"/>
    <n v="4.13"/>
    <n v="24.84"/>
    <n v="107"/>
    <x v="2"/>
    <x v="2"/>
    <x v="1"/>
  </r>
  <r>
    <x v="0"/>
    <x v="7"/>
    <x v="1"/>
    <x v="11"/>
    <x v="251"/>
    <n v="157"/>
    <n v="103"/>
    <x v="348"/>
    <n v="39.549999999999997"/>
    <n v="20.74"/>
    <n v="-4.57"/>
    <n v="160"/>
    <x v="1"/>
    <x v="2"/>
    <x v="3"/>
  </r>
  <r>
    <x v="2"/>
    <x v="11"/>
    <x v="1"/>
    <x v="11"/>
    <x v="120"/>
    <n v="411"/>
    <n v="87"/>
    <x v="349"/>
    <n v="43.15"/>
    <n v="160.69999999999999"/>
    <n v="19.34"/>
    <n v="90"/>
    <x v="1"/>
    <x v="3"/>
    <x v="3"/>
  </r>
  <r>
    <x v="1"/>
    <x v="2"/>
    <x v="0"/>
    <x v="14"/>
    <x v="252"/>
    <n v="146"/>
    <n v="74"/>
    <x v="350"/>
    <n v="25.97"/>
    <n v="25.27"/>
    <n v="7.88"/>
    <n v="286"/>
    <x v="0"/>
    <x v="0"/>
    <x v="2"/>
  </r>
  <r>
    <x v="2"/>
    <x v="3"/>
    <x v="1"/>
    <x v="11"/>
    <x v="120"/>
    <n v="336"/>
    <n v="155"/>
    <x v="351"/>
    <n v="76.88"/>
    <n v="89.78"/>
    <n v="-2.93"/>
    <n v="295"/>
    <x v="1"/>
    <x v="0"/>
    <x v="3"/>
  </r>
  <r>
    <x v="2"/>
    <x v="5"/>
    <x v="1"/>
    <x v="1"/>
    <x v="253"/>
    <n v="451"/>
    <n v="299"/>
    <x v="352"/>
    <n v="62.19"/>
    <n v="31.62"/>
    <n v="5.28"/>
    <n v="172"/>
    <x v="0"/>
    <x v="0"/>
    <x v="3"/>
  </r>
  <r>
    <x v="0"/>
    <x v="7"/>
    <x v="2"/>
    <x v="15"/>
    <x v="81"/>
    <n v="159"/>
    <n v="82"/>
    <x v="353"/>
    <n v="38.619999999999997"/>
    <n v="36.270000000000003"/>
    <n v="16.64"/>
    <n v="130"/>
    <x v="1"/>
    <x v="2"/>
    <x v="3"/>
  </r>
  <r>
    <x v="1"/>
    <x v="1"/>
    <x v="0"/>
    <x v="3"/>
    <x v="14"/>
    <n v="276"/>
    <n v="40"/>
    <x v="354"/>
    <n v="16.84"/>
    <n v="99.36"/>
    <n v="-2.2799999999999998"/>
    <n v="34"/>
    <x v="0"/>
    <x v="3"/>
    <x v="2"/>
  </r>
  <r>
    <x v="2"/>
    <x v="10"/>
    <x v="2"/>
    <x v="15"/>
    <x v="68"/>
    <n v="229"/>
    <n v="101"/>
    <x v="355"/>
    <n v="19.09"/>
    <n v="24.19"/>
    <n v="5.83"/>
    <n v="142"/>
    <x v="2"/>
    <x v="2"/>
    <x v="0"/>
  </r>
  <r>
    <x v="2"/>
    <x v="4"/>
    <x v="2"/>
    <x v="10"/>
    <x v="49"/>
    <n v="492"/>
    <n v="427"/>
    <x v="356"/>
    <n v="78.14"/>
    <n v="11.89"/>
    <n v="17.47"/>
    <n v="203"/>
    <x v="2"/>
    <x v="2"/>
    <x v="0"/>
  </r>
  <r>
    <x v="0"/>
    <x v="2"/>
    <x v="1"/>
    <x v="13"/>
    <x v="75"/>
    <n v="129"/>
    <n v="45"/>
    <x v="357"/>
    <n v="9.0399999999999991"/>
    <n v="16.88"/>
    <n v="13.6"/>
    <n v="28"/>
    <x v="0"/>
    <x v="0"/>
    <x v="1"/>
  </r>
  <r>
    <x v="1"/>
    <x v="4"/>
    <x v="1"/>
    <x v="13"/>
    <x v="50"/>
    <n v="205"/>
    <n v="145"/>
    <x v="358"/>
    <n v="35.090000000000003"/>
    <n v="14.52"/>
    <n v="-2.88"/>
    <n v="68"/>
    <x v="0"/>
    <x v="3"/>
    <x v="2"/>
  </r>
  <r>
    <x v="2"/>
    <x v="1"/>
    <x v="2"/>
    <x v="15"/>
    <x v="157"/>
    <n v="232"/>
    <n v="52"/>
    <x v="359"/>
    <n v="21.58"/>
    <n v="74.7"/>
    <n v="15.15"/>
    <n v="24"/>
    <x v="1"/>
    <x v="2"/>
    <x v="2"/>
  </r>
  <r>
    <x v="1"/>
    <x v="6"/>
    <x v="3"/>
    <x v="4"/>
    <x v="70"/>
    <n v="60"/>
    <n v="40"/>
    <x v="360"/>
    <n v="15.2"/>
    <n v="7.6"/>
    <n v="-4.04"/>
    <n v="97"/>
    <x v="0"/>
    <x v="2"/>
    <x v="3"/>
  </r>
  <r>
    <x v="2"/>
    <x v="4"/>
    <x v="3"/>
    <x v="8"/>
    <x v="81"/>
    <n v="167"/>
    <n v="51"/>
    <x v="361"/>
    <n v="24.02"/>
    <n v="54.64"/>
    <n v="-3.24"/>
    <n v="165"/>
    <x v="1"/>
    <x v="3"/>
    <x v="0"/>
  </r>
  <r>
    <x v="2"/>
    <x v="8"/>
    <x v="0"/>
    <x v="0"/>
    <x v="192"/>
    <n v="428"/>
    <n v="113"/>
    <x v="362"/>
    <n v="21.7"/>
    <n v="60.48"/>
    <n v="17.84"/>
    <n v="146"/>
    <x v="2"/>
    <x v="3"/>
    <x v="3"/>
  </r>
  <r>
    <x v="0"/>
    <x v="4"/>
    <x v="2"/>
    <x v="15"/>
    <x v="96"/>
    <n v="234"/>
    <n v="55"/>
    <x v="363"/>
    <n v="24.75"/>
    <n v="80.55"/>
    <n v="10.72"/>
    <n v="116"/>
    <x v="0"/>
    <x v="0"/>
    <x v="1"/>
  </r>
  <r>
    <x v="2"/>
    <x v="9"/>
    <x v="2"/>
    <x v="10"/>
    <x v="136"/>
    <n v="484"/>
    <n v="355"/>
    <x v="364"/>
    <n v="33.729999999999997"/>
    <n v="12.25"/>
    <n v="18.13"/>
    <n v="218"/>
    <x v="2"/>
    <x v="1"/>
    <x v="0"/>
  </r>
  <r>
    <x v="0"/>
    <x v="6"/>
    <x v="4"/>
    <x v="7"/>
    <x v="248"/>
    <n v="243"/>
    <n v="196"/>
    <x v="365"/>
    <n v="86.04"/>
    <n v="20.63"/>
    <n v="7.09"/>
    <n v="257"/>
    <x v="1"/>
    <x v="3"/>
    <x v="1"/>
  </r>
  <r>
    <x v="0"/>
    <x v="8"/>
    <x v="3"/>
    <x v="9"/>
    <x v="134"/>
    <n v="290"/>
    <n v="249"/>
    <x v="366"/>
    <n v="63.74"/>
    <n v="10.5"/>
    <n v="6.65"/>
    <n v="262"/>
    <x v="0"/>
    <x v="2"/>
    <x v="2"/>
  </r>
  <r>
    <x v="1"/>
    <x v="9"/>
    <x v="0"/>
    <x v="3"/>
    <x v="79"/>
    <n v="472"/>
    <n v="249"/>
    <x v="367"/>
    <n v="81.67"/>
    <n v="73.14"/>
    <n v="3.05"/>
    <n v="293"/>
    <x v="1"/>
    <x v="2"/>
    <x v="0"/>
  </r>
  <r>
    <x v="1"/>
    <x v="0"/>
    <x v="3"/>
    <x v="8"/>
    <x v="254"/>
    <n v="371"/>
    <n v="192"/>
    <x v="368"/>
    <n v="57.41"/>
    <n v="53.52"/>
    <n v="21.03"/>
    <n v="266"/>
    <x v="0"/>
    <x v="2"/>
    <x v="1"/>
  </r>
  <r>
    <x v="0"/>
    <x v="9"/>
    <x v="3"/>
    <x v="8"/>
    <x v="92"/>
    <n v="128"/>
    <n v="33"/>
    <x v="369"/>
    <n v="6.6"/>
    <n v="19"/>
    <n v="11.48"/>
    <n v="52"/>
    <x v="2"/>
    <x v="1"/>
    <x v="3"/>
  </r>
  <r>
    <x v="2"/>
    <x v="3"/>
    <x v="3"/>
    <x v="8"/>
    <x v="4"/>
    <n v="341"/>
    <n v="78"/>
    <x v="311"/>
    <n v="31.51"/>
    <n v="106.25"/>
    <n v="-5.87"/>
    <n v="128"/>
    <x v="2"/>
    <x v="0"/>
    <x v="2"/>
  </r>
  <r>
    <x v="0"/>
    <x v="9"/>
    <x v="0"/>
    <x v="14"/>
    <x v="255"/>
    <n v="442"/>
    <n v="31"/>
    <x v="370"/>
    <n v="12.21"/>
    <n v="161.93"/>
    <n v="3.92"/>
    <n v="200"/>
    <x v="0"/>
    <x v="1"/>
    <x v="1"/>
  </r>
  <r>
    <x v="0"/>
    <x v="9"/>
    <x v="1"/>
    <x v="13"/>
    <x v="256"/>
    <n v="374"/>
    <n v="261"/>
    <x v="371"/>
    <n v="86.91"/>
    <n v="37.630000000000003"/>
    <n v="-9.09"/>
    <n v="129"/>
    <x v="0"/>
    <x v="2"/>
    <x v="1"/>
  </r>
  <r>
    <x v="1"/>
    <x v="2"/>
    <x v="4"/>
    <x v="6"/>
    <x v="41"/>
    <n v="55"/>
    <n v="31"/>
    <x v="372"/>
    <n v="2.5099999999999998"/>
    <n v="1.94"/>
    <n v="1.03"/>
    <n v="61"/>
    <x v="0"/>
    <x v="0"/>
    <x v="0"/>
  </r>
  <r>
    <x v="2"/>
    <x v="4"/>
    <x v="0"/>
    <x v="14"/>
    <x v="107"/>
    <n v="307"/>
    <n v="221"/>
    <x v="373"/>
    <n v="57.02"/>
    <n v="22.19"/>
    <n v="10.050000000000001"/>
    <n v="201"/>
    <x v="1"/>
    <x v="2"/>
    <x v="1"/>
  </r>
  <r>
    <x v="2"/>
    <x v="7"/>
    <x v="2"/>
    <x v="15"/>
    <x v="257"/>
    <n v="401"/>
    <n v="380"/>
    <x v="374"/>
    <n v="142.12"/>
    <n v="7.85"/>
    <n v="7.15"/>
    <n v="237"/>
    <x v="2"/>
    <x v="0"/>
    <x v="3"/>
  </r>
  <r>
    <x v="0"/>
    <x v="9"/>
    <x v="2"/>
    <x v="2"/>
    <x v="258"/>
    <n v="337"/>
    <n v="70"/>
    <x v="375"/>
    <n v="13.72"/>
    <n v="52.33"/>
    <n v="10.66"/>
    <n v="129"/>
    <x v="0"/>
    <x v="1"/>
    <x v="1"/>
  </r>
  <r>
    <x v="1"/>
    <x v="5"/>
    <x v="4"/>
    <x v="7"/>
    <x v="259"/>
    <n v="274"/>
    <n v="132"/>
    <x v="376"/>
    <n v="39.86"/>
    <n v="42.88"/>
    <n v="23.38"/>
    <n v="192"/>
    <x v="0"/>
    <x v="3"/>
    <x v="1"/>
  </r>
  <r>
    <x v="1"/>
    <x v="11"/>
    <x v="0"/>
    <x v="14"/>
    <x v="234"/>
    <n v="309"/>
    <n v="281"/>
    <x v="377"/>
    <n v="31.47"/>
    <n v="3.14"/>
    <n v="13.11"/>
    <n v="280"/>
    <x v="2"/>
    <x v="2"/>
    <x v="3"/>
  </r>
  <r>
    <x v="2"/>
    <x v="8"/>
    <x v="1"/>
    <x v="13"/>
    <x v="64"/>
    <n v="120"/>
    <n v="90"/>
    <x v="378"/>
    <n v="16.29"/>
    <n v="5.43"/>
    <n v="10.039999999999999"/>
    <n v="61"/>
    <x v="0"/>
    <x v="1"/>
    <x v="2"/>
  </r>
  <r>
    <x v="0"/>
    <x v="3"/>
    <x v="3"/>
    <x v="12"/>
    <x v="174"/>
    <n v="184"/>
    <n v="155"/>
    <x v="379"/>
    <n v="57.66"/>
    <n v="10.79"/>
    <n v="14.41"/>
    <n v="68"/>
    <x v="1"/>
    <x v="1"/>
    <x v="2"/>
  </r>
  <r>
    <x v="0"/>
    <x v="10"/>
    <x v="0"/>
    <x v="3"/>
    <x v="52"/>
    <n v="51"/>
    <n v="40"/>
    <x v="380"/>
    <n v="7.2"/>
    <n v="1.98"/>
    <n v="1.33"/>
    <n v="289"/>
    <x v="2"/>
    <x v="2"/>
    <x v="3"/>
  </r>
  <r>
    <x v="0"/>
    <x v="2"/>
    <x v="3"/>
    <x v="8"/>
    <x v="260"/>
    <n v="240"/>
    <n v="179"/>
    <x v="381"/>
    <n v="62.11"/>
    <n v="21.17"/>
    <n v="15.34"/>
    <n v="291"/>
    <x v="0"/>
    <x v="3"/>
    <x v="2"/>
  </r>
  <r>
    <x v="1"/>
    <x v="10"/>
    <x v="0"/>
    <x v="3"/>
    <x v="261"/>
    <n v="188"/>
    <n v="137"/>
    <x v="382"/>
    <n v="30.82"/>
    <n v="11.47"/>
    <n v="-8.82"/>
    <n v="260"/>
    <x v="0"/>
    <x v="3"/>
    <x v="3"/>
  </r>
  <r>
    <x v="0"/>
    <x v="9"/>
    <x v="0"/>
    <x v="0"/>
    <x v="262"/>
    <n v="390"/>
    <n v="312"/>
    <x v="383"/>
    <n v="31.51"/>
    <n v="7.88"/>
    <n v="1.53"/>
    <n v="162"/>
    <x v="2"/>
    <x v="0"/>
    <x v="0"/>
  </r>
  <r>
    <x v="2"/>
    <x v="10"/>
    <x v="3"/>
    <x v="9"/>
    <x v="17"/>
    <n v="276"/>
    <n v="182"/>
    <x v="384"/>
    <n v="42.59"/>
    <n v="22"/>
    <n v="12.52"/>
    <n v="34"/>
    <x v="2"/>
    <x v="3"/>
    <x v="1"/>
  </r>
  <r>
    <x v="1"/>
    <x v="6"/>
    <x v="0"/>
    <x v="0"/>
    <x v="243"/>
    <n v="285"/>
    <n v="82"/>
    <x v="385"/>
    <n v="6.4"/>
    <n v="15.83"/>
    <n v="22.88"/>
    <n v="220"/>
    <x v="0"/>
    <x v="3"/>
    <x v="2"/>
  </r>
  <r>
    <x v="0"/>
    <x v="5"/>
    <x v="2"/>
    <x v="15"/>
    <x v="263"/>
    <n v="381"/>
    <n v="215"/>
    <x v="386"/>
    <n v="33.54"/>
    <n v="25.9"/>
    <n v="22.81"/>
    <n v="108"/>
    <x v="1"/>
    <x v="3"/>
    <x v="3"/>
  </r>
  <r>
    <x v="0"/>
    <x v="10"/>
    <x v="3"/>
    <x v="9"/>
    <x v="150"/>
    <n v="78"/>
    <n v="36"/>
    <x v="387"/>
    <n v="14.26"/>
    <n v="16.63"/>
    <n v="-3.56"/>
    <n v="149"/>
    <x v="0"/>
    <x v="3"/>
    <x v="0"/>
  </r>
  <r>
    <x v="1"/>
    <x v="11"/>
    <x v="2"/>
    <x v="10"/>
    <x v="223"/>
    <n v="334"/>
    <n v="90"/>
    <x v="388"/>
    <n v="35.729999999999997"/>
    <n v="96.87"/>
    <n v="0.19"/>
    <n v="242"/>
    <x v="0"/>
    <x v="0"/>
    <x v="0"/>
  </r>
  <r>
    <x v="2"/>
    <x v="7"/>
    <x v="2"/>
    <x v="15"/>
    <x v="197"/>
    <n v="52"/>
    <n v="33"/>
    <x v="389"/>
    <n v="12.94"/>
    <n v="7.45"/>
    <n v="2.48"/>
    <n v="114"/>
    <x v="2"/>
    <x v="2"/>
    <x v="0"/>
  </r>
  <r>
    <x v="1"/>
    <x v="11"/>
    <x v="2"/>
    <x v="2"/>
    <x v="189"/>
    <n v="221"/>
    <n v="145"/>
    <x v="390"/>
    <n v="31.75"/>
    <n v="16.64"/>
    <n v="8.91"/>
    <n v="39"/>
    <x v="0"/>
    <x v="0"/>
    <x v="1"/>
  </r>
  <r>
    <x v="0"/>
    <x v="6"/>
    <x v="1"/>
    <x v="11"/>
    <x v="264"/>
    <n v="232"/>
    <n v="98"/>
    <x v="391"/>
    <n v="15.97"/>
    <n v="21.84"/>
    <n v="-5.72"/>
    <n v="238"/>
    <x v="2"/>
    <x v="0"/>
    <x v="0"/>
  </r>
  <r>
    <x v="2"/>
    <x v="10"/>
    <x v="0"/>
    <x v="14"/>
    <x v="186"/>
    <n v="196"/>
    <n v="133"/>
    <x v="392"/>
    <n v="17.16"/>
    <n v="8.1300000000000008"/>
    <n v="17.61"/>
    <n v="296"/>
    <x v="2"/>
    <x v="1"/>
    <x v="2"/>
  </r>
  <r>
    <x v="2"/>
    <x v="0"/>
    <x v="1"/>
    <x v="16"/>
    <x v="21"/>
    <n v="111"/>
    <n v="65"/>
    <x v="393"/>
    <n v="8.52"/>
    <n v="6.03"/>
    <n v="21.94"/>
    <n v="58"/>
    <x v="2"/>
    <x v="3"/>
    <x v="1"/>
  </r>
  <r>
    <x v="2"/>
    <x v="2"/>
    <x v="4"/>
    <x v="5"/>
    <x v="23"/>
    <n v="114"/>
    <n v="58"/>
    <x v="394"/>
    <n v="18.27"/>
    <n v="17.64"/>
    <n v="10.5"/>
    <n v="134"/>
    <x v="2"/>
    <x v="1"/>
    <x v="0"/>
  </r>
  <r>
    <x v="0"/>
    <x v="10"/>
    <x v="3"/>
    <x v="8"/>
    <x v="83"/>
    <n v="100"/>
    <n v="82"/>
    <x v="296"/>
    <n v="37.64"/>
    <n v="8.26"/>
    <n v="-1.79"/>
    <n v="48"/>
    <x v="1"/>
    <x v="3"/>
    <x v="3"/>
  </r>
  <r>
    <x v="0"/>
    <x v="10"/>
    <x v="0"/>
    <x v="0"/>
    <x v="265"/>
    <n v="201"/>
    <n v="59"/>
    <x v="395"/>
    <n v="25.61"/>
    <n v="61.63"/>
    <n v="2.14"/>
    <n v="75"/>
    <x v="2"/>
    <x v="2"/>
    <x v="1"/>
  </r>
  <r>
    <x v="1"/>
    <x v="8"/>
    <x v="0"/>
    <x v="0"/>
    <x v="266"/>
    <n v="396"/>
    <n v="139"/>
    <x v="396"/>
    <n v="17.38"/>
    <n v="32.119999999999997"/>
    <n v="1.76"/>
    <n v="157"/>
    <x v="0"/>
    <x v="0"/>
    <x v="1"/>
  </r>
  <r>
    <x v="1"/>
    <x v="10"/>
    <x v="4"/>
    <x v="6"/>
    <x v="267"/>
    <n v="204"/>
    <n v="137"/>
    <x v="397"/>
    <n v="16.579999999999998"/>
    <n v="8.11"/>
    <n v="-9.82"/>
    <n v="210"/>
    <x v="0"/>
    <x v="0"/>
    <x v="3"/>
  </r>
  <r>
    <x v="0"/>
    <x v="8"/>
    <x v="1"/>
    <x v="11"/>
    <x v="268"/>
    <n v="164"/>
    <n v="53"/>
    <x v="398"/>
    <n v="3.02"/>
    <n v="6.33"/>
    <n v="18.84"/>
    <n v="151"/>
    <x v="1"/>
    <x v="1"/>
    <x v="2"/>
  </r>
  <r>
    <x v="0"/>
    <x v="9"/>
    <x v="3"/>
    <x v="8"/>
    <x v="269"/>
    <n v="78"/>
    <n v="36"/>
    <x v="399"/>
    <n v="14.9"/>
    <n v="17.39"/>
    <n v="16.12"/>
    <n v="44"/>
    <x v="2"/>
    <x v="0"/>
    <x v="2"/>
  </r>
  <r>
    <x v="2"/>
    <x v="10"/>
    <x v="4"/>
    <x v="7"/>
    <x v="270"/>
    <n v="120"/>
    <n v="73"/>
    <x v="400"/>
    <n v="18.25"/>
    <n v="11.75"/>
    <n v="9.8800000000000008"/>
    <n v="180"/>
    <x v="0"/>
    <x v="3"/>
    <x v="0"/>
  </r>
  <r>
    <x v="2"/>
    <x v="8"/>
    <x v="1"/>
    <x v="13"/>
    <x v="206"/>
    <n v="353"/>
    <n v="163"/>
    <x v="401"/>
    <n v="56.72"/>
    <n v="66.12"/>
    <n v="1.07"/>
    <n v="200"/>
    <x v="1"/>
    <x v="3"/>
    <x v="0"/>
  </r>
  <r>
    <x v="1"/>
    <x v="7"/>
    <x v="1"/>
    <x v="1"/>
    <x v="271"/>
    <n v="250"/>
    <n v="156"/>
    <x v="402"/>
    <n v="22.31"/>
    <n v="13.44"/>
    <n v="-0.15"/>
    <n v="270"/>
    <x v="2"/>
    <x v="2"/>
    <x v="0"/>
  </r>
  <r>
    <x v="0"/>
    <x v="1"/>
    <x v="1"/>
    <x v="11"/>
    <x v="23"/>
    <n v="352"/>
    <n v="154"/>
    <x v="403"/>
    <n v="48.51"/>
    <n v="62.37"/>
    <n v="6.25"/>
    <n v="38"/>
    <x v="1"/>
    <x v="3"/>
    <x v="1"/>
  </r>
  <r>
    <x v="2"/>
    <x v="8"/>
    <x v="0"/>
    <x v="0"/>
    <x v="232"/>
    <n v="131"/>
    <n v="111"/>
    <x v="404"/>
    <n v="23.53"/>
    <n v="4.24"/>
    <n v="4.6100000000000003"/>
    <n v="24"/>
    <x v="1"/>
    <x v="1"/>
    <x v="2"/>
  </r>
  <r>
    <x v="1"/>
    <x v="5"/>
    <x v="2"/>
    <x v="10"/>
    <x v="48"/>
    <n v="350"/>
    <n v="111"/>
    <x v="405"/>
    <n v="31.97"/>
    <n v="68.83"/>
    <n v="12.38"/>
    <n v="242"/>
    <x v="0"/>
    <x v="2"/>
    <x v="3"/>
  </r>
  <r>
    <x v="0"/>
    <x v="0"/>
    <x v="0"/>
    <x v="3"/>
    <x v="117"/>
    <n v="68"/>
    <n v="58"/>
    <x v="406"/>
    <n v="27.9"/>
    <n v="4.8099999999999996"/>
    <n v="-6.53"/>
    <n v="210"/>
    <x v="0"/>
    <x v="0"/>
    <x v="1"/>
  </r>
  <r>
    <x v="2"/>
    <x v="2"/>
    <x v="4"/>
    <x v="6"/>
    <x v="81"/>
    <n v="330"/>
    <n v="87"/>
    <x v="407"/>
    <n v="40.98"/>
    <n v="114.45"/>
    <n v="-0.1"/>
    <n v="63"/>
    <x v="2"/>
    <x v="2"/>
    <x v="2"/>
  </r>
  <r>
    <x v="1"/>
    <x v="9"/>
    <x v="2"/>
    <x v="10"/>
    <x v="212"/>
    <n v="235"/>
    <n v="124"/>
    <x v="408"/>
    <n v="52.7"/>
    <n v="47.17"/>
    <n v="-5.0599999999999996"/>
    <n v="119"/>
    <x v="2"/>
    <x v="1"/>
    <x v="3"/>
  </r>
  <r>
    <x v="1"/>
    <x v="11"/>
    <x v="3"/>
    <x v="4"/>
    <x v="115"/>
    <n v="58"/>
    <n v="44"/>
    <x v="409"/>
    <n v="20.99"/>
    <n v="6.68"/>
    <n v="21.17"/>
    <n v="239"/>
    <x v="2"/>
    <x v="0"/>
    <x v="2"/>
  </r>
  <r>
    <x v="2"/>
    <x v="9"/>
    <x v="3"/>
    <x v="4"/>
    <x v="272"/>
    <n v="198"/>
    <n v="100"/>
    <x v="410"/>
    <n v="7.1"/>
    <n v="6.96"/>
    <n v="-4.8"/>
    <n v="173"/>
    <x v="1"/>
    <x v="3"/>
    <x v="1"/>
  </r>
  <r>
    <x v="0"/>
    <x v="5"/>
    <x v="2"/>
    <x v="10"/>
    <x v="19"/>
    <n v="236"/>
    <n v="115"/>
    <x v="411"/>
    <n v="9.09"/>
    <n v="9.56"/>
    <n v="-5.2"/>
    <n v="57"/>
    <x v="0"/>
    <x v="1"/>
    <x v="1"/>
  </r>
  <r>
    <x v="2"/>
    <x v="4"/>
    <x v="4"/>
    <x v="7"/>
    <x v="143"/>
    <n v="171"/>
    <n v="65"/>
    <x v="412"/>
    <n v="20.93"/>
    <n v="34.130000000000003"/>
    <n v="-0.37"/>
    <n v="79"/>
    <x v="1"/>
    <x v="0"/>
    <x v="0"/>
  </r>
  <r>
    <x v="0"/>
    <x v="1"/>
    <x v="0"/>
    <x v="3"/>
    <x v="2"/>
    <n v="295"/>
    <n v="227"/>
    <x v="413"/>
    <n v="18.61"/>
    <n v="5.58"/>
    <n v="23.03"/>
    <n v="28"/>
    <x v="2"/>
    <x v="3"/>
    <x v="3"/>
  </r>
  <r>
    <x v="1"/>
    <x v="11"/>
    <x v="4"/>
    <x v="6"/>
    <x v="115"/>
    <n v="205"/>
    <n v="143"/>
    <x v="414"/>
    <n v="68.209999999999994"/>
    <n v="29.57"/>
    <n v="15.01"/>
    <n v="163"/>
    <x v="0"/>
    <x v="0"/>
    <x v="0"/>
  </r>
  <r>
    <x v="1"/>
    <x v="5"/>
    <x v="3"/>
    <x v="8"/>
    <x v="225"/>
    <n v="426"/>
    <n v="145"/>
    <x v="415"/>
    <n v="50.17"/>
    <n v="97.23"/>
    <n v="-5.12"/>
    <n v="213"/>
    <x v="0"/>
    <x v="3"/>
    <x v="3"/>
  </r>
  <r>
    <x v="1"/>
    <x v="9"/>
    <x v="4"/>
    <x v="7"/>
    <x v="273"/>
    <n v="108"/>
    <n v="45"/>
    <x v="416"/>
    <n v="13.99"/>
    <n v="19.59"/>
    <n v="9.74"/>
    <n v="268"/>
    <x v="1"/>
    <x v="3"/>
    <x v="0"/>
  </r>
  <r>
    <x v="1"/>
    <x v="6"/>
    <x v="2"/>
    <x v="15"/>
    <x v="69"/>
    <n v="193"/>
    <n v="168"/>
    <x v="417"/>
    <n v="8.4"/>
    <n v="1.25"/>
    <n v="-5.26"/>
    <n v="233"/>
    <x v="0"/>
    <x v="0"/>
    <x v="2"/>
  </r>
  <r>
    <x v="1"/>
    <x v="0"/>
    <x v="1"/>
    <x v="1"/>
    <x v="11"/>
    <n v="500"/>
    <n v="211"/>
    <x v="418"/>
    <n v="33.130000000000003"/>
    <n v="45.37"/>
    <n v="-6.17"/>
    <n v="232"/>
    <x v="2"/>
    <x v="0"/>
    <x v="3"/>
  </r>
  <r>
    <x v="0"/>
    <x v="0"/>
    <x v="3"/>
    <x v="4"/>
    <x v="187"/>
    <n v="434"/>
    <n v="103"/>
    <x v="419"/>
    <n v="28.63"/>
    <n v="92.02"/>
    <n v="4.0199999999999996"/>
    <n v="205"/>
    <x v="1"/>
    <x v="0"/>
    <x v="1"/>
  </r>
  <r>
    <x v="2"/>
    <x v="1"/>
    <x v="0"/>
    <x v="14"/>
    <x v="274"/>
    <n v="350"/>
    <n v="86"/>
    <x v="420"/>
    <n v="26.57"/>
    <n v="81.58"/>
    <n v="-2.31"/>
    <n v="258"/>
    <x v="2"/>
    <x v="0"/>
    <x v="2"/>
  </r>
  <r>
    <x v="0"/>
    <x v="1"/>
    <x v="3"/>
    <x v="12"/>
    <x v="163"/>
    <n v="394"/>
    <n v="261"/>
    <x v="421"/>
    <n v="25.32"/>
    <n v="12.9"/>
    <n v="-4.1100000000000003"/>
    <n v="37"/>
    <x v="1"/>
    <x v="0"/>
    <x v="0"/>
  </r>
  <r>
    <x v="0"/>
    <x v="4"/>
    <x v="1"/>
    <x v="1"/>
    <x v="230"/>
    <n v="170"/>
    <n v="93"/>
    <x v="422"/>
    <n v="30.23"/>
    <n v="25.02"/>
    <n v="17.350000000000001"/>
    <n v="167"/>
    <x v="2"/>
    <x v="2"/>
    <x v="1"/>
  </r>
  <r>
    <x v="0"/>
    <x v="11"/>
    <x v="3"/>
    <x v="12"/>
    <x v="275"/>
    <n v="179"/>
    <n v="106"/>
    <x v="423"/>
    <n v="38.69"/>
    <n v="26.64"/>
    <n v="13.65"/>
    <n v="31"/>
    <x v="0"/>
    <x v="2"/>
    <x v="2"/>
  </r>
  <r>
    <x v="1"/>
    <x v="6"/>
    <x v="4"/>
    <x v="7"/>
    <x v="276"/>
    <n v="265"/>
    <n v="205"/>
    <x v="424"/>
    <n v="49.2"/>
    <n v="14.4"/>
    <n v="23.7"/>
    <n v="78"/>
    <x v="1"/>
    <x v="1"/>
    <x v="3"/>
  </r>
  <r>
    <x v="1"/>
    <x v="11"/>
    <x v="1"/>
    <x v="1"/>
    <x v="277"/>
    <n v="396"/>
    <n v="47"/>
    <x v="425"/>
    <n v="20.02"/>
    <n v="148.66999999999999"/>
    <n v="13.09"/>
    <n v="201"/>
    <x v="0"/>
    <x v="0"/>
    <x v="3"/>
  </r>
  <r>
    <x v="2"/>
    <x v="2"/>
    <x v="1"/>
    <x v="13"/>
    <x v="182"/>
    <n v="228"/>
    <n v="166"/>
    <x v="426"/>
    <n v="60.76"/>
    <n v="22.69"/>
    <n v="5.36"/>
    <n v="176"/>
    <x v="0"/>
    <x v="0"/>
    <x v="3"/>
  </r>
  <r>
    <x v="1"/>
    <x v="8"/>
    <x v="3"/>
    <x v="9"/>
    <x v="72"/>
    <n v="249"/>
    <n v="123"/>
    <x v="427"/>
    <n v="50.55"/>
    <n v="51.79"/>
    <n v="7.42"/>
    <n v="150"/>
    <x v="0"/>
    <x v="2"/>
    <x v="0"/>
  </r>
  <r>
    <x v="1"/>
    <x v="11"/>
    <x v="2"/>
    <x v="2"/>
    <x v="238"/>
    <n v="149"/>
    <n v="36"/>
    <x v="428"/>
    <n v="12.1"/>
    <n v="37.97"/>
    <n v="20.88"/>
    <n v="225"/>
    <x v="2"/>
    <x v="0"/>
    <x v="1"/>
  </r>
  <r>
    <x v="2"/>
    <x v="10"/>
    <x v="3"/>
    <x v="12"/>
    <x v="212"/>
    <n v="294"/>
    <n v="35"/>
    <x v="429"/>
    <n v="14.88"/>
    <n v="110.08"/>
    <n v="-4.63"/>
    <n v="102"/>
    <x v="1"/>
    <x v="0"/>
    <x v="1"/>
  </r>
  <r>
    <x v="0"/>
    <x v="3"/>
    <x v="1"/>
    <x v="16"/>
    <x v="278"/>
    <n v="300"/>
    <n v="261"/>
    <x v="430"/>
    <n v="36.020000000000003"/>
    <n v="5.38"/>
    <n v="17.059999999999999"/>
    <n v="44"/>
    <x v="2"/>
    <x v="0"/>
    <x v="2"/>
  </r>
  <r>
    <x v="1"/>
    <x v="5"/>
    <x v="2"/>
    <x v="15"/>
    <x v="208"/>
    <n v="231"/>
    <n v="99"/>
    <x v="431"/>
    <n v="31.58"/>
    <n v="42.11"/>
    <n v="-7.68"/>
    <n v="118"/>
    <x v="0"/>
    <x v="0"/>
    <x v="1"/>
  </r>
  <r>
    <x v="1"/>
    <x v="4"/>
    <x v="3"/>
    <x v="8"/>
    <x v="126"/>
    <n v="387"/>
    <n v="45"/>
    <x v="432"/>
    <n v="12.2"/>
    <n v="92.68"/>
    <n v="1.18"/>
    <n v="92"/>
    <x v="1"/>
    <x v="1"/>
    <x v="0"/>
  </r>
  <r>
    <x v="1"/>
    <x v="5"/>
    <x v="1"/>
    <x v="16"/>
    <x v="106"/>
    <n v="178"/>
    <n v="78"/>
    <x v="433"/>
    <n v="16.149999999999999"/>
    <n v="20.7"/>
    <n v="-6.22"/>
    <n v="171"/>
    <x v="2"/>
    <x v="1"/>
    <x v="3"/>
  </r>
  <r>
    <x v="1"/>
    <x v="8"/>
    <x v="3"/>
    <x v="4"/>
    <x v="279"/>
    <n v="402"/>
    <n v="146"/>
    <x v="434"/>
    <n v="33.14"/>
    <n v="58.11"/>
    <n v="-1.68"/>
    <n v="107"/>
    <x v="2"/>
    <x v="1"/>
    <x v="1"/>
  </r>
  <r>
    <x v="0"/>
    <x v="0"/>
    <x v="4"/>
    <x v="5"/>
    <x v="184"/>
    <n v="465"/>
    <n v="259"/>
    <x v="435"/>
    <n v="59.31"/>
    <n v="47.17"/>
    <n v="7.85"/>
    <n v="57"/>
    <x v="2"/>
    <x v="1"/>
    <x v="0"/>
  </r>
  <r>
    <x v="2"/>
    <x v="7"/>
    <x v="1"/>
    <x v="11"/>
    <x v="68"/>
    <n v="294"/>
    <n v="167"/>
    <x v="436"/>
    <n v="31.56"/>
    <n v="24"/>
    <n v="17.09"/>
    <n v="101"/>
    <x v="2"/>
    <x v="1"/>
    <x v="3"/>
  </r>
  <r>
    <x v="0"/>
    <x v="5"/>
    <x v="3"/>
    <x v="12"/>
    <x v="198"/>
    <n v="393"/>
    <n v="278"/>
    <x v="437"/>
    <n v="42.53"/>
    <n v="17.59"/>
    <n v="3.4"/>
    <n v="278"/>
    <x v="2"/>
    <x v="1"/>
    <x v="3"/>
  </r>
  <r>
    <x v="1"/>
    <x v="5"/>
    <x v="3"/>
    <x v="4"/>
    <x v="227"/>
    <n v="297"/>
    <n v="105"/>
    <x v="438"/>
    <n v="49.35"/>
    <n v="90.24"/>
    <n v="-1.17"/>
    <n v="191"/>
    <x v="2"/>
    <x v="2"/>
    <x v="3"/>
  </r>
  <r>
    <x v="0"/>
    <x v="8"/>
    <x v="1"/>
    <x v="13"/>
    <x v="182"/>
    <n v="471"/>
    <n v="172"/>
    <x v="439"/>
    <n v="62.95"/>
    <n v="109.43"/>
    <n v="6.73"/>
    <n v="279"/>
    <x v="2"/>
    <x v="1"/>
    <x v="0"/>
  </r>
  <r>
    <x v="1"/>
    <x v="4"/>
    <x v="1"/>
    <x v="16"/>
    <x v="280"/>
    <n v="223"/>
    <n v="188"/>
    <x v="440"/>
    <n v="56.59"/>
    <n v="10.54"/>
    <n v="0.89"/>
    <n v="200"/>
    <x v="1"/>
    <x v="1"/>
    <x v="2"/>
  </r>
  <r>
    <x v="1"/>
    <x v="3"/>
    <x v="1"/>
    <x v="1"/>
    <x v="281"/>
    <n v="188"/>
    <n v="97"/>
    <x v="441"/>
    <n v="8.34"/>
    <n v="7.83"/>
    <n v="-3"/>
    <n v="93"/>
    <x v="0"/>
    <x v="1"/>
    <x v="0"/>
  </r>
  <r>
    <x v="2"/>
    <x v="5"/>
    <x v="4"/>
    <x v="7"/>
    <x v="260"/>
    <n v="208"/>
    <n v="60"/>
    <x v="442"/>
    <n v="20.82"/>
    <n v="51.36"/>
    <n v="7.41"/>
    <n v="103"/>
    <x v="2"/>
    <x v="2"/>
    <x v="0"/>
  </r>
  <r>
    <x v="1"/>
    <x v="9"/>
    <x v="2"/>
    <x v="2"/>
    <x v="271"/>
    <n v="158"/>
    <n v="86"/>
    <x v="443"/>
    <n v="12.3"/>
    <n v="10.3"/>
    <n v="-3.35"/>
    <n v="60"/>
    <x v="1"/>
    <x v="1"/>
    <x v="0"/>
  </r>
  <r>
    <x v="0"/>
    <x v="0"/>
    <x v="0"/>
    <x v="3"/>
    <x v="217"/>
    <n v="148"/>
    <n v="99"/>
    <x v="444"/>
    <n v="38.51"/>
    <n v="19.059999999999999"/>
    <n v="-6.31"/>
    <n v="32"/>
    <x v="0"/>
    <x v="0"/>
    <x v="3"/>
  </r>
  <r>
    <x v="1"/>
    <x v="5"/>
    <x v="0"/>
    <x v="14"/>
    <x v="226"/>
    <n v="108"/>
    <n v="80"/>
    <x v="445"/>
    <n v="11.76"/>
    <n v="4.12"/>
    <n v="-4.26"/>
    <n v="51"/>
    <x v="1"/>
    <x v="0"/>
    <x v="3"/>
  </r>
  <r>
    <x v="2"/>
    <x v="11"/>
    <x v="2"/>
    <x v="15"/>
    <x v="105"/>
    <n v="116"/>
    <n v="48"/>
    <x v="315"/>
    <n v="19.440000000000001"/>
    <n v="27.54"/>
    <n v="0.92"/>
    <n v="209"/>
    <x v="1"/>
    <x v="1"/>
    <x v="3"/>
  </r>
  <r>
    <x v="1"/>
    <x v="2"/>
    <x v="2"/>
    <x v="15"/>
    <x v="30"/>
    <n v="212"/>
    <n v="175"/>
    <x v="446"/>
    <n v="87.5"/>
    <n v="18.5"/>
    <n v="1.46"/>
    <n v="249"/>
    <x v="1"/>
    <x v="0"/>
    <x v="2"/>
  </r>
  <r>
    <x v="2"/>
    <x v="11"/>
    <x v="0"/>
    <x v="3"/>
    <x v="194"/>
    <n v="274"/>
    <n v="194"/>
    <x v="447"/>
    <n v="13"/>
    <n v="5.36"/>
    <n v="-4.07"/>
    <n v="170"/>
    <x v="2"/>
    <x v="1"/>
    <x v="2"/>
  </r>
  <r>
    <x v="2"/>
    <x v="11"/>
    <x v="4"/>
    <x v="6"/>
    <x v="216"/>
    <n v="200"/>
    <n v="82"/>
    <x v="448"/>
    <n v="40.92"/>
    <n v="58.88"/>
    <n v="19.97"/>
    <n v="212"/>
    <x v="0"/>
    <x v="2"/>
    <x v="3"/>
  </r>
  <r>
    <x v="0"/>
    <x v="4"/>
    <x v="3"/>
    <x v="9"/>
    <x v="282"/>
    <n v="171"/>
    <n v="84"/>
    <x v="449"/>
    <n v="31.58"/>
    <n v="32.71"/>
    <n v="15.26"/>
    <n v="111"/>
    <x v="0"/>
    <x v="3"/>
    <x v="2"/>
  </r>
  <r>
    <x v="0"/>
    <x v="7"/>
    <x v="0"/>
    <x v="3"/>
    <x v="214"/>
    <n v="333"/>
    <n v="208"/>
    <x v="450"/>
    <n v="33.07"/>
    <n v="19.88"/>
    <n v="-5.83"/>
    <n v="93"/>
    <x v="0"/>
    <x v="0"/>
    <x v="0"/>
  </r>
  <r>
    <x v="2"/>
    <x v="4"/>
    <x v="3"/>
    <x v="12"/>
    <x v="253"/>
    <n v="386"/>
    <n v="64"/>
    <x v="451"/>
    <n v="13.31"/>
    <n v="66.98"/>
    <n v="2.16"/>
    <n v="100"/>
    <x v="2"/>
    <x v="0"/>
    <x v="1"/>
  </r>
  <r>
    <x v="1"/>
    <x v="10"/>
    <x v="4"/>
    <x v="5"/>
    <x v="283"/>
    <n v="489"/>
    <n v="173"/>
    <x v="452"/>
    <n v="54.84"/>
    <n v="100.17"/>
    <n v="20.86"/>
    <n v="52"/>
    <x v="0"/>
    <x v="2"/>
    <x v="2"/>
  </r>
  <r>
    <x v="2"/>
    <x v="10"/>
    <x v="0"/>
    <x v="14"/>
    <x v="284"/>
    <n v="398"/>
    <n v="299"/>
    <x v="453"/>
    <n v="25.12"/>
    <n v="8.32"/>
    <n v="19.010000000000002"/>
    <n v="297"/>
    <x v="2"/>
    <x v="0"/>
    <x v="1"/>
  </r>
  <r>
    <x v="2"/>
    <x v="8"/>
    <x v="1"/>
    <x v="1"/>
    <x v="285"/>
    <n v="393"/>
    <n v="265"/>
    <x v="454"/>
    <n v="125.08"/>
    <n v="60.42"/>
    <n v="1.24"/>
    <n v="178"/>
    <x v="0"/>
    <x v="0"/>
    <x v="1"/>
  </r>
  <r>
    <x v="2"/>
    <x v="3"/>
    <x v="0"/>
    <x v="0"/>
    <x v="75"/>
    <n v="475"/>
    <n v="335"/>
    <x v="455"/>
    <n v="67.33"/>
    <n v="28.14"/>
    <n v="20.73"/>
    <n v="106"/>
    <x v="2"/>
    <x v="3"/>
    <x v="1"/>
  </r>
  <r>
    <x v="1"/>
    <x v="4"/>
    <x v="2"/>
    <x v="2"/>
    <x v="172"/>
    <n v="266"/>
    <n v="128"/>
    <x v="456"/>
    <n v="13.31"/>
    <n v="14.35"/>
    <n v="22.23"/>
    <n v="124"/>
    <x v="2"/>
    <x v="1"/>
    <x v="2"/>
  </r>
  <r>
    <x v="2"/>
    <x v="2"/>
    <x v="1"/>
    <x v="13"/>
    <x v="269"/>
    <n v="374"/>
    <n v="359"/>
    <x v="457"/>
    <n v="148.63"/>
    <n v="6.21"/>
    <n v="-5.76"/>
    <n v="130"/>
    <x v="0"/>
    <x v="1"/>
    <x v="1"/>
  </r>
  <r>
    <x v="2"/>
    <x v="1"/>
    <x v="3"/>
    <x v="4"/>
    <x v="286"/>
    <n v="490"/>
    <n v="185"/>
    <x v="458"/>
    <n v="17.39"/>
    <n v="28.67"/>
    <n v="1.92"/>
    <n v="162"/>
    <x v="1"/>
    <x v="0"/>
    <x v="0"/>
  </r>
  <r>
    <x v="2"/>
    <x v="9"/>
    <x v="3"/>
    <x v="12"/>
    <x v="27"/>
    <n v="250"/>
    <n v="114"/>
    <x v="148"/>
    <n v="26.79"/>
    <n v="31.96"/>
    <n v="9.83"/>
    <n v="55"/>
    <x v="1"/>
    <x v="3"/>
    <x v="3"/>
  </r>
  <r>
    <x v="0"/>
    <x v="2"/>
    <x v="0"/>
    <x v="14"/>
    <x v="228"/>
    <n v="153"/>
    <n v="116"/>
    <x v="459"/>
    <n v="43.85"/>
    <n v="13.99"/>
    <n v="-1.69"/>
    <n v="291"/>
    <x v="0"/>
    <x v="0"/>
    <x v="0"/>
  </r>
  <r>
    <x v="2"/>
    <x v="11"/>
    <x v="2"/>
    <x v="10"/>
    <x v="55"/>
    <n v="309"/>
    <n v="281"/>
    <x v="118"/>
    <n v="67.16"/>
    <n v="6.69"/>
    <n v="3.53"/>
    <n v="61"/>
    <x v="0"/>
    <x v="2"/>
    <x v="2"/>
  </r>
  <r>
    <x v="2"/>
    <x v="1"/>
    <x v="1"/>
    <x v="11"/>
    <x v="287"/>
    <n v="390"/>
    <n v="167"/>
    <x v="460"/>
    <n v="13.86"/>
    <n v="18.510000000000002"/>
    <n v="5.5"/>
    <n v="73"/>
    <x v="0"/>
    <x v="3"/>
    <x v="2"/>
  </r>
  <r>
    <x v="1"/>
    <x v="8"/>
    <x v="3"/>
    <x v="4"/>
    <x v="113"/>
    <n v="336"/>
    <n v="210"/>
    <x v="461"/>
    <n v="54.81"/>
    <n v="32.89"/>
    <n v="24.93"/>
    <n v="192"/>
    <x v="1"/>
    <x v="1"/>
    <x v="3"/>
  </r>
  <r>
    <x v="2"/>
    <x v="8"/>
    <x v="0"/>
    <x v="14"/>
    <x v="288"/>
    <n v="173"/>
    <n v="160"/>
    <x v="462"/>
    <n v="22.4"/>
    <n v="1.82"/>
    <n v="7.68"/>
    <n v="266"/>
    <x v="0"/>
    <x v="2"/>
    <x v="2"/>
  </r>
  <r>
    <x v="2"/>
    <x v="6"/>
    <x v="3"/>
    <x v="8"/>
    <x v="230"/>
    <n v="427"/>
    <n v="295"/>
    <x v="463"/>
    <n v="95.88"/>
    <n v="42.9"/>
    <n v="6.33"/>
    <n v="114"/>
    <x v="2"/>
    <x v="2"/>
    <x v="3"/>
  </r>
  <r>
    <x v="2"/>
    <x v="11"/>
    <x v="2"/>
    <x v="15"/>
    <x v="2"/>
    <n v="359"/>
    <n v="188"/>
    <x v="215"/>
    <n v="15.42"/>
    <n v="14.02"/>
    <n v="18.04"/>
    <n v="235"/>
    <x v="0"/>
    <x v="2"/>
    <x v="0"/>
  </r>
  <r>
    <x v="2"/>
    <x v="2"/>
    <x v="1"/>
    <x v="1"/>
    <x v="133"/>
    <n v="418"/>
    <n v="94"/>
    <x v="464"/>
    <n v="28.95"/>
    <n v="99.79"/>
    <n v="-8.4700000000000006"/>
    <n v="220"/>
    <x v="1"/>
    <x v="3"/>
    <x v="1"/>
  </r>
  <r>
    <x v="1"/>
    <x v="1"/>
    <x v="4"/>
    <x v="6"/>
    <x v="127"/>
    <n v="98"/>
    <n v="64"/>
    <x v="465"/>
    <n v="30.91"/>
    <n v="16.420000000000002"/>
    <n v="4.7699999999999996"/>
    <n v="34"/>
    <x v="0"/>
    <x v="1"/>
    <x v="3"/>
  </r>
  <r>
    <x v="2"/>
    <x v="10"/>
    <x v="4"/>
    <x v="5"/>
    <x v="122"/>
    <n v="57"/>
    <n v="34"/>
    <x v="466"/>
    <n v="16.29"/>
    <n v="11.02"/>
    <n v="2.2400000000000002"/>
    <n v="265"/>
    <x v="1"/>
    <x v="2"/>
    <x v="0"/>
  </r>
  <r>
    <x v="0"/>
    <x v="1"/>
    <x v="3"/>
    <x v="4"/>
    <x v="289"/>
    <n v="422"/>
    <n v="172"/>
    <x v="467"/>
    <n v="25.63"/>
    <n v="37.25"/>
    <n v="19.45"/>
    <n v="83"/>
    <x v="0"/>
    <x v="3"/>
    <x v="1"/>
  </r>
  <r>
    <x v="0"/>
    <x v="1"/>
    <x v="2"/>
    <x v="2"/>
    <x v="169"/>
    <n v="481"/>
    <n v="199"/>
    <x v="468"/>
    <n v="45.77"/>
    <n v="64.86"/>
    <n v="-6.19"/>
    <n v="21"/>
    <x v="1"/>
    <x v="3"/>
    <x v="3"/>
  </r>
  <r>
    <x v="0"/>
    <x v="10"/>
    <x v="3"/>
    <x v="4"/>
    <x v="210"/>
    <n v="452"/>
    <n v="167"/>
    <x v="469"/>
    <n v="60.45"/>
    <n v="103.17"/>
    <n v="14.8"/>
    <n v="190"/>
    <x v="0"/>
    <x v="1"/>
    <x v="2"/>
  </r>
  <r>
    <x v="0"/>
    <x v="0"/>
    <x v="3"/>
    <x v="12"/>
    <x v="241"/>
    <n v="243"/>
    <n v="81"/>
    <x v="470"/>
    <n v="12.55"/>
    <n v="25.11"/>
    <n v="9.51"/>
    <n v="209"/>
    <x v="2"/>
    <x v="0"/>
    <x v="0"/>
  </r>
  <r>
    <x v="0"/>
    <x v="2"/>
    <x v="3"/>
    <x v="8"/>
    <x v="272"/>
    <n v="437"/>
    <n v="106"/>
    <x v="471"/>
    <n v="7.53"/>
    <n v="23.5"/>
    <n v="18.98"/>
    <n v="160"/>
    <x v="2"/>
    <x v="0"/>
    <x v="2"/>
  </r>
  <r>
    <x v="2"/>
    <x v="8"/>
    <x v="2"/>
    <x v="10"/>
    <x v="165"/>
    <n v="499"/>
    <n v="413"/>
    <x v="472"/>
    <n v="136.69999999999999"/>
    <n v="28.47"/>
    <n v="17.190000000000001"/>
    <n v="45"/>
    <x v="1"/>
    <x v="1"/>
    <x v="3"/>
  </r>
  <r>
    <x v="0"/>
    <x v="11"/>
    <x v="2"/>
    <x v="10"/>
    <x v="250"/>
    <n v="155"/>
    <n v="31"/>
    <x v="473"/>
    <n v="8.34"/>
    <n v="33.36"/>
    <n v="23.11"/>
    <n v="220"/>
    <x v="1"/>
    <x v="1"/>
    <x v="2"/>
  </r>
  <r>
    <x v="2"/>
    <x v="4"/>
    <x v="2"/>
    <x v="2"/>
    <x v="290"/>
    <n v="336"/>
    <n v="119"/>
    <x v="474"/>
    <n v="55.1"/>
    <n v="100.47"/>
    <n v="0.89"/>
    <n v="142"/>
    <x v="2"/>
    <x v="2"/>
    <x v="2"/>
  </r>
  <r>
    <x v="2"/>
    <x v="5"/>
    <x v="1"/>
    <x v="11"/>
    <x v="291"/>
    <n v="452"/>
    <n v="134"/>
    <x v="475"/>
    <n v="28.01"/>
    <n v="66.459999999999994"/>
    <n v="0.16"/>
    <n v="262"/>
    <x v="1"/>
    <x v="1"/>
    <x v="0"/>
  </r>
  <r>
    <x v="0"/>
    <x v="10"/>
    <x v="1"/>
    <x v="11"/>
    <x v="292"/>
    <n v="217"/>
    <n v="132"/>
    <x v="476"/>
    <n v="33.4"/>
    <n v="21.51"/>
    <n v="1.06"/>
    <n v="85"/>
    <x v="2"/>
    <x v="2"/>
    <x v="1"/>
  </r>
  <r>
    <x v="2"/>
    <x v="6"/>
    <x v="3"/>
    <x v="12"/>
    <x v="74"/>
    <n v="464"/>
    <n v="398"/>
    <x v="477"/>
    <n v="52.54"/>
    <n v="8.7100000000000009"/>
    <n v="5.96"/>
    <n v="54"/>
    <x v="2"/>
    <x v="3"/>
    <x v="1"/>
  </r>
  <r>
    <x v="2"/>
    <x v="7"/>
    <x v="3"/>
    <x v="12"/>
    <x v="74"/>
    <n v="188"/>
    <n v="66"/>
    <x v="478"/>
    <n v="8.7100000000000009"/>
    <n v="16.100000000000001"/>
    <n v="13.88"/>
    <n v="273"/>
    <x v="1"/>
    <x v="0"/>
    <x v="2"/>
  </r>
  <r>
    <x v="1"/>
    <x v="3"/>
    <x v="4"/>
    <x v="7"/>
    <x v="247"/>
    <n v="458"/>
    <n v="199"/>
    <x v="479"/>
    <n v="40.99"/>
    <n v="53.35"/>
    <n v="3.91"/>
    <n v="145"/>
    <x v="2"/>
    <x v="2"/>
    <x v="3"/>
  </r>
  <r>
    <x v="2"/>
    <x v="5"/>
    <x v="3"/>
    <x v="12"/>
    <x v="155"/>
    <n v="439"/>
    <n v="198"/>
    <x v="480"/>
    <n v="76.819999999999993"/>
    <n v="93.51"/>
    <n v="1.93"/>
    <n v="27"/>
    <x v="1"/>
    <x v="3"/>
    <x v="2"/>
  </r>
  <r>
    <x v="0"/>
    <x v="6"/>
    <x v="1"/>
    <x v="11"/>
    <x v="75"/>
    <n v="163"/>
    <n v="56"/>
    <x v="481"/>
    <n v="11.26"/>
    <n v="21.51"/>
    <n v="23.8"/>
    <n v="258"/>
    <x v="2"/>
    <x v="1"/>
    <x v="3"/>
  </r>
  <r>
    <x v="0"/>
    <x v="6"/>
    <x v="4"/>
    <x v="7"/>
    <x v="293"/>
    <n v="469"/>
    <n v="411"/>
    <x v="482"/>
    <n v="174.26"/>
    <n v="24.59"/>
    <n v="18.93"/>
    <n v="218"/>
    <x v="2"/>
    <x v="2"/>
    <x v="2"/>
  </r>
  <r>
    <x v="0"/>
    <x v="8"/>
    <x v="4"/>
    <x v="6"/>
    <x v="294"/>
    <n v="473"/>
    <n v="435"/>
    <x v="483"/>
    <n v="23.93"/>
    <n v="2.09"/>
    <n v="7.84"/>
    <n v="282"/>
    <x v="1"/>
    <x v="0"/>
    <x v="2"/>
  </r>
  <r>
    <x v="0"/>
    <x v="5"/>
    <x v="0"/>
    <x v="3"/>
    <x v="295"/>
    <n v="176"/>
    <n v="165"/>
    <x v="484"/>
    <n v="76.56"/>
    <n v="5.0999999999999996"/>
    <n v="-2.0499999999999998"/>
    <n v="47"/>
    <x v="0"/>
    <x v="3"/>
    <x v="0"/>
  </r>
  <r>
    <x v="0"/>
    <x v="1"/>
    <x v="2"/>
    <x v="2"/>
    <x v="248"/>
    <n v="96"/>
    <n v="77"/>
    <x v="485"/>
    <n v="33.799999999999997"/>
    <n v="8.34"/>
    <n v="18.03"/>
    <n v="88"/>
    <x v="0"/>
    <x v="0"/>
    <x v="3"/>
  </r>
  <r>
    <x v="0"/>
    <x v="0"/>
    <x v="4"/>
    <x v="6"/>
    <x v="264"/>
    <n v="101"/>
    <n v="46"/>
    <x v="486"/>
    <n v="7.5"/>
    <n v="8.9600000000000009"/>
    <n v="2.31"/>
    <n v="48"/>
    <x v="0"/>
    <x v="2"/>
    <x v="1"/>
  </r>
  <r>
    <x v="2"/>
    <x v="10"/>
    <x v="2"/>
    <x v="15"/>
    <x v="296"/>
    <n v="190"/>
    <n v="49"/>
    <x v="487"/>
    <n v="21.9"/>
    <n v="63.03"/>
    <n v="17.73"/>
    <n v="165"/>
    <x v="1"/>
    <x v="3"/>
    <x v="0"/>
  </r>
  <r>
    <x v="2"/>
    <x v="1"/>
    <x v="4"/>
    <x v="6"/>
    <x v="297"/>
    <n v="311"/>
    <n v="150"/>
    <x v="488"/>
    <n v="28.5"/>
    <n v="30.59"/>
    <n v="17.23"/>
    <n v="138"/>
    <x v="0"/>
    <x v="0"/>
    <x v="0"/>
  </r>
  <r>
    <x v="1"/>
    <x v="10"/>
    <x v="1"/>
    <x v="11"/>
    <x v="158"/>
    <n v="64"/>
    <n v="54"/>
    <x v="489"/>
    <n v="8.86"/>
    <n v="1.64"/>
    <n v="23.61"/>
    <n v="79"/>
    <x v="2"/>
    <x v="3"/>
    <x v="0"/>
  </r>
  <r>
    <x v="1"/>
    <x v="9"/>
    <x v="3"/>
    <x v="12"/>
    <x v="298"/>
    <n v="107"/>
    <n v="52"/>
    <x v="79"/>
    <n v="20.02"/>
    <n v="21.18"/>
    <n v="16.350000000000001"/>
    <n v="218"/>
    <x v="2"/>
    <x v="3"/>
    <x v="1"/>
  </r>
  <r>
    <x v="1"/>
    <x v="6"/>
    <x v="3"/>
    <x v="12"/>
    <x v="36"/>
    <n v="257"/>
    <n v="167"/>
    <x v="490"/>
    <n v="48.26"/>
    <n v="26.01"/>
    <n v="12.66"/>
    <n v="120"/>
    <x v="0"/>
    <x v="1"/>
    <x v="2"/>
  </r>
  <r>
    <x v="0"/>
    <x v="2"/>
    <x v="3"/>
    <x v="9"/>
    <x v="26"/>
    <n v="358"/>
    <n v="166"/>
    <x v="491"/>
    <n v="48.97"/>
    <n v="56.64"/>
    <n v="-7.35"/>
    <n v="97"/>
    <x v="2"/>
    <x v="1"/>
    <x v="2"/>
  </r>
  <r>
    <x v="1"/>
    <x v="0"/>
    <x v="3"/>
    <x v="4"/>
    <x v="220"/>
    <n v="93"/>
    <n v="49"/>
    <x v="492"/>
    <n v="21.07"/>
    <n v="18.920000000000002"/>
    <n v="8.2799999999999994"/>
    <n v="291"/>
    <x v="1"/>
    <x v="0"/>
    <x v="2"/>
  </r>
  <r>
    <x v="2"/>
    <x v="4"/>
    <x v="0"/>
    <x v="0"/>
    <x v="37"/>
    <n v="163"/>
    <n v="130"/>
    <x v="337"/>
    <n v="32.76"/>
    <n v="8.32"/>
    <n v="-2.8"/>
    <n v="77"/>
    <x v="2"/>
    <x v="0"/>
    <x v="2"/>
  </r>
  <r>
    <x v="0"/>
    <x v="6"/>
    <x v="3"/>
    <x v="12"/>
    <x v="102"/>
    <n v="162"/>
    <n v="38"/>
    <x v="493"/>
    <n v="17.48"/>
    <n v="57.04"/>
    <n v="12.8"/>
    <n v="250"/>
    <x v="0"/>
    <x v="3"/>
    <x v="0"/>
  </r>
  <r>
    <x v="2"/>
    <x v="7"/>
    <x v="4"/>
    <x v="6"/>
    <x v="299"/>
    <n v="210"/>
    <n v="169"/>
    <x v="494"/>
    <n v="84.16"/>
    <n v="20.420000000000002"/>
    <n v="17.100000000000001"/>
    <n v="178"/>
    <x v="2"/>
    <x v="3"/>
    <x v="3"/>
  </r>
  <r>
    <x v="2"/>
    <x v="3"/>
    <x v="3"/>
    <x v="4"/>
    <x v="287"/>
    <n v="361"/>
    <n v="280"/>
    <x v="495"/>
    <n v="23.24"/>
    <n v="6.72"/>
    <n v="-5.68"/>
    <n v="48"/>
    <x v="1"/>
    <x v="2"/>
    <x v="0"/>
  </r>
  <r>
    <x v="1"/>
    <x v="5"/>
    <x v="4"/>
    <x v="6"/>
    <x v="295"/>
    <n v="164"/>
    <n v="57"/>
    <x v="496"/>
    <n v="26.45"/>
    <n v="49.65"/>
    <n v="11.61"/>
    <n v="137"/>
    <x v="0"/>
    <x v="2"/>
    <x v="3"/>
  </r>
  <r>
    <x v="1"/>
    <x v="10"/>
    <x v="2"/>
    <x v="2"/>
    <x v="137"/>
    <n v="167"/>
    <n v="93"/>
    <x v="497"/>
    <n v="15.72"/>
    <n v="12.51"/>
    <n v="9.41"/>
    <n v="111"/>
    <x v="1"/>
    <x v="2"/>
    <x v="0"/>
  </r>
  <r>
    <x v="0"/>
    <x v="1"/>
    <x v="0"/>
    <x v="0"/>
    <x v="12"/>
    <n v="108"/>
    <n v="66"/>
    <x v="498"/>
    <n v="7.66"/>
    <n v="4.87"/>
    <n v="-1.62"/>
    <n v="295"/>
    <x v="2"/>
    <x v="2"/>
    <x v="3"/>
  </r>
  <r>
    <x v="0"/>
    <x v="7"/>
    <x v="4"/>
    <x v="7"/>
    <x v="300"/>
    <n v="382"/>
    <n v="37"/>
    <x v="499"/>
    <n v="4"/>
    <n v="37.26"/>
    <n v="22.96"/>
    <n v="219"/>
    <x v="1"/>
    <x v="0"/>
    <x v="3"/>
  </r>
  <r>
    <x v="0"/>
    <x v="1"/>
    <x v="0"/>
    <x v="3"/>
    <x v="86"/>
    <n v="196"/>
    <n v="83"/>
    <x v="500"/>
    <n v="34.69"/>
    <n v="47.23"/>
    <n v="11.43"/>
    <n v="38"/>
    <x v="2"/>
    <x v="2"/>
    <x v="0"/>
  </r>
  <r>
    <x v="1"/>
    <x v="5"/>
    <x v="2"/>
    <x v="10"/>
    <x v="301"/>
    <n v="77"/>
    <n v="33"/>
    <x v="501"/>
    <n v="16.2"/>
    <n v="21.6"/>
    <n v="21.32"/>
    <n v="82"/>
    <x v="1"/>
    <x v="3"/>
    <x v="2"/>
  </r>
  <r>
    <x v="0"/>
    <x v="3"/>
    <x v="1"/>
    <x v="1"/>
    <x v="199"/>
    <n v="379"/>
    <n v="38"/>
    <x v="502"/>
    <n v="10.87"/>
    <n v="97.53"/>
    <n v="9.73"/>
    <n v="229"/>
    <x v="1"/>
    <x v="0"/>
    <x v="1"/>
  </r>
  <r>
    <x v="0"/>
    <x v="1"/>
    <x v="2"/>
    <x v="10"/>
    <x v="302"/>
    <n v="97"/>
    <n v="80"/>
    <x v="503"/>
    <n v="6.16"/>
    <n v="1.31"/>
    <n v="21.81"/>
    <n v="297"/>
    <x v="0"/>
    <x v="3"/>
    <x v="2"/>
  </r>
  <r>
    <x v="0"/>
    <x v="8"/>
    <x v="2"/>
    <x v="15"/>
    <x v="280"/>
    <n v="254"/>
    <n v="197"/>
    <x v="504"/>
    <n v="59.3"/>
    <n v="17.16"/>
    <n v="-3.52"/>
    <n v="295"/>
    <x v="1"/>
    <x v="1"/>
    <x v="2"/>
  </r>
  <r>
    <x v="0"/>
    <x v="3"/>
    <x v="2"/>
    <x v="2"/>
    <x v="303"/>
    <n v="186"/>
    <n v="114"/>
    <x v="505"/>
    <n v="39.79"/>
    <n v="25.13"/>
    <n v="-8.86"/>
    <n v="273"/>
    <x v="2"/>
    <x v="2"/>
    <x v="1"/>
  </r>
  <r>
    <x v="0"/>
    <x v="7"/>
    <x v="1"/>
    <x v="13"/>
    <x v="148"/>
    <n v="456"/>
    <n v="346"/>
    <x v="506"/>
    <n v="122.83"/>
    <n v="39.049999999999997"/>
    <n v="-3.86"/>
    <n v="80"/>
    <x v="1"/>
    <x v="1"/>
    <x v="2"/>
  </r>
  <r>
    <x v="2"/>
    <x v="11"/>
    <x v="3"/>
    <x v="12"/>
    <x v="85"/>
    <n v="384"/>
    <n v="126"/>
    <x v="507"/>
    <n v="21.8"/>
    <n v="44.63"/>
    <n v="15.29"/>
    <n v="45"/>
    <x v="0"/>
    <x v="0"/>
    <x v="1"/>
  </r>
  <r>
    <x v="1"/>
    <x v="9"/>
    <x v="4"/>
    <x v="7"/>
    <x v="171"/>
    <n v="293"/>
    <n v="210"/>
    <x v="508"/>
    <n v="33.6"/>
    <n v="13.28"/>
    <n v="18.86"/>
    <n v="58"/>
    <x v="1"/>
    <x v="3"/>
    <x v="0"/>
  </r>
  <r>
    <x v="2"/>
    <x v="4"/>
    <x v="2"/>
    <x v="10"/>
    <x v="77"/>
    <n v="391"/>
    <n v="57"/>
    <x v="509"/>
    <n v="5.19"/>
    <n v="30.39"/>
    <n v="2.88"/>
    <n v="298"/>
    <x v="1"/>
    <x v="1"/>
    <x v="0"/>
  </r>
  <r>
    <x v="1"/>
    <x v="1"/>
    <x v="0"/>
    <x v="14"/>
    <x v="62"/>
    <n v="231"/>
    <n v="181"/>
    <x v="510"/>
    <n v="65.7"/>
    <n v="18.149999999999999"/>
    <n v="0.23"/>
    <n v="190"/>
    <x v="2"/>
    <x v="2"/>
    <x v="3"/>
  </r>
  <r>
    <x v="2"/>
    <x v="6"/>
    <x v="0"/>
    <x v="3"/>
    <x v="182"/>
    <n v="220"/>
    <n v="114"/>
    <x v="511"/>
    <n v="41.72"/>
    <n v="38.799999999999997"/>
    <n v="7.29"/>
    <n v="284"/>
    <x v="0"/>
    <x v="0"/>
    <x v="2"/>
  </r>
  <r>
    <x v="0"/>
    <x v="2"/>
    <x v="4"/>
    <x v="6"/>
    <x v="12"/>
    <n v="272"/>
    <n v="138"/>
    <x v="512"/>
    <n v="16.010000000000002"/>
    <n v="15.54"/>
    <n v="21.52"/>
    <n v="266"/>
    <x v="1"/>
    <x v="1"/>
    <x v="1"/>
  </r>
  <r>
    <x v="1"/>
    <x v="11"/>
    <x v="2"/>
    <x v="2"/>
    <x v="90"/>
    <n v="463"/>
    <n v="134"/>
    <x v="513"/>
    <n v="46.23"/>
    <n v="113.51"/>
    <n v="2.35"/>
    <n v="66"/>
    <x v="2"/>
    <x v="1"/>
    <x v="1"/>
  </r>
  <r>
    <x v="1"/>
    <x v="0"/>
    <x v="3"/>
    <x v="9"/>
    <x v="20"/>
    <n v="428"/>
    <n v="245"/>
    <x v="514"/>
    <n v="47.77"/>
    <n v="35.68"/>
    <n v="20.81"/>
    <n v="204"/>
    <x v="0"/>
    <x v="2"/>
    <x v="3"/>
  </r>
  <r>
    <x v="0"/>
    <x v="4"/>
    <x v="2"/>
    <x v="2"/>
    <x v="304"/>
    <n v="410"/>
    <n v="263"/>
    <x v="515"/>
    <n v="59.44"/>
    <n v="33.22"/>
    <n v="3.1"/>
    <n v="120"/>
    <x v="1"/>
    <x v="2"/>
    <x v="3"/>
  </r>
  <r>
    <x v="2"/>
    <x v="8"/>
    <x v="1"/>
    <x v="16"/>
    <x v="35"/>
    <n v="179"/>
    <n v="73"/>
    <x v="516"/>
    <n v="19.71"/>
    <n v="28.62"/>
    <n v="3.11"/>
    <n v="259"/>
    <x v="0"/>
    <x v="2"/>
    <x v="2"/>
  </r>
  <r>
    <x v="0"/>
    <x v="11"/>
    <x v="2"/>
    <x v="15"/>
    <x v="117"/>
    <n v="377"/>
    <n v="304"/>
    <x v="517"/>
    <n v="146.22"/>
    <n v="35.11"/>
    <n v="-3.09"/>
    <n v="141"/>
    <x v="2"/>
    <x v="0"/>
    <x v="1"/>
  </r>
  <r>
    <x v="2"/>
    <x v="5"/>
    <x v="1"/>
    <x v="11"/>
    <x v="60"/>
    <n v="110"/>
    <n v="83"/>
    <x v="518"/>
    <n v="35.03"/>
    <n v="11.39"/>
    <n v="3.31"/>
    <n v="164"/>
    <x v="2"/>
    <x v="0"/>
    <x v="0"/>
  </r>
  <r>
    <x v="1"/>
    <x v="6"/>
    <x v="1"/>
    <x v="16"/>
    <x v="305"/>
    <n v="434"/>
    <n v="265"/>
    <x v="519"/>
    <n v="63.87"/>
    <n v="40.729999999999997"/>
    <n v="20.25"/>
    <n v="243"/>
    <x v="1"/>
    <x v="3"/>
    <x v="0"/>
  </r>
  <r>
    <x v="0"/>
    <x v="7"/>
    <x v="2"/>
    <x v="10"/>
    <x v="306"/>
    <n v="103"/>
    <n v="55"/>
    <x v="520"/>
    <n v="19.690000000000001"/>
    <n v="17.18"/>
    <n v="-6.14"/>
    <n v="174"/>
    <x v="0"/>
    <x v="3"/>
    <x v="1"/>
  </r>
  <r>
    <x v="0"/>
    <x v="9"/>
    <x v="0"/>
    <x v="14"/>
    <x v="307"/>
    <n v="103"/>
    <n v="65"/>
    <x v="521"/>
    <n v="7.47"/>
    <n v="4.37"/>
    <n v="7.48"/>
    <n v="255"/>
    <x v="1"/>
    <x v="0"/>
    <x v="3"/>
  </r>
  <r>
    <x v="1"/>
    <x v="2"/>
    <x v="2"/>
    <x v="2"/>
    <x v="169"/>
    <n v="195"/>
    <n v="129"/>
    <x v="522"/>
    <n v="29.67"/>
    <n v="15.18"/>
    <n v="0.1"/>
    <n v="149"/>
    <x v="1"/>
    <x v="0"/>
    <x v="1"/>
  </r>
  <r>
    <x v="1"/>
    <x v="6"/>
    <x v="2"/>
    <x v="2"/>
    <x v="308"/>
    <n v="74"/>
    <n v="43"/>
    <x v="523"/>
    <n v="19.52"/>
    <n v="14.07"/>
    <n v="12.27"/>
    <n v="195"/>
    <x v="0"/>
    <x v="3"/>
    <x v="1"/>
  </r>
  <r>
    <x v="2"/>
    <x v="4"/>
    <x v="0"/>
    <x v="3"/>
    <x v="16"/>
    <n v="353"/>
    <n v="312"/>
    <x v="524"/>
    <n v="31.2"/>
    <n v="4.0999999999999996"/>
    <n v="12.87"/>
    <n v="262"/>
    <x v="0"/>
    <x v="0"/>
    <x v="2"/>
  </r>
  <r>
    <x v="1"/>
    <x v="3"/>
    <x v="3"/>
    <x v="9"/>
    <x v="66"/>
    <n v="211"/>
    <n v="70"/>
    <x v="525"/>
    <n v="17.079999999999998"/>
    <n v="34.4"/>
    <n v="0"/>
    <n v="219"/>
    <x v="2"/>
    <x v="3"/>
    <x v="0"/>
  </r>
  <r>
    <x v="0"/>
    <x v="3"/>
    <x v="0"/>
    <x v="0"/>
    <x v="261"/>
    <n v="293"/>
    <n v="87"/>
    <x v="526"/>
    <n v="19.57"/>
    <n v="46.35"/>
    <n v="-5.0199999999999996"/>
    <n v="165"/>
    <x v="1"/>
    <x v="1"/>
    <x v="2"/>
  </r>
  <r>
    <x v="2"/>
    <x v="4"/>
    <x v="3"/>
    <x v="12"/>
    <x v="51"/>
    <n v="60"/>
    <n v="35"/>
    <x v="527"/>
    <n v="13.93"/>
    <n v="9.9499999999999993"/>
    <n v="-8.27"/>
    <n v="206"/>
    <x v="1"/>
    <x v="3"/>
    <x v="2"/>
  </r>
  <r>
    <x v="0"/>
    <x v="9"/>
    <x v="1"/>
    <x v="16"/>
    <x v="309"/>
    <n v="386"/>
    <n v="320"/>
    <x v="528"/>
    <n v="112.96"/>
    <n v="23.3"/>
    <n v="0.53"/>
    <n v="148"/>
    <x v="1"/>
    <x v="0"/>
    <x v="3"/>
  </r>
  <r>
    <x v="0"/>
    <x v="4"/>
    <x v="1"/>
    <x v="13"/>
    <x v="39"/>
    <n v="246"/>
    <n v="123"/>
    <x v="529"/>
    <n v="32.229999999999997"/>
    <n v="32.229999999999997"/>
    <n v="13.58"/>
    <n v="157"/>
    <x v="1"/>
    <x v="1"/>
    <x v="0"/>
  </r>
  <r>
    <x v="0"/>
    <x v="8"/>
    <x v="2"/>
    <x v="10"/>
    <x v="298"/>
    <n v="413"/>
    <n v="32"/>
    <x v="530"/>
    <n v="12.32"/>
    <n v="146.69"/>
    <n v="7.36"/>
    <n v="181"/>
    <x v="2"/>
    <x v="0"/>
    <x v="1"/>
  </r>
  <r>
    <x v="0"/>
    <x v="10"/>
    <x v="2"/>
    <x v="15"/>
    <x v="165"/>
    <n v="291"/>
    <n v="250"/>
    <x v="531"/>
    <n v="82.75"/>
    <n v="13.57"/>
    <n v="-0.45"/>
    <n v="251"/>
    <x v="1"/>
    <x v="0"/>
    <x v="2"/>
  </r>
  <r>
    <x v="0"/>
    <x v="3"/>
    <x v="4"/>
    <x v="7"/>
    <x v="249"/>
    <n v="296"/>
    <n v="281"/>
    <x v="532"/>
    <n v="112.12"/>
    <n v="5.98"/>
    <n v="1.81"/>
    <n v="238"/>
    <x v="2"/>
    <x v="2"/>
    <x v="0"/>
  </r>
  <r>
    <x v="0"/>
    <x v="2"/>
    <x v="0"/>
    <x v="0"/>
    <x v="54"/>
    <n v="272"/>
    <n v="248"/>
    <x v="533"/>
    <n v="89.03"/>
    <n v="8.6199999999999992"/>
    <n v="17.47"/>
    <n v="146"/>
    <x v="0"/>
    <x v="1"/>
    <x v="2"/>
  </r>
  <r>
    <x v="0"/>
    <x v="10"/>
    <x v="4"/>
    <x v="6"/>
    <x v="310"/>
    <n v="379"/>
    <n v="337"/>
    <x v="534"/>
    <n v="105.82"/>
    <n v="13.19"/>
    <n v="-8.18"/>
    <n v="253"/>
    <x v="1"/>
    <x v="2"/>
    <x v="2"/>
  </r>
  <r>
    <x v="2"/>
    <x v="10"/>
    <x v="0"/>
    <x v="3"/>
    <x v="249"/>
    <n v="82"/>
    <n v="70"/>
    <x v="535"/>
    <n v="27.93"/>
    <n v="4.79"/>
    <n v="-3.79"/>
    <n v="298"/>
    <x v="2"/>
    <x v="2"/>
    <x v="0"/>
  </r>
  <r>
    <x v="0"/>
    <x v="0"/>
    <x v="0"/>
    <x v="3"/>
    <x v="311"/>
    <n v="65"/>
    <n v="34"/>
    <x v="536"/>
    <n v="5.0999999999999996"/>
    <n v="4.6500000000000004"/>
    <n v="6.58"/>
    <n v="113"/>
    <x v="2"/>
    <x v="3"/>
    <x v="0"/>
  </r>
  <r>
    <x v="1"/>
    <x v="4"/>
    <x v="4"/>
    <x v="5"/>
    <x v="52"/>
    <n v="218"/>
    <n v="89"/>
    <x v="537"/>
    <n v="16.02"/>
    <n v="23.22"/>
    <n v="-0.61"/>
    <n v="44"/>
    <x v="1"/>
    <x v="0"/>
    <x v="2"/>
  </r>
  <r>
    <x v="2"/>
    <x v="1"/>
    <x v="2"/>
    <x v="2"/>
    <x v="102"/>
    <n v="63"/>
    <n v="30"/>
    <x v="538"/>
    <n v="13.8"/>
    <n v="15.18"/>
    <n v="8.83"/>
    <n v="123"/>
    <x v="2"/>
    <x v="3"/>
    <x v="2"/>
  </r>
  <r>
    <x v="0"/>
    <x v="0"/>
    <x v="1"/>
    <x v="16"/>
    <x v="312"/>
    <n v="309"/>
    <n v="188"/>
    <x v="539"/>
    <n v="93.06"/>
    <n v="59.9"/>
    <n v="-7.31"/>
    <n v="296"/>
    <x v="0"/>
    <x v="2"/>
    <x v="3"/>
  </r>
  <r>
    <x v="1"/>
    <x v="6"/>
    <x v="0"/>
    <x v="0"/>
    <x v="68"/>
    <n v="412"/>
    <n v="317"/>
    <x v="540"/>
    <n v="59.91"/>
    <n v="17.95"/>
    <n v="15.78"/>
    <n v="52"/>
    <x v="2"/>
    <x v="2"/>
    <x v="2"/>
  </r>
  <r>
    <x v="2"/>
    <x v="3"/>
    <x v="4"/>
    <x v="5"/>
    <x v="313"/>
    <n v="496"/>
    <n v="39"/>
    <x v="541"/>
    <n v="10.41"/>
    <n v="122.02"/>
    <n v="6.52"/>
    <n v="32"/>
    <x v="2"/>
    <x v="1"/>
    <x v="3"/>
  </r>
  <r>
    <x v="2"/>
    <x v="9"/>
    <x v="1"/>
    <x v="11"/>
    <x v="314"/>
    <n v="471"/>
    <n v="203"/>
    <x v="542"/>
    <n v="66.790000000000006"/>
    <n v="88.17"/>
    <n v="2.34"/>
    <n v="212"/>
    <x v="0"/>
    <x v="0"/>
    <x v="1"/>
  </r>
  <r>
    <x v="2"/>
    <x v="7"/>
    <x v="1"/>
    <x v="11"/>
    <x v="285"/>
    <n v="271"/>
    <n v="209"/>
    <x v="543"/>
    <n v="98.65"/>
    <n v="29.26"/>
    <n v="12.77"/>
    <n v="241"/>
    <x v="2"/>
    <x v="1"/>
    <x v="0"/>
  </r>
  <r>
    <x v="0"/>
    <x v="3"/>
    <x v="0"/>
    <x v="0"/>
    <x v="315"/>
    <n v="251"/>
    <n v="31"/>
    <x v="544"/>
    <n v="3.84"/>
    <n v="27.28"/>
    <n v="-0.82"/>
    <n v="195"/>
    <x v="2"/>
    <x v="2"/>
    <x v="2"/>
  </r>
  <r>
    <x v="2"/>
    <x v="8"/>
    <x v="1"/>
    <x v="13"/>
    <x v="139"/>
    <n v="498"/>
    <n v="399"/>
    <x v="545"/>
    <n v="140.44999999999999"/>
    <n v="34.85"/>
    <n v="-3.4"/>
    <n v="112"/>
    <x v="0"/>
    <x v="0"/>
    <x v="3"/>
  </r>
  <r>
    <x v="0"/>
    <x v="2"/>
    <x v="0"/>
    <x v="3"/>
    <x v="316"/>
    <n v="325"/>
    <n v="126"/>
    <x v="546"/>
    <n v="56.57"/>
    <n v="89.35"/>
    <n v="-8"/>
    <n v="257"/>
    <x v="1"/>
    <x v="1"/>
    <x v="3"/>
  </r>
  <r>
    <x v="2"/>
    <x v="2"/>
    <x v="3"/>
    <x v="12"/>
    <x v="317"/>
    <n v="467"/>
    <n v="370"/>
    <x v="547"/>
    <n v="29.6"/>
    <n v="7.76"/>
    <n v="6.95"/>
    <n v="67"/>
    <x v="0"/>
    <x v="0"/>
    <x v="2"/>
  </r>
  <r>
    <x v="1"/>
    <x v="11"/>
    <x v="2"/>
    <x v="15"/>
    <x v="61"/>
    <n v="413"/>
    <n v="62"/>
    <x v="548"/>
    <n v="30.26"/>
    <n v="171.29"/>
    <n v="-9.2799999999999994"/>
    <n v="77"/>
    <x v="2"/>
    <x v="2"/>
    <x v="2"/>
  </r>
  <r>
    <x v="1"/>
    <x v="10"/>
    <x v="2"/>
    <x v="10"/>
    <x v="146"/>
    <n v="371"/>
    <n v="331"/>
    <x v="549"/>
    <n v="143.99"/>
    <n v="17.399999999999999"/>
    <n v="10.71"/>
    <n v="25"/>
    <x v="1"/>
    <x v="3"/>
    <x v="2"/>
  </r>
  <r>
    <x v="0"/>
    <x v="4"/>
    <x v="2"/>
    <x v="15"/>
    <x v="182"/>
    <n v="86"/>
    <n v="67"/>
    <x v="550"/>
    <n v="24.52"/>
    <n v="6.95"/>
    <n v="24.71"/>
    <n v="28"/>
    <x v="2"/>
    <x v="2"/>
    <x v="3"/>
  </r>
  <r>
    <x v="0"/>
    <x v="11"/>
    <x v="4"/>
    <x v="7"/>
    <x v="123"/>
    <n v="106"/>
    <n v="76"/>
    <x v="551"/>
    <n v="24.4"/>
    <n v="9.6300000000000008"/>
    <n v="14.19"/>
    <n v="98"/>
    <x v="1"/>
    <x v="3"/>
    <x v="2"/>
  </r>
  <r>
    <x v="1"/>
    <x v="3"/>
    <x v="3"/>
    <x v="9"/>
    <x v="242"/>
    <n v="469"/>
    <n v="43"/>
    <x v="552"/>
    <n v="15.95"/>
    <n v="158.05000000000001"/>
    <n v="6.08"/>
    <n v="183"/>
    <x v="2"/>
    <x v="3"/>
    <x v="1"/>
  </r>
  <r>
    <x v="0"/>
    <x v="6"/>
    <x v="0"/>
    <x v="0"/>
    <x v="191"/>
    <n v="209"/>
    <n v="115"/>
    <x v="553"/>
    <n v="10.01"/>
    <n v="8.18"/>
    <n v="-6.33"/>
    <n v="197"/>
    <x v="1"/>
    <x v="0"/>
    <x v="1"/>
  </r>
  <r>
    <x v="2"/>
    <x v="2"/>
    <x v="3"/>
    <x v="8"/>
    <x v="311"/>
    <n v="375"/>
    <n v="83"/>
    <x v="554"/>
    <n v="12.45"/>
    <n v="43.8"/>
    <n v="1.1599999999999999"/>
    <n v="32"/>
    <x v="2"/>
    <x v="0"/>
    <x v="3"/>
  </r>
  <r>
    <x v="0"/>
    <x v="8"/>
    <x v="1"/>
    <x v="1"/>
    <x v="122"/>
    <n v="289"/>
    <n v="181"/>
    <x v="555"/>
    <n v="86.7"/>
    <n v="51.73"/>
    <n v="1.06"/>
    <n v="73"/>
    <x v="2"/>
    <x v="2"/>
    <x v="2"/>
  </r>
  <r>
    <x v="1"/>
    <x v="4"/>
    <x v="2"/>
    <x v="10"/>
    <x v="315"/>
    <n v="88"/>
    <n v="73"/>
    <x v="556"/>
    <n v="9.0500000000000007"/>
    <n v="1.86"/>
    <n v="-0.9"/>
    <n v="84"/>
    <x v="0"/>
    <x v="1"/>
    <x v="2"/>
  </r>
  <r>
    <x v="1"/>
    <x v="9"/>
    <x v="3"/>
    <x v="12"/>
    <x v="34"/>
    <n v="150"/>
    <n v="62"/>
    <x v="157"/>
    <n v="12.65"/>
    <n v="17.95"/>
    <n v="6.52"/>
    <n v="129"/>
    <x v="1"/>
    <x v="2"/>
    <x v="0"/>
  </r>
  <r>
    <x v="2"/>
    <x v="0"/>
    <x v="1"/>
    <x v="1"/>
    <x v="107"/>
    <n v="420"/>
    <n v="86"/>
    <x v="557"/>
    <n v="22.19"/>
    <n v="86.17"/>
    <n v="-9.4600000000000009"/>
    <n v="89"/>
    <x v="0"/>
    <x v="3"/>
    <x v="0"/>
  </r>
  <r>
    <x v="0"/>
    <x v="9"/>
    <x v="2"/>
    <x v="10"/>
    <x v="318"/>
    <n v="253"/>
    <n v="93"/>
    <x v="558"/>
    <n v="38.409999999999997"/>
    <n v="66.08"/>
    <n v="24.85"/>
    <n v="161"/>
    <x v="1"/>
    <x v="3"/>
    <x v="2"/>
  </r>
  <r>
    <x v="0"/>
    <x v="10"/>
    <x v="2"/>
    <x v="2"/>
    <x v="319"/>
    <n v="359"/>
    <n v="34"/>
    <x v="559"/>
    <n v="15.1"/>
    <n v="144.30000000000001"/>
    <n v="23.26"/>
    <n v="48"/>
    <x v="1"/>
    <x v="0"/>
    <x v="2"/>
  </r>
  <r>
    <x v="2"/>
    <x v="6"/>
    <x v="2"/>
    <x v="10"/>
    <x v="320"/>
    <n v="398"/>
    <n v="205"/>
    <x v="560"/>
    <n v="88.77"/>
    <n v="83.57"/>
    <n v="17.260000000000002"/>
    <n v="157"/>
    <x v="2"/>
    <x v="0"/>
    <x v="0"/>
  </r>
  <r>
    <x v="0"/>
    <x v="4"/>
    <x v="2"/>
    <x v="2"/>
    <x v="44"/>
    <n v="58"/>
    <n v="43"/>
    <x v="498"/>
    <n v="9.2899999999999991"/>
    <n v="3.24"/>
    <n v="7.29"/>
    <n v="202"/>
    <x v="2"/>
    <x v="3"/>
    <x v="0"/>
  </r>
  <r>
    <x v="2"/>
    <x v="9"/>
    <x v="4"/>
    <x v="6"/>
    <x v="37"/>
    <n v="172"/>
    <n v="49"/>
    <x v="561"/>
    <n v="12.35"/>
    <n v="31"/>
    <n v="-6.29"/>
    <n v="45"/>
    <x v="2"/>
    <x v="3"/>
    <x v="3"/>
  </r>
  <r>
    <x v="1"/>
    <x v="0"/>
    <x v="3"/>
    <x v="12"/>
    <x v="283"/>
    <n v="51"/>
    <n v="40"/>
    <x v="441"/>
    <n v="12.68"/>
    <n v="3.49"/>
    <n v="-9.7100000000000009"/>
    <n v="78"/>
    <x v="0"/>
    <x v="3"/>
    <x v="2"/>
  </r>
  <r>
    <x v="1"/>
    <x v="6"/>
    <x v="3"/>
    <x v="9"/>
    <x v="321"/>
    <n v="91"/>
    <n v="43"/>
    <x v="562"/>
    <n v="10.96"/>
    <n v="12.24"/>
    <n v="22.67"/>
    <n v="283"/>
    <x v="1"/>
    <x v="3"/>
    <x v="3"/>
  </r>
  <r>
    <x v="2"/>
    <x v="4"/>
    <x v="1"/>
    <x v="1"/>
    <x v="144"/>
    <n v="373"/>
    <n v="65"/>
    <x v="563"/>
    <n v="26.07"/>
    <n v="123.51"/>
    <n v="4.7"/>
    <n v="191"/>
    <x v="0"/>
    <x v="1"/>
    <x v="3"/>
  </r>
  <r>
    <x v="2"/>
    <x v="7"/>
    <x v="1"/>
    <x v="11"/>
    <x v="322"/>
    <n v="108"/>
    <n v="34"/>
    <x v="564"/>
    <n v="2.38"/>
    <n v="5.18"/>
    <n v="15.31"/>
    <n v="59"/>
    <x v="2"/>
    <x v="3"/>
    <x v="0"/>
  </r>
  <r>
    <x v="0"/>
    <x v="10"/>
    <x v="2"/>
    <x v="10"/>
    <x v="323"/>
    <n v="491"/>
    <n v="58"/>
    <x v="565"/>
    <n v="28.83"/>
    <n v="215.2"/>
    <n v="6.17"/>
    <n v="265"/>
    <x v="2"/>
    <x v="3"/>
    <x v="0"/>
  </r>
  <r>
    <x v="2"/>
    <x v="11"/>
    <x v="3"/>
    <x v="9"/>
    <x v="121"/>
    <n v="298"/>
    <n v="95"/>
    <x v="566"/>
    <n v="38.76"/>
    <n v="82.82"/>
    <n v="-4.72"/>
    <n v="214"/>
    <x v="1"/>
    <x v="0"/>
    <x v="1"/>
  </r>
  <r>
    <x v="1"/>
    <x v="3"/>
    <x v="0"/>
    <x v="3"/>
    <x v="324"/>
    <n v="92"/>
    <n v="59"/>
    <x v="567"/>
    <n v="24.78"/>
    <n v="13.86"/>
    <n v="5.72"/>
    <n v="41"/>
    <x v="2"/>
    <x v="3"/>
    <x v="0"/>
  </r>
  <r>
    <x v="2"/>
    <x v="9"/>
    <x v="3"/>
    <x v="9"/>
    <x v="80"/>
    <n v="134"/>
    <n v="87"/>
    <x v="568"/>
    <n v="29.67"/>
    <n v="16.03"/>
    <n v="2.2999999999999998"/>
    <n v="67"/>
    <x v="1"/>
    <x v="0"/>
    <x v="3"/>
  </r>
  <r>
    <x v="0"/>
    <x v="1"/>
    <x v="1"/>
    <x v="13"/>
    <x v="325"/>
    <n v="57"/>
    <n v="36"/>
    <x v="569"/>
    <n v="17.78"/>
    <n v="10.37"/>
    <n v="-7.75"/>
    <n v="214"/>
    <x v="2"/>
    <x v="0"/>
    <x v="2"/>
  </r>
  <r>
    <x v="2"/>
    <x v="11"/>
    <x v="1"/>
    <x v="1"/>
    <x v="192"/>
    <n v="145"/>
    <n v="110"/>
    <x v="570"/>
    <n v="21.12"/>
    <n v="6.72"/>
    <n v="21.9"/>
    <n v="129"/>
    <x v="0"/>
    <x v="2"/>
    <x v="3"/>
  </r>
  <r>
    <x v="0"/>
    <x v="4"/>
    <x v="1"/>
    <x v="11"/>
    <x v="70"/>
    <n v="187"/>
    <n v="99"/>
    <x v="571"/>
    <n v="37.619999999999997"/>
    <n v="33.44"/>
    <n v="4.3499999999999996"/>
    <n v="271"/>
    <x v="0"/>
    <x v="1"/>
    <x v="1"/>
  </r>
  <r>
    <x v="0"/>
    <x v="9"/>
    <x v="4"/>
    <x v="5"/>
    <x v="18"/>
    <n v="343"/>
    <n v="222"/>
    <x v="572"/>
    <n v="82.81"/>
    <n v="45.13"/>
    <n v="16.239999999999998"/>
    <n v="294"/>
    <x v="1"/>
    <x v="0"/>
    <x v="2"/>
  </r>
  <r>
    <x v="0"/>
    <x v="5"/>
    <x v="4"/>
    <x v="6"/>
    <x v="326"/>
    <n v="286"/>
    <n v="207"/>
    <x v="573"/>
    <n v="45.75"/>
    <n v="17.46"/>
    <n v="7.46"/>
    <n v="207"/>
    <x v="0"/>
    <x v="2"/>
    <x v="1"/>
  </r>
  <r>
    <x v="2"/>
    <x v="6"/>
    <x v="1"/>
    <x v="16"/>
    <x v="304"/>
    <n v="68"/>
    <n v="56"/>
    <x v="574"/>
    <n v="12.66"/>
    <n v="2.71"/>
    <n v="24.93"/>
    <n v="190"/>
    <x v="2"/>
    <x v="3"/>
    <x v="1"/>
  </r>
  <r>
    <x v="2"/>
    <x v="4"/>
    <x v="3"/>
    <x v="12"/>
    <x v="60"/>
    <n v="457"/>
    <n v="266"/>
    <x v="575"/>
    <n v="112.25"/>
    <n v="80.599999999999994"/>
    <n v="5.73"/>
    <n v="26"/>
    <x v="2"/>
    <x v="2"/>
    <x v="0"/>
  </r>
  <r>
    <x v="1"/>
    <x v="4"/>
    <x v="0"/>
    <x v="3"/>
    <x v="129"/>
    <n v="367"/>
    <n v="354"/>
    <x v="576"/>
    <n v="62.66"/>
    <n v="2.2999999999999998"/>
    <n v="3.46"/>
    <n v="125"/>
    <x v="1"/>
    <x v="2"/>
    <x v="2"/>
  </r>
  <r>
    <x v="1"/>
    <x v="8"/>
    <x v="2"/>
    <x v="10"/>
    <x v="235"/>
    <n v="393"/>
    <n v="68"/>
    <x v="577"/>
    <n v="9.7899999999999991"/>
    <n v="46.8"/>
    <n v="14.15"/>
    <n v="206"/>
    <x v="2"/>
    <x v="0"/>
    <x v="2"/>
  </r>
  <r>
    <x v="2"/>
    <x v="1"/>
    <x v="4"/>
    <x v="6"/>
    <x v="315"/>
    <n v="185"/>
    <n v="115"/>
    <x v="578"/>
    <n v="14.26"/>
    <n v="8.68"/>
    <n v="20.82"/>
    <n v="260"/>
    <x v="2"/>
    <x v="1"/>
    <x v="3"/>
  </r>
  <r>
    <x v="2"/>
    <x v="1"/>
    <x v="1"/>
    <x v="13"/>
    <x v="0"/>
    <n v="102"/>
    <n v="71"/>
    <x v="579"/>
    <n v="3.62"/>
    <n v="1.58"/>
    <n v="4.1900000000000004"/>
    <n v="175"/>
    <x v="1"/>
    <x v="3"/>
    <x v="3"/>
  </r>
  <r>
    <x v="1"/>
    <x v="1"/>
    <x v="4"/>
    <x v="6"/>
    <x v="84"/>
    <n v="239"/>
    <n v="202"/>
    <x v="580"/>
    <n v="37.17"/>
    <n v="6.81"/>
    <n v="24.6"/>
    <n v="143"/>
    <x v="1"/>
    <x v="1"/>
    <x v="3"/>
  </r>
  <r>
    <x v="1"/>
    <x v="8"/>
    <x v="1"/>
    <x v="13"/>
    <x v="15"/>
    <n v="289"/>
    <n v="151"/>
    <x v="581"/>
    <n v="50.43"/>
    <n v="46.09"/>
    <n v="21.8"/>
    <n v="37"/>
    <x v="0"/>
    <x v="2"/>
    <x v="2"/>
  </r>
  <r>
    <x v="1"/>
    <x v="10"/>
    <x v="0"/>
    <x v="3"/>
    <x v="45"/>
    <n v="349"/>
    <n v="319"/>
    <x v="101"/>
    <n v="96.66"/>
    <n v="9.09"/>
    <n v="10.84"/>
    <n v="237"/>
    <x v="2"/>
    <x v="3"/>
    <x v="3"/>
  </r>
  <r>
    <x v="0"/>
    <x v="9"/>
    <x v="3"/>
    <x v="9"/>
    <x v="113"/>
    <n v="181"/>
    <n v="165"/>
    <x v="582"/>
    <n v="43.06"/>
    <n v="4.18"/>
    <n v="0.46"/>
    <n v="172"/>
    <x v="0"/>
    <x v="0"/>
    <x v="1"/>
  </r>
  <r>
    <x v="1"/>
    <x v="4"/>
    <x v="3"/>
    <x v="9"/>
    <x v="296"/>
    <n v="85"/>
    <n v="51"/>
    <x v="583"/>
    <n v="22.8"/>
    <n v="15.2"/>
    <n v="13.71"/>
    <n v="246"/>
    <x v="0"/>
    <x v="1"/>
    <x v="0"/>
  </r>
  <r>
    <x v="0"/>
    <x v="11"/>
    <x v="4"/>
    <x v="6"/>
    <x v="264"/>
    <n v="389"/>
    <n v="166"/>
    <x v="584"/>
    <n v="27.06"/>
    <n v="36.35"/>
    <n v="18.37"/>
    <n v="229"/>
    <x v="0"/>
    <x v="0"/>
    <x v="1"/>
  </r>
  <r>
    <x v="1"/>
    <x v="1"/>
    <x v="1"/>
    <x v="13"/>
    <x v="327"/>
    <n v="405"/>
    <n v="382"/>
    <x v="585"/>
    <n v="97.03"/>
    <n v="5.84"/>
    <n v="7.79"/>
    <n v="274"/>
    <x v="1"/>
    <x v="3"/>
    <x v="3"/>
  </r>
  <r>
    <x v="2"/>
    <x v="8"/>
    <x v="4"/>
    <x v="5"/>
    <x v="244"/>
    <n v="319"/>
    <n v="229"/>
    <x v="586"/>
    <n v="75.569999999999993"/>
    <n v="29.7"/>
    <n v="-9.8000000000000007"/>
    <n v="241"/>
    <x v="2"/>
    <x v="2"/>
    <x v="2"/>
  </r>
  <r>
    <x v="2"/>
    <x v="3"/>
    <x v="1"/>
    <x v="16"/>
    <x v="204"/>
    <n v="263"/>
    <n v="90"/>
    <x v="587"/>
    <n v="15.03"/>
    <n v="28.89"/>
    <n v="21.52"/>
    <n v="113"/>
    <x v="0"/>
    <x v="1"/>
    <x v="0"/>
  </r>
  <r>
    <x v="1"/>
    <x v="2"/>
    <x v="3"/>
    <x v="9"/>
    <x v="328"/>
    <n v="318"/>
    <n v="93"/>
    <x v="588"/>
    <n v="24.09"/>
    <n v="58.27"/>
    <n v="5.48"/>
    <n v="234"/>
    <x v="1"/>
    <x v="1"/>
    <x v="0"/>
  </r>
  <r>
    <x v="2"/>
    <x v="6"/>
    <x v="0"/>
    <x v="14"/>
    <x v="164"/>
    <n v="61"/>
    <n v="49"/>
    <x v="589"/>
    <n v="23.32"/>
    <n v="5.71"/>
    <n v="-2.57"/>
    <n v="37"/>
    <x v="1"/>
    <x v="0"/>
    <x v="3"/>
  </r>
  <r>
    <x v="0"/>
    <x v="0"/>
    <x v="3"/>
    <x v="9"/>
    <x v="43"/>
    <n v="197"/>
    <n v="34"/>
    <x v="590"/>
    <n v="14.82"/>
    <n v="71.069999999999993"/>
    <n v="1.99"/>
    <n v="242"/>
    <x v="0"/>
    <x v="0"/>
    <x v="0"/>
  </r>
  <r>
    <x v="2"/>
    <x v="2"/>
    <x v="0"/>
    <x v="14"/>
    <x v="99"/>
    <n v="135"/>
    <n v="86"/>
    <x v="591"/>
    <n v="9.3699999999999992"/>
    <n v="5.34"/>
    <n v="-3.81"/>
    <n v="117"/>
    <x v="2"/>
    <x v="2"/>
    <x v="0"/>
  </r>
  <r>
    <x v="1"/>
    <x v="10"/>
    <x v="4"/>
    <x v="7"/>
    <x v="194"/>
    <n v="229"/>
    <n v="203"/>
    <x v="592"/>
    <n v="13.6"/>
    <n v="1.74"/>
    <n v="24.72"/>
    <n v="238"/>
    <x v="2"/>
    <x v="3"/>
    <x v="0"/>
  </r>
  <r>
    <x v="0"/>
    <x v="3"/>
    <x v="3"/>
    <x v="9"/>
    <x v="329"/>
    <n v="240"/>
    <n v="103"/>
    <x v="593"/>
    <n v="19.36"/>
    <n v="25.76"/>
    <n v="18.98"/>
    <n v="259"/>
    <x v="0"/>
    <x v="3"/>
    <x v="1"/>
  </r>
  <r>
    <x v="0"/>
    <x v="1"/>
    <x v="0"/>
    <x v="0"/>
    <x v="226"/>
    <n v="169"/>
    <n v="56"/>
    <x v="594"/>
    <n v="8.23"/>
    <n v="16.61"/>
    <n v="6.58"/>
    <n v="132"/>
    <x v="0"/>
    <x v="2"/>
    <x v="0"/>
  </r>
  <r>
    <x v="0"/>
    <x v="3"/>
    <x v="1"/>
    <x v="1"/>
    <x v="59"/>
    <n v="417"/>
    <n v="78"/>
    <x v="595"/>
    <n v="4.0599999999999996"/>
    <n v="17.63"/>
    <n v="13.44"/>
    <n v="98"/>
    <x v="2"/>
    <x v="3"/>
    <x v="3"/>
  </r>
  <r>
    <x v="2"/>
    <x v="6"/>
    <x v="0"/>
    <x v="14"/>
    <x v="145"/>
    <n v="387"/>
    <n v="329"/>
    <x v="596"/>
    <n v="162.19999999999999"/>
    <n v="28.59"/>
    <n v="10.8"/>
    <n v="43"/>
    <x v="2"/>
    <x v="0"/>
    <x v="3"/>
  </r>
  <r>
    <x v="1"/>
    <x v="4"/>
    <x v="1"/>
    <x v="13"/>
    <x v="330"/>
    <n v="261"/>
    <n v="70"/>
    <x v="597"/>
    <n v="4.0599999999999996"/>
    <n v="11.08"/>
    <n v="16.7"/>
    <n v="91"/>
    <x v="0"/>
    <x v="2"/>
    <x v="2"/>
  </r>
  <r>
    <x v="0"/>
    <x v="4"/>
    <x v="2"/>
    <x v="10"/>
    <x v="331"/>
    <n v="53"/>
    <n v="31"/>
    <x v="598"/>
    <n v="14.51"/>
    <n v="10.3"/>
    <n v="11.4"/>
    <n v="168"/>
    <x v="2"/>
    <x v="0"/>
    <x v="2"/>
  </r>
  <r>
    <x v="0"/>
    <x v="10"/>
    <x v="4"/>
    <x v="5"/>
    <x v="230"/>
    <n v="153"/>
    <n v="62"/>
    <x v="599"/>
    <n v="20.149999999999999"/>
    <n v="29.58"/>
    <n v="13.37"/>
    <n v="282"/>
    <x v="2"/>
    <x v="3"/>
    <x v="3"/>
  </r>
  <r>
    <x v="2"/>
    <x v="11"/>
    <x v="0"/>
    <x v="0"/>
    <x v="255"/>
    <n v="439"/>
    <n v="246"/>
    <x v="600"/>
    <n v="96.92"/>
    <n v="76.040000000000006"/>
    <n v="21.52"/>
    <n v="31"/>
    <x v="1"/>
    <x v="2"/>
    <x v="1"/>
  </r>
  <r>
    <x v="2"/>
    <x v="3"/>
    <x v="4"/>
    <x v="6"/>
    <x v="332"/>
    <n v="121"/>
    <n v="59"/>
    <x v="601"/>
    <n v="14.34"/>
    <n v="15.07"/>
    <n v="23.43"/>
    <n v="184"/>
    <x v="0"/>
    <x v="0"/>
    <x v="2"/>
  </r>
  <r>
    <x v="2"/>
    <x v="2"/>
    <x v="0"/>
    <x v="3"/>
    <x v="333"/>
    <n v="143"/>
    <n v="96"/>
    <x v="602"/>
    <n v="22.18"/>
    <n v="10.86"/>
    <n v="10.58"/>
    <n v="233"/>
    <x v="1"/>
    <x v="1"/>
    <x v="2"/>
  </r>
  <r>
    <x v="2"/>
    <x v="8"/>
    <x v="3"/>
    <x v="4"/>
    <x v="334"/>
    <n v="58"/>
    <n v="45"/>
    <x v="603"/>
    <n v="7.65"/>
    <n v="2.21"/>
    <n v="-0.6"/>
    <n v="254"/>
    <x v="2"/>
    <x v="3"/>
    <x v="1"/>
  </r>
  <r>
    <x v="1"/>
    <x v="7"/>
    <x v="0"/>
    <x v="3"/>
    <x v="335"/>
    <n v="108"/>
    <n v="85"/>
    <x v="299"/>
    <n v="22.1"/>
    <n v="5.98"/>
    <n v="19.63"/>
    <n v="266"/>
    <x v="0"/>
    <x v="2"/>
    <x v="0"/>
  </r>
  <r>
    <x v="2"/>
    <x v="8"/>
    <x v="0"/>
    <x v="3"/>
    <x v="110"/>
    <n v="473"/>
    <n v="338"/>
    <x v="559"/>
    <n v="113.91"/>
    <n v="45.5"/>
    <n v="8.43"/>
    <n v="141"/>
    <x v="2"/>
    <x v="0"/>
    <x v="1"/>
  </r>
  <r>
    <x v="1"/>
    <x v="2"/>
    <x v="0"/>
    <x v="0"/>
    <x v="216"/>
    <n v="263"/>
    <n v="47"/>
    <x v="604"/>
    <n v="23.45"/>
    <n v="107.78"/>
    <n v="11.43"/>
    <n v="226"/>
    <x v="0"/>
    <x v="0"/>
    <x v="2"/>
  </r>
  <r>
    <x v="0"/>
    <x v="2"/>
    <x v="4"/>
    <x v="6"/>
    <x v="193"/>
    <n v="313"/>
    <n v="173"/>
    <x v="605"/>
    <n v="36.85"/>
    <n v="29.82"/>
    <n v="16.350000000000001"/>
    <n v="245"/>
    <x v="1"/>
    <x v="2"/>
    <x v="1"/>
  </r>
  <r>
    <x v="2"/>
    <x v="5"/>
    <x v="4"/>
    <x v="5"/>
    <x v="313"/>
    <n v="182"/>
    <n v="112"/>
    <x v="606"/>
    <n v="29.9"/>
    <n v="18.690000000000001"/>
    <n v="20.45"/>
    <n v="300"/>
    <x v="1"/>
    <x v="2"/>
    <x v="1"/>
  </r>
  <r>
    <x v="1"/>
    <x v="9"/>
    <x v="4"/>
    <x v="6"/>
    <x v="336"/>
    <n v="367"/>
    <n v="302"/>
    <x v="607"/>
    <n v="83.35"/>
    <n v="17.940000000000001"/>
    <n v="7.56"/>
    <n v="223"/>
    <x v="2"/>
    <x v="3"/>
    <x v="1"/>
  </r>
  <r>
    <x v="1"/>
    <x v="8"/>
    <x v="4"/>
    <x v="5"/>
    <x v="28"/>
    <n v="388"/>
    <n v="132"/>
    <x v="608"/>
    <n v="53.72"/>
    <n v="104.19"/>
    <n v="-9.1"/>
    <n v="184"/>
    <x v="0"/>
    <x v="3"/>
    <x v="3"/>
  </r>
  <r>
    <x v="1"/>
    <x v="1"/>
    <x v="3"/>
    <x v="12"/>
    <x v="187"/>
    <n v="92"/>
    <n v="67"/>
    <x v="609"/>
    <n v="18.63"/>
    <n v="6.95"/>
    <n v="14.37"/>
    <n v="263"/>
    <x v="1"/>
    <x v="2"/>
    <x v="0"/>
  </r>
  <r>
    <x v="2"/>
    <x v="1"/>
    <x v="3"/>
    <x v="12"/>
    <x v="284"/>
    <n v="265"/>
    <n v="215"/>
    <x v="610"/>
    <n v="18.059999999999999"/>
    <n v="4.2"/>
    <n v="-4.09"/>
    <n v="299"/>
    <x v="0"/>
    <x v="0"/>
    <x v="1"/>
  </r>
  <r>
    <x v="1"/>
    <x v="8"/>
    <x v="0"/>
    <x v="3"/>
    <x v="158"/>
    <n v="240"/>
    <n v="93"/>
    <x v="611"/>
    <n v="15.25"/>
    <n v="24.11"/>
    <n v="9.49"/>
    <n v="273"/>
    <x v="1"/>
    <x v="1"/>
    <x v="2"/>
  </r>
  <r>
    <x v="0"/>
    <x v="1"/>
    <x v="3"/>
    <x v="8"/>
    <x v="267"/>
    <n v="232"/>
    <n v="91"/>
    <x v="612"/>
    <n v="11.01"/>
    <n v="17.059999999999999"/>
    <n v="11.15"/>
    <n v="164"/>
    <x v="2"/>
    <x v="2"/>
    <x v="3"/>
  </r>
  <r>
    <x v="0"/>
    <x v="5"/>
    <x v="3"/>
    <x v="8"/>
    <x v="331"/>
    <n v="226"/>
    <n v="104"/>
    <x v="613"/>
    <n v="48.67"/>
    <n v="57.1"/>
    <n v="13.42"/>
    <n v="193"/>
    <x v="2"/>
    <x v="1"/>
    <x v="2"/>
  </r>
  <r>
    <x v="1"/>
    <x v="10"/>
    <x v="0"/>
    <x v="0"/>
    <x v="197"/>
    <n v="150"/>
    <n v="103"/>
    <x v="284"/>
    <n v="40.380000000000003"/>
    <n v="18.420000000000002"/>
    <n v="18.88"/>
    <n v="217"/>
    <x v="1"/>
    <x v="1"/>
    <x v="3"/>
  </r>
  <r>
    <x v="0"/>
    <x v="6"/>
    <x v="2"/>
    <x v="2"/>
    <x v="40"/>
    <n v="217"/>
    <n v="185"/>
    <x v="614"/>
    <n v="70.48"/>
    <n v="12.19"/>
    <n v="-4.5199999999999996"/>
    <n v="259"/>
    <x v="0"/>
    <x v="1"/>
    <x v="3"/>
  </r>
  <r>
    <x v="1"/>
    <x v="7"/>
    <x v="4"/>
    <x v="6"/>
    <x v="53"/>
    <n v="193"/>
    <n v="126"/>
    <x v="615"/>
    <n v="28.73"/>
    <n v="15.28"/>
    <n v="12.38"/>
    <n v="131"/>
    <x v="2"/>
    <x v="0"/>
    <x v="3"/>
  </r>
  <r>
    <x v="1"/>
    <x v="10"/>
    <x v="1"/>
    <x v="1"/>
    <x v="39"/>
    <n v="474"/>
    <n v="351"/>
    <x v="616"/>
    <n v="91.96"/>
    <n v="32.229999999999997"/>
    <n v="2.4900000000000002"/>
    <n v="192"/>
    <x v="1"/>
    <x v="3"/>
    <x v="0"/>
  </r>
  <r>
    <x v="2"/>
    <x v="9"/>
    <x v="3"/>
    <x v="8"/>
    <x v="315"/>
    <n v="272"/>
    <n v="122"/>
    <x v="617"/>
    <n v="15.13"/>
    <n v="18.600000000000001"/>
    <n v="8"/>
    <n v="127"/>
    <x v="1"/>
    <x v="2"/>
    <x v="1"/>
  </r>
  <r>
    <x v="2"/>
    <x v="8"/>
    <x v="3"/>
    <x v="8"/>
    <x v="301"/>
    <n v="473"/>
    <n v="252"/>
    <x v="618"/>
    <n v="123.73"/>
    <n v="108.51"/>
    <n v="22.04"/>
    <n v="117"/>
    <x v="0"/>
    <x v="2"/>
    <x v="3"/>
  </r>
  <r>
    <x v="1"/>
    <x v="11"/>
    <x v="2"/>
    <x v="2"/>
    <x v="301"/>
    <n v="427"/>
    <n v="382"/>
    <x v="619"/>
    <n v="187.56"/>
    <n v="22.09"/>
    <n v="15.64"/>
    <n v="211"/>
    <x v="0"/>
    <x v="1"/>
    <x v="2"/>
  </r>
  <r>
    <x v="1"/>
    <x v="10"/>
    <x v="2"/>
    <x v="15"/>
    <x v="337"/>
    <n v="483"/>
    <n v="184"/>
    <x v="620"/>
    <n v="71.209999999999994"/>
    <n v="115.71"/>
    <n v="-8.64"/>
    <n v="42"/>
    <x v="1"/>
    <x v="2"/>
    <x v="0"/>
  </r>
  <r>
    <x v="1"/>
    <x v="1"/>
    <x v="4"/>
    <x v="6"/>
    <x v="338"/>
    <n v="135"/>
    <n v="95"/>
    <x v="621"/>
    <n v="42.84"/>
    <n v="18.04"/>
    <n v="2.34"/>
    <n v="102"/>
    <x v="2"/>
    <x v="1"/>
    <x v="1"/>
  </r>
  <r>
    <x v="2"/>
    <x v="8"/>
    <x v="2"/>
    <x v="10"/>
    <x v="126"/>
    <n v="138"/>
    <n v="45"/>
    <x v="622"/>
    <n v="12.2"/>
    <n v="25.2"/>
    <n v="3.73"/>
    <n v="269"/>
    <x v="1"/>
    <x v="2"/>
    <x v="3"/>
  </r>
  <r>
    <x v="0"/>
    <x v="6"/>
    <x v="1"/>
    <x v="16"/>
    <x v="247"/>
    <n v="372"/>
    <n v="298"/>
    <x v="623"/>
    <n v="61.39"/>
    <n v="15.24"/>
    <n v="1.62"/>
    <n v="67"/>
    <x v="1"/>
    <x v="1"/>
    <x v="1"/>
  </r>
  <r>
    <x v="0"/>
    <x v="11"/>
    <x v="4"/>
    <x v="5"/>
    <x v="144"/>
    <n v="307"/>
    <n v="106"/>
    <x v="624"/>
    <n v="42.51"/>
    <n v="80.599999999999994"/>
    <n v="17.739999999999998"/>
    <n v="110"/>
    <x v="0"/>
    <x v="1"/>
    <x v="3"/>
  </r>
  <r>
    <x v="0"/>
    <x v="2"/>
    <x v="3"/>
    <x v="4"/>
    <x v="214"/>
    <n v="386"/>
    <n v="216"/>
    <x v="625"/>
    <n v="34.340000000000003"/>
    <n v="27.03"/>
    <n v="-3.54"/>
    <n v="281"/>
    <x v="2"/>
    <x v="1"/>
    <x v="2"/>
  </r>
  <r>
    <x v="2"/>
    <x v="5"/>
    <x v="4"/>
    <x v="6"/>
    <x v="339"/>
    <n v="461"/>
    <n v="81"/>
    <x v="626"/>
    <n v="12.47"/>
    <n v="58.52"/>
    <n v="18.71"/>
    <n v="235"/>
    <x v="1"/>
    <x v="0"/>
    <x v="2"/>
  </r>
  <r>
    <x v="1"/>
    <x v="6"/>
    <x v="1"/>
    <x v="16"/>
    <x v="200"/>
    <n v="286"/>
    <n v="275"/>
    <x v="627"/>
    <n v="67.92"/>
    <n v="2.72"/>
    <n v="3.65"/>
    <n v="182"/>
    <x v="2"/>
    <x v="0"/>
    <x v="0"/>
  </r>
  <r>
    <x v="0"/>
    <x v="8"/>
    <x v="4"/>
    <x v="7"/>
    <x v="122"/>
    <n v="380"/>
    <n v="155"/>
    <x v="628"/>
    <n v="74.25"/>
    <n v="107.78"/>
    <n v="24.75"/>
    <n v="168"/>
    <x v="1"/>
    <x v="1"/>
    <x v="0"/>
  </r>
  <r>
    <x v="0"/>
    <x v="0"/>
    <x v="0"/>
    <x v="14"/>
    <x v="340"/>
    <n v="427"/>
    <n v="273"/>
    <x v="629"/>
    <n v="25.12"/>
    <n v="14.17"/>
    <n v="23.85"/>
    <n v="46"/>
    <x v="0"/>
    <x v="1"/>
    <x v="3"/>
  </r>
  <r>
    <x v="2"/>
    <x v="6"/>
    <x v="0"/>
    <x v="14"/>
    <x v="172"/>
    <n v="431"/>
    <n v="416"/>
    <x v="630"/>
    <n v="43.26"/>
    <n v="1.56"/>
    <n v="19.78"/>
    <n v="80"/>
    <x v="0"/>
    <x v="0"/>
    <x v="0"/>
  </r>
  <r>
    <x v="2"/>
    <x v="11"/>
    <x v="1"/>
    <x v="16"/>
    <x v="98"/>
    <n v="481"/>
    <n v="230"/>
    <x v="631"/>
    <n v="48.53"/>
    <n v="52.96"/>
    <n v="4.21"/>
    <n v="281"/>
    <x v="0"/>
    <x v="3"/>
    <x v="2"/>
  </r>
  <r>
    <x v="1"/>
    <x v="5"/>
    <x v="1"/>
    <x v="16"/>
    <x v="82"/>
    <n v="304"/>
    <n v="54"/>
    <x v="632"/>
    <n v="26.03"/>
    <n v="120.5"/>
    <n v="17.96"/>
    <n v="170"/>
    <x v="2"/>
    <x v="1"/>
    <x v="3"/>
  </r>
  <r>
    <x v="2"/>
    <x v="1"/>
    <x v="3"/>
    <x v="8"/>
    <x v="226"/>
    <n v="412"/>
    <n v="187"/>
    <x v="633"/>
    <n v="27.49"/>
    <n v="33.08"/>
    <n v="-7.1"/>
    <n v="180"/>
    <x v="1"/>
    <x v="1"/>
    <x v="0"/>
  </r>
  <r>
    <x v="1"/>
    <x v="2"/>
    <x v="2"/>
    <x v="2"/>
    <x v="341"/>
    <n v="196"/>
    <n v="145"/>
    <x v="634"/>
    <n v="63.95"/>
    <n v="22.49"/>
    <n v="-0.48"/>
    <n v="37"/>
    <x v="2"/>
    <x v="1"/>
    <x v="2"/>
  </r>
  <r>
    <x v="0"/>
    <x v="1"/>
    <x v="4"/>
    <x v="6"/>
    <x v="37"/>
    <n v="106"/>
    <n v="38"/>
    <x v="198"/>
    <n v="9.58"/>
    <n v="17.14"/>
    <n v="-0.18"/>
    <n v="218"/>
    <x v="2"/>
    <x v="0"/>
    <x v="3"/>
  </r>
  <r>
    <x v="2"/>
    <x v="9"/>
    <x v="3"/>
    <x v="4"/>
    <x v="342"/>
    <n v="142"/>
    <n v="115"/>
    <x v="635"/>
    <n v="28.29"/>
    <n v="6.64"/>
    <n v="16.48"/>
    <n v="85"/>
    <x v="2"/>
    <x v="3"/>
    <x v="3"/>
  </r>
  <r>
    <x v="2"/>
    <x v="3"/>
    <x v="3"/>
    <x v="9"/>
    <x v="343"/>
    <n v="95"/>
    <n v="84"/>
    <x v="636"/>
    <n v="16.3"/>
    <n v="2.13"/>
    <n v="19.84"/>
    <n v="101"/>
    <x v="0"/>
    <x v="2"/>
    <x v="0"/>
  </r>
  <r>
    <x v="0"/>
    <x v="7"/>
    <x v="3"/>
    <x v="4"/>
    <x v="344"/>
    <n v="284"/>
    <n v="153"/>
    <x v="637"/>
    <n v="25.7"/>
    <n v="22.01"/>
    <n v="9.4499999999999993"/>
    <n v="37"/>
    <x v="2"/>
    <x v="3"/>
    <x v="1"/>
  </r>
  <r>
    <x v="2"/>
    <x v="9"/>
    <x v="0"/>
    <x v="14"/>
    <x v="345"/>
    <n v="56"/>
    <n v="39"/>
    <x v="638"/>
    <n v="18.489999999999998"/>
    <n v="8.06"/>
    <n v="15.55"/>
    <n v="59"/>
    <x v="2"/>
    <x v="0"/>
    <x v="0"/>
  </r>
  <r>
    <x v="0"/>
    <x v="3"/>
    <x v="0"/>
    <x v="3"/>
    <x v="346"/>
    <n v="154"/>
    <n v="43"/>
    <x v="639"/>
    <n v="15.87"/>
    <n v="40.96"/>
    <n v="-0.31"/>
    <n v="43"/>
    <x v="1"/>
    <x v="0"/>
    <x v="2"/>
  </r>
  <r>
    <x v="1"/>
    <x v="11"/>
    <x v="3"/>
    <x v="9"/>
    <x v="222"/>
    <n v="489"/>
    <n v="437"/>
    <x v="640"/>
    <n v="53.31"/>
    <n v="6.34"/>
    <n v="8.08"/>
    <n v="260"/>
    <x v="0"/>
    <x v="2"/>
    <x v="0"/>
  </r>
  <r>
    <x v="0"/>
    <x v="2"/>
    <x v="4"/>
    <x v="7"/>
    <x v="235"/>
    <n v="469"/>
    <n v="107"/>
    <x v="641"/>
    <n v="15.41"/>
    <n v="52.13"/>
    <n v="22.4"/>
    <n v="146"/>
    <x v="0"/>
    <x v="2"/>
    <x v="1"/>
  </r>
  <r>
    <x v="1"/>
    <x v="8"/>
    <x v="4"/>
    <x v="6"/>
    <x v="200"/>
    <n v="123"/>
    <n v="81"/>
    <x v="642"/>
    <n v="20.010000000000002"/>
    <n v="10.37"/>
    <n v="-7.96"/>
    <n v="87"/>
    <x v="2"/>
    <x v="0"/>
    <x v="3"/>
  </r>
  <r>
    <x v="0"/>
    <x v="0"/>
    <x v="4"/>
    <x v="7"/>
    <x v="106"/>
    <n v="485"/>
    <n v="44"/>
    <x v="254"/>
    <n v="9.11"/>
    <n v="91.29"/>
    <n v="22.41"/>
    <n v="31"/>
    <x v="1"/>
    <x v="3"/>
    <x v="2"/>
  </r>
  <r>
    <x v="0"/>
    <x v="10"/>
    <x v="0"/>
    <x v="3"/>
    <x v="86"/>
    <n v="231"/>
    <n v="93"/>
    <x v="643"/>
    <n v="38.869999999999997"/>
    <n v="57.68"/>
    <n v="1.68"/>
    <n v="160"/>
    <x v="2"/>
    <x v="3"/>
    <x v="2"/>
  </r>
  <r>
    <x v="0"/>
    <x v="3"/>
    <x v="0"/>
    <x v="14"/>
    <x v="347"/>
    <n v="480"/>
    <n v="64"/>
    <x v="644"/>
    <n v="11.01"/>
    <n v="71.55"/>
    <n v="5.81"/>
    <n v="207"/>
    <x v="1"/>
    <x v="1"/>
    <x v="0"/>
  </r>
  <r>
    <x v="2"/>
    <x v="5"/>
    <x v="1"/>
    <x v="1"/>
    <x v="185"/>
    <n v="345"/>
    <n v="330"/>
    <x v="645"/>
    <n v="115.5"/>
    <n v="5.25"/>
    <n v="22.28"/>
    <n v="32"/>
    <x v="1"/>
    <x v="0"/>
    <x v="2"/>
  </r>
  <r>
    <x v="2"/>
    <x v="10"/>
    <x v="3"/>
    <x v="9"/>
    <x v="233"/>
    <n v="272"/>
    <n v="100"/>
    <x v="646"/>
    <n v="24.5"/>
    <n v="42.14"/>
    <n v="9.4600000000000009"/>
    <n v="115"/>
    <x v="0"/>
    <x v="1"/>
    <x v="3"/>
  </r>
  <r>
    <x v="0"/>
    <x v="5"/>
    <x v="3"/>
    <x v="9"/>
    <x v="348"/>
    <n v="280"/>
    <n v="246"/>
    <x v="647"/>
    <n v="34.69"/>
    <n v="4.79"/>
    <n v="13.29"/>
    <n v="46"/>
    <x v="0"/>
    <x v="1"/>
    <x v="3"/>
  </r>
  <r>
    <x v="2"/>
    <x v="2"/>
    <x v="3"/>
    <x v="12"/>
    <x v="0"/>
    <n v="426"/>
    <n v="122"/>
    <x v="648"/>
    <n v="6.22"/>
    <n v="15.5"/>
    <n v="-6.88"/>
    <n v="38"/>
    <x v="1"/>
    <x v="0"/>
    <x v="3"/>
  </r>
  <r>
    <x v="0"/>
    <x v="3"/>
    <x v="3"/>
    <x v="12"/>
    <x v="349"/>
    <n v="486"/>
    <n v="234"/>
    <x v="649"/>
    <n v="105.77"/>
    <n v="113.9"/>
    <n v="20.61"/>
    <n v="268"/>
    <x v="2"/>
    <x v="1"/>
    <x v="3"/>
  </r>
  <r>
    <x v="2"/>
    <x v="11"/>
    <x v="2"/>
    <x v="15"/>
    <x v="111"/>
    <n v="281"/>
    <n v="138"/>
    <x v="650"/>
    <n v="67.62"/>
    <n v="70.069999999999993"/>
    <n v="17.2"/>
    <n v="180"/>
    <x v="2"/>
    <x v="1"/>
    <x v="3"/>
  </r>
  <r>
    <x v="0"/>
    <x v="7"/>
    <x v="0"/>
    <x v="14"/>
    <x v="101"/>
    <n v="167"/>
    <n v="106"/>
    <x v="651"/>
    <n v="30.42"/>
    <n v="17.510000000000002"/>
    <n v="19.45"/>
    <n v="220"/>
    <x v="1"/>
    <x v="0"/>
    <x v="1"/>
  </r>
  <r>
    <x v="2"/>
    <x v="3"/>
    <x v="2"/>
    <x v="15"/>
    <x v="164"/>
    <n v="433"/>
    <n v="334"/>
    <x v="652"/>
    <n v="158.97999999999999"/>
    <n v="47.12"/>
    <n v="19.23"/>
    <n v="270"/>
    <x v="2"/>
    <x v="1"/>
    <x v="1"/>
  </r>
  <r>
    <x v="0"/>
    <x v="1"/>
    <x v="4"/>
    <x v="6"/>
    <x v="48"/>
    <n v="52"/>
    <n v="34"/>
    <x v="653"/>
    <n v="9.7899999999999991"/>
    <n v="5.18"/>
    <n v="-3.05"/>
    <n v="103"/>
    <x v="2"/>
    <x v="1"/>
    <x v="0"/>
  </r>
  <r>
    <x v="0"/>
    <x v="3"/>
    <x v="2"/>
    <x v="2"/>
    <x v="235"/>
    <n v="240"/>
    <n v="44"/>
    <x v="654"/>
    <n v="6.34"/>
    <n v="28.22"/>
    <n v="23.06"/>
    <n v="293"/>
    <x v="1"/>
    <x v="3"/>
    <x v="1"/>
  </r>
  <r>
    <x v="0"/>
    <x v="3"/>
    <x v="1"/>
    <x v="16"/>
    <x v="50"/>
    <n v="437"/>
    <n v="325"/>
    <x v="101"/>
    <n v="78.650000000000006"/>
    <n v="27.1"/>
    <n v="6.53"/>
    <n v="138"/>
    <x v="1"/>
    <x v="2"/>
    <x v="3"/>
  </r>
  <r>
    <x v="2"/>
    <x v="1"/>
    <x v="1"/>
    <x v="11"/>
    <x v="52"/>
    <n v="488"/>
    <n v="31"/>
    <x v="56"/>
    <n v="5.58"/>
    <n v="82.26"/>
    <n v="18.350000000000001"/>
    <n v="121"/>
    <x v="1"/>
    <x v="2"/>
    <x v="3"/>
  </r>
  <r>
    <x v="2"/>
    <x v="2"/>
    <x v="4"/>
    <x v="6"/>
    <x v="203"/>
    <n v="343"/>
    <n v="79"/>
    <x v="655"/>
    <n v="15.09"/>
    <n v="50.42"/>
    <n v="-0.01"/>
    <n v="168"/>
    <x v="0"/>
    <x v="3"/>
    <x v="2"/>
  </r>
  <r>
    <x v="2"/>
    <x v="4"/>
    <x v="2"/>
    <x v="10"/>
    <x v="9"/>
    <n v="265"/>
    <n v="76"/>
    <x v="656"/>
    <n v="16.260000000000002"/>
    <n v="40.450000000000003"/>
    <n v="-1.01"/>
    <n v="72"/>
    <x v="2"/>
    <x v="0"/>
    <x v="0"/>
  </r>
  <r>
    <x v="0"/>
    <x v="7"/>
    <x v="1"/>
    <x v="11"/>
    <x v="211"/>
    <n v="110"/>
    <n v="100"/>
    <x v="657"/>
    <n v="16.600000000000001"/>
    <n v="1.66"/>
    <n v="-9.32"/>
    <n v="29"/>
    <x v="1"/>
    <x v="1"/>
    <x v="2"/>
  </r>
  <r>
    <x v="2"/>
    <x v="1"/>
    <x v="1"/>
    <x v="13"/>
    <x v="147"/>
    <n v="314"/>
    <n v="73"/>
    <x v="658"/>
    <n v="14.75"/>
    <n v="48.68"/>
    <n v="24.09"/>
    <n v="181"/>
    <x v="2"/>
    <x v="0"/>
    <x v="3"/>
  </r>
  <r>
    <x v="2"/>
    <x v="2"/>
    <x v="2"/>
    <x v="2"/>
    <x v="123"/>
    <n v="131"/>
    <n v="44"/>
    <x v="659"/>
    <n v="14.12"/>
    <n v="27.93"/>
    <n v="21.09"/>
    <n v="129"/>
    <x v="1"/>
    <x v="1"/>
    <x v="3"/>
  </r>
  <r>
    <x v="2"/>
    <x v="7"/>
    <x v="4"/>
    <x v="6"/>
    <x v="206"/>
    <n v="208"/>
    <n v="151"/>
    <x v="660"/>
    <n v="52.55"/>
    <n v="19.84"/>
    <n v="18.239999999999998"/>
    <n v="76"/>
    <x v="2"/>
    <x v="0"/>
    <x v="3"/>
  </r>
  <r>
    <x v="1"/>
    <x v="10"/>
    <x v="4"/>
    <x v="6"/>
    <x v="117"/>
    <n v="148"/>
    <n v="108"/>
    <x v="661"/>
    <n v="51.95"/>
    <n v="19.239999999999998"/>
    <n v="22.81"/>
    <n v="66"/>
    <x v="2"/>
    <x v="0"/>
    <x v="0"/>
  </r>
  <r>
    <x v="1"/>
    <x v="4"/>
    <x v="0"/>
    <x v="14"/>
    <x v="87"/>
    <n v="278"/>
    <n v="238"/>
    <x v="662"/>
    <n v="115.43"/>
    <n v="19.399999999999999"/>
    <n v="14.19"/>
    <n v="169"/>
    <x v="1"/>
    <x v="1"/>
    <x v="2"/>
  </r>
  <r>
    <x v="2"/>
    <x v="10"/>
    <x v="4"/>
    <x v="7"/>
    <x v="239"/>
    <n v="270"/>
    <n v="163"/>
    <x v="663"/>
    <n v="16.14"/>
    <n v="10.59"/>
    <n v="23.63"/>
    <n v="92"/>
    <x v="2"/>
    <x v="0"/>
    <x v="2"/>
  </r>
  <r>
    <x v="1"/>
    <x v="6"/>
    <x v="1"/>
    <x v="13"/>
    <x v="350"/>
    <n v="153"/>
    <n v="69"/>
    <x v="664"/>
    <n v="29.6"/>
    <n v="36.04"/>
    <n v="7.68"/>
    <n v="150"/>
    <x v="2"/>
    <x v="2"/>
    <x v="2"/>
  </r>
  <r>
    <x v="0"/>
    <x v="1"/>
    <x v="1"/>
    <x v="1"/>
    <x v="197"/>
    <n v="322"/>
    <n v="92"/>
    <x v="665"/>
    <n v="36.06"/>
    <n v="90.16"/>
    <n v="18.36"/>
    <n v="108"/>
    <x v="1"/>
    <x v="1"/>
    <x v="3"/>
  </r>
  <r>
    <x v="0"/>
    <x v="6"/>
    <x v="2"/>
    <x v="10"/>
    <x v="31"/>
    <n v="89"/>
    <n v="39"/>
    <x v="666"/>
    <n v="8.5"/>
    <n v="10.9"/>
    <n v="1.17"/>
    <n v="51"/>
    <x v="1"/>
    <x v="1"/>
    <x v="2"/>
  </r>
  <r>
    <x v="0"/>
    <x v="2"/>
    <x v="2"/>
    <x v="2"/>
    <x v="134"/>
    <n v="311"/>
    <n v="289"/>
    <x v="667"/>
    <n v="73.98"/>
    <n v="5.63"/>
    <n v="21.2"/>
    <n v="259"/>
    <x v="2"/>
    <x v="1"/>
    <x v="1"/>
  </r>
  <r>
    <x v="0"/>
    <x v="5"/>
    <x v="3"/>
    <x v="8"/>
    <x v="203"/>
    <n v="452"/>
    <n v="330"/>
    <x v="668"/>
    <n v="63.03"/>
    <n v="23.3"/>
    <n v="-5.27"/>
    <n v="265"/>
    <x v="0"/>
    <x v="2"/>
    <x v="3"/>
  </r>
  <r>
    <x v="0"/>
    <x v="1"/>
    <x v="0"/>
    <x v="0"/>
    <x v="10"/>
    <n v="311"/>
    <n v="85"/>
    <x v="669"/>
    <n v="6.12"/>
    <n v="16.27"/>
    <n v="-1.69"/>
    <n v="141"/>
    <x v="0"/>
    <x v="2"/>
    <x v="1"/>
  </r>
  <r>
    <x v="1"/>
    <x v="2"/>
    <x v="2"/>
    <x v="2"/>
    <x v="351"/>
    <n v="277"/>
    <n v="85"/>
    <x v="670"/>
    <n v="21.08"/>
    <n v="47.62"/>
    <n v="2"/>
    <n v="200"/>
    <x v="1"/>
    <x v="3"/>
    <x v="3"/>
  </r>
  <r>
    <x v="1"/>
    <x v="9"/>
    <x v="0"/>
    <x v="0"/>
    <x v="74"/>
    <n v="336"/>
    <n v="241"/>
    <x v="671"/>
    <n v="31.81"/>
    <n v="12.54"/>
    <n v="-7.8"/>
    <n v="190"/>
    <x v="0"/>
    <x v="2"/>
    <x v="2"/>
  </r>
  <r>
    <x v="1"/>
    <x v="9"/>
    <x v="3"/>
    <x v="8"/>
    <x v="352"/>
    <n v="387"/>
    <n v="208"/>
    <x v="672"/>
    <n v="61.78"/>
    <n v="53.16"/>
    <n v="8.99"/>
    <n v="169"/>
    <x v="0"/>
    <x v="1"/>
    <x v="2"/>
  </r>
  <r>
    <x v="1"/>
    <x v="0"/>
    <x v="1"/>
    <x v="13"/>
    <x v="186"/>
    <n v="445"/>
    <n v="365"/>
    <x v="673"/>
    <n v="47.09"/>
    <n v="10.32"/>
    <n v="10.74"/>
    <n v="209"/>
    <x v="1"/>
    <x v="0"/>
    <x v="1"/>
  </r>
  <r>
    <x v="2"/>
    <x v="6"/>
    <x v="4"/>
    <x v="7"/>
    <x v="26"/>
    <n v="394"/>
    <n v="278"/>
    <x v="674"/>
    <n v="82.01"/>
    <n v="34.22"/>
    <n v="12.4"/>
    <n v="193"/>
    <x v="0"/>
    <x v="2"/>
    <x v="0"/>
  </r>
  <r>
    <x v="1"/>
    <x v="3"/>
    <x v="2"/>
    <x v="10"/>
    <x v="178"/>
    <n v="144"/>
    <n v="112"/>
    <x v="675"/>
    <n v="22.29"/>
    <n v="6.37"/>
    <n v="18.36"/>
    <n v="90"/>
    <x v="1"/>
    <x v="1"/>
    <x v="3"/>
  </r>
  <r>
    <x v="0"/>
    <x v="5"/>
    <x v="2"/>
    <x v="10"/>
    <x v="57"/>
    <n v="277"/>
    <n v="130"/>
    <x v="676"/>
    <n v="25.09"/>
    <n v="28.37"/>
    <n v="24.64"/>
    <n v="101"/>
    <x v="0"/>
    <x v="2"/>
    <x v="2"/>
  </r>
  <r>
    <x v="1"/>
    <x v="4"/>
    <x v="4"/>
    <x v="5"/>
    <x v="143"/>
    <n v="498"/>
    <n v="176"/>
    <x v="677"/>
    <n v="56.67"/>
    <n v="103.68"/>
    <n v="2.29"/>
    <n v="238"/>
    <x v="0"/>
    <x v="3"/>
    <x v="3"/>
  </r>
  <r>
    <x v="0"/>
    <x v="5"/>
    <x v="3"/>
    <x v="9"/>
    <x v="276"/>
    <n v="284"/>
    <n v="96"/>
    <x v="678"/>
    <n v="23.04"/>
    <n v="45.12"/>
    <n v="-6.24"/>
    <n v="268"/>
    <x v="0"/>
    <x v="3"/>
    <x v="0"/>
  </r>
  <r>
    <x v="1"/>
    <x v="3"/>
    <x v="4"/>
    <x v="5"/>
    <x v="96"/>
    <n v="322"/>
    <n v="40"/>
    <x v="679"/>
    <n v="18"/>
    <n v="126.9"/>
    <n v="20.190000000000001"/>
    <n v="270"/>
    <x v="2"/>
    <x v="0"/>
    <x v="1"/>
  </r>
  <r>
    <x v="1"/>
    <x v="10"/>
    <x v="3"/>
    <x v="8"/>
    <x v="106"/>
    <n v="101"/>
    <n v="50"/>
    <x v="680"/>
    <n v="10.35"/>
    <n v="10.56"/>
    <n v="13.12"/>
    <n v="239"/>
    <x v="2"/>
    <x v="1"/>
    <x v="3"/>
  </r>
  <r>
    <x v="2"/>
    <x v="5"/>
    <x v="3"/>
    <x v="8"/>
    <x v="174"/>
    <n v="307"/>
    <n v="153"/>
    <x v="681"/>
    <n v="56.92"/>
    <n v="57.29"/>
    <n v="-4.38"/>
    <n v="124"/>
    <x v="1"/>
    <x v="3"/>
    <x v="3"/>
  </r>
  <r>
    <x v="1"/>
    <x v="8"/>
    <x v="3"/>
    <x v="9"/>
    <x v="219"/>
    <n v="230"/>
    <n v="43"/>
    <x v="682"/>
    <n v="12.26"/>
    <n v="53.29"/>
    <n v="-9.69"/>
    <n v="122"/>
    <x v="0"/>
    <x v="3"/>
    <x v="0"/>
  </r>
  <r>
    <x v="2"/>
    <x v="2"/>
    <x v="0"/>
    <x v="3"/>
    <x v="353"/>
    <n v="434"/>
    <n v="113"/>
    <x v="683"/>
    <n v="48.36"/>
    <n v="137.38999999999999"/>
    <n v="20.440000000000001"/>
    <n v="154"/>
    <x v="2"/>
    <x v="1"/>
    <x v="1"/>
  </r>
  <r>
    <x v="2"/>
    <x v="9"/>
    <x v="3"/>
    <x v="4"/>
    <x v="1"/>
    <n v="469"/>
    <n v="44"/>
    <x v="684"/>
    <n v="16.28"/>
    <n v="157.25"/>
    <n v="7.88"/>
    <n v="227"/>
    <x v="1"/>
    <x v="3"/>
    <x v="0"/>
  </r>
  <r>
    <x v="0"/>
    <x v="4"/>
    <x v="2"/>
    <x v="2"/>
    <x v="334"/>
    <n v="379"/>
    <n v="216"/>
    <x v="685"/>
    <n v="36.72"/>
    <n v="27.71"/>
    <n v="24.4"/>
    <n v="56"/>
    <x v="0"/>
    <x v="1"/>
    <x v="3"/>
  </r>
  <r>
    <x v="0"/>
    <x v="1"/>
    <x v="0"/>
    <x v="0"/>
    <x v="313"/>
    <n v="477"/>
    <n v="57"/>
    <x v="686"/>
    <n v="15.22"/>
    <n v="112.14"/>
    <n v="12.86"/>
    <n v="101"/>
    <x v="0"/>
    <x v="3"/>
    <x v="3"/>
  </r>
  <r>
    <x v="0"/>
    <x v="5"/>
    <x v="4"/>
    <x v="7"/>
    <x v="354"/>
    <n v="219"/>
    <n v="165"/>
    <x v="687"/>
    <n v="42.41"/>
    <n v="13.88"/>
    <n v="-3.39"/>
    <n v="49"/>
    <x v="2"/>
    <x v="2"/>
    <x v="2"/>
  </r>
  <r>
    <x v="2"/>
    <x v="2"/>
    <x v="4"/>
    <x v="5"/>
    <x v="355"/>
    <n v="160"/>
    <n v="31"/>
    <x v="688"/>
    <n v="13.24"/>
    <n v="55.08"/>
    <n v="24.16"/>
    <n v="223"/>
    <x v="1"/>
    <x v="1"/>
    <x v="0"/>
  </r>
  <r>
    <x v="1"/>
    <x v="10"/>
    <x v="4"/>
    <x v="5"/>
    <x v="229"/>
    <n v="60"/>
    <n v="38"/>
    <x v="689"/>
    <n v="5.28"/>
    <n v="3.06"/>
    <n v="1.31"/>
    <n v="79"/>
    <x v="1"/>
    <x v="0"/>
    <x v="0"/>
  </r>
  <r>
    <x v="2"/>
    <x v="2"/>
    <x v="0"/>
    <x v="0"/>
    <x v="88"/>
    <n v="383"/>
    <n v="279"/>
    <x v="690"/>
    <n v="37.659999999999997"/>
    <n v="14.04"/>
    <n v="6.31"/>
    <n v="25"/>
    <x v="2"/>
    <x v="1"/>
    <x v="2"/>
  </r>
  <r>
    <x v="2"/>
    <x v="10"/>
    <x v="2"/>
    <x v="15"/>
    <x v="344"/>
    <n v="129"/>
    <n v="40"/>
    <x v="691"/>
    <n v="6.72"/>
    <n v="14.95"/>
    <n v="10.92"/>
    <n v="62"/>
    <x v="1"/>
    <x v="1"/>
    <x v="3"/>
  </r>
  <r>
    <x v="1"/>
    <x v="10"/>
    <x v="2"/>
    <x v="2"/>
    <x v="182"/>
    <n v="463"/>
    <n v="198"/>
    <x v="692"/>
    <n v="72.47"/>
    <n v="96.99"/>
    <n v="6.23"/>
    <n v="272"/>
    <x v="2"/>
    <x v="1"/>
    <x v="0"/>
  </r>
  <r>
    <x v="2"/>
    <x v="9"/>
    <x v="0"/>
    <x v="0"/>
    <x v="120"/>
    <n v="56"/>
    <n v="38"/>
    <x v="693"/>
    <n v="18.850000000000001"/>
    <n v="8.93"/>
    <n v="17.66"/>
    <n v="217"/>
    <x v="2"/>
    <x v="1"/>
    <x v="3"/>
  </r>
  <r>
    <x v="0"/>
    <x v="7"/>
    <x v="0"/>
    <x v="3"/>
    <x v="320"/>
    <n v="487"/>
    <n v="48"/>
    <x v="694"/>
    <n v="20.78"/>
    <n v="190.09"/>
    <n v="3.39"/>
    <n v="211"/>
    <x v="1"/>
    <x v="1"/>
    <x v="0"/>
  </r>
  <r>
    <x v="1"/>
    <x v="2"/>
    <x v="1"/>
    <x v="16"/>
    <x v="14"/>
    <n v="330"/>
    <n v="231"/>
    <x v="695"/>
    <n v="97.25"/>
    <n v="41.68"/>
    <n v="-8.19"/>
    <n v="45"/>
    <x v="2"/>
    <x v="3"/>
    <x v="2"/>
  </r>
  <r>
    <x v="2"/>
    <x v="0"/>
    <x v="1"/>
    <x v="13"/>
    <x v="253"/>
    <n v="166"/>
    <n v="76"/>
    <x v="696"/>
    <n v="15.81"/>
    <n v="18.72"/>
    <n v="4.45"/>
    <n v="25"/>
    <x v="1"/>
    <x v="3"/>
    <x v="2"/>
  </r>
  <r>
    <x v="1"/>
    <x v="3"/>
    <x v="4"/>
    <x v="6"/>
    <x v="26"/>
    <n v="209"/>
    <n v="142"/>
    <x v="697"/>
    <n v="41.89"/>
    <n v="19.77"/>
    <n v="11.93"/>
    <n v="153"/>
    <x v="1"/>
    <x v="3"/>
    <x v="0"/>
  </r>
  <r>
    <x v="2"/>
    <x v="8"/>
    <x v="1"/>
    <x v="1"/>
    <x v="190"/>
    <n v="182"/>
    <n v="120"/>
    <x v="698"/>
    <n v="34.92"/>
    <n v="18.04"/>
    <n v="21"/>
    <n v="48"/>
    <x v="0"/>
    <x v="1"/>
    <x v="0"/>
  </r>
  <r>
    <x v="1"/>
    <x v="0"/>
    <x v="1"/>
    <x v="16"/>
    <x v="18"/>
    <n v="222"/>
    <n v="38"/>
    <x v="699"/>
    <n v="14.17"/>
    <n v="68.63"/>
    <n v="9.4600000000000009"/>
    <n v="132"/>
    <x v="0"/>
    <x v="1"/>
    <x v="2"/>
  </r>
  <r>
    <x v="1"/>
    <x v="6"/>
    <x v="1"/>
    <x v="16"/>
    <x v="317"/>
    <n v="85"/>
    <n v="53"/>
    <x v="700"/>
    <n v="4.24"/>
    <n v="2.56"/>
    <n v="6.55"/>
    <n v="297"/>
    <x v="0"/>
    <x v="1"/>
    <x v="2"/>
  </r>
  <r>
    <x v="2"/>
    <x v="5"/>
    <x v="3"/>
    <x v="8"/>
    <x v="213"/>
    <n v="180"/>
    <n v="111"/>
    <x v="701"/>
    <n v="26.42"/>
    <n v="16.420000000000002"/>
    <n v="17.739999999999998"/>
    <n v="168"/>
    <x v="1"/>
    <x v="3"/>
    <x v="0"/>
  </r>
  <r>
    <x v="2"/>
    <x v="11"/>
    <x v="2"/>
    <x v="15"/>
    <x v="356"/>
    <n v="349"/>
    <n v="82"/>
    <x v="702"/>
    <n v="12.46"/>
    <n v="40.58"/>
    <n v="-9.7899999999999991"/>
    <n v="37"/>
    <x v="0"/>
    <x v="1"/>
    <x v="1"/>
  </r>
  <r>
    <x v="1"/>
    <x v="3"/>
    <x v="1"/>
    <x v="1"/>
    <x v="118"/>
    <n v="258"/>
    <n v="95"/>
    <x v="703"/>
    <n v="28.12"/>
    <n v="48.25"/>
    <n v="-6.3"/>
    <n v="164"/>
    <x v="0"/>
    <x v="2"/>
    <x v="1"/>
  </r>
  <r>
    <x v="2"/>
    <x v="6"/>
    <x v="3"/>
    <x v="9"/>
    <x v="357"/>
    <n v="55"/>
    <n v="32"/>
    <x v="704"/>
    <n v="5.82"/>
    <n v="4.1900000000000004"/>
    <n v="-2.15"/>
    <n v="35"/>
    <x v="1"/>
    <x v="2"/>
    <x v="1"/>
  </r>
  <r>
    <x v="1"/>
    <x v="8"/>
    <x v="4"/>
    <x v="7"/>
    <x v="166"/>
    <n v="131"/>
    <n v="100"/>
    <x v="705"/>
    <n v="44.2"/>
    <n v="13.7"/>
    <n v="19.809999999999999"/>
    <n v="190"/>
    <x v="1"/>
    <x v="3"/>
    <x v="2"/>
  </r>
  <r>
    <x v="1"/>
    <x v="9"/>
    <x v="2"/>
    <x v="10"/>
    <x v="339"/>
    <n v="343"/>
    <n v="264"/>
    <x v="706"/>
    <n v="40.659999999999997"/>
    <n v="12.17"/>
    <n v="-1.41"/>
    <n v="287"/>
    <x v="2"/>
    <x v="1"/>
    <x v="1"/>
  </r>
  <r>
    <x v="2"/>
    <x v="4"/>
    <x v="1"/>
    <x v="1"/>
    <x v="18"/>
    <n v="254"/>
    <n v="205"/>
    <x v="707"/>
    <n v="76.47"/>
    <n v="18.28"/>
    <n v="13.51"/>
    <n v="145"/>
    <x v="0"/>
    <x v="0"/>
    <x v="3"/>
  </r>
  <r>
    <x v="1"/>
    <x v="6"/>
    <x v="3"/>
    <x v="12"/>
    <x v="240"/>
    <n v="327"/>
    <n v="48"/>
    <x v="668"/>
    <n v="12.67"/>
    <n v="73.66"/>
    <n v="-7.73"/>
    <n v="238"/>
    <x v="2"/>
    <x v="2"/>
    <x v="0"/>
  </r>
  <r>
    <x v="0"/>
    <x v="5"/>
    <x v="1"/>
    <x v="13"/>
    <x v="247"/>
    <n v="296"/>
    <n v="285"/>
    <x v="708"/>
    <n v="58.71"/>
    <n v="2.27"/>
    <n v="11.11"/>
    <n v="252"/>
    <x v="0"/>
    <x v="2"/>
    <x v="0"/>
  </r>
  <r>
    <x v="2"/>
    <x v="1"/>
    <x v="1"/>
    <x v="1"/>
    <x v="135"/>
    <n v="165"/>
    <n v="73"/>
    <x v="709"/>
    <n v="32.479999999999997"/>
    <n v="40.94"/>
    <n v="23.4"/>
    <n v="58"/>
    <x v="2"/>
    <x v="3"/>
    <x v="2"/>
  </r>
  <r>
    <x v="1"/>
    <x v="0"/>
    <x v="1"/>
    <x v="13"/>
    <x v="314"/>
    <n v="231"/>
    <n v="205"/>
    <x v="710"/>
    <n v="67.44"/>
    <n v="8.5500000000000007"/>
    <n v="3.22"/>
    <n v="101"/>
    <x v="1"/>
    <x v="2"/>
    <x v="0"/>
  </r>
  <r>
    <x v="0"/>
    <x v="6"/>
    <x v="4"/>
    <x v="7"/>
    <x v="311"/>
    <n v="308"/>
    <n v="186"/>
    <x v="233"/>
    <n v="27.9"/>
    <n v="18.3"/>
    <n v="19.079999999999998"/>
    <n v="36"/>
    <x v="1"/>
    <x v="2"/>
    <x v="1"/>
  </r>
  <r>
    <x v="2"/>
    <x v="8"/>
    <x v="4"/>
    <x v="7"/>
    <x v="89"/>
    <n v="454"/>
    <n v="323"/>
    <x v="711"/>
    <n v="132.43"/>
    <n v="53.71"/>
    <n v="-6.95"/>
    <n v="212"/>
    <x v="0"/>
    <x v="1"/>
    <x v="1"/>
  </r>
  <r>
    <x v="1"/>
    <x v="11"/>
    <x v="1"/>
    <x v="13"/>
    <x v="293"/>
    <n v="280"/>
    <n v="122"/>
    <x v="712"/>
    <n v="51.73"/>
    <n v="66.989999999999995"/>
    <n v="-6.4"/>
    <n v="295"/>
    <x v="0"/>
    <x v="2"/>
    <x v="1"/>
  </r>
  <r>
    <x v="0"/>
    <x v="10"/>
    <x v="1"/>
    <x v="13"/>
    <x v="286"/>
    <n v="361"/>
    <n v="312"/>
    <x v="713"/>
    <n v="29.33"/>
    <n v="4.6100000000000003"/>
    <n v="-4.9000000000000004"/>
    <n v="221"/>
    <x v="0"/>
    <x v="1"/>
    <x v="1"/>
  </r>
  <r>
    <x v="1"/>
    <x v="7"/>
    <x v="2"/>
    <x v="10"/>
    <x v="94"/>
    <n v="203"/>
    <n v="167"/>
    <x v="714"/>
    <n v="73.150000000000006"/>
    <n v="15.77"/>
    <n v="20.58"/>
    <n v="125"/>
    <x v="0"/>
    <x v="2"/>
    <x v="2"/>
  </r>
  <r>
    <x v="2"/>
    <x v="7"/>
    <x v="1"/>
    <x v="16"/>
    <x v="70"/>
    <n v="268"/>
    <n v="172"/>
    <x v="715"/>
    <n v="65.36"/>
    <n v="36.479999999999997"/>
    <n v="18.829999999999998"/>
    <n v="278"/>
    <x v="1"/>
    <x v="1"/>
    <x v="3"/>
  </r>
  <r>
    <x v="0"/>
    <x v="6"/>
    <x v="1"/>
    <x v="11"/>
    <x v="84"/>
    <n v="375"/>
    <n v="342"/>
    <x v="716"/>
    <n v="62.93"/>
    <n v="6.07"/>
    <n v="8.4"/>
    <n v="268"/>
    <x v="2"/>
    <x v="2"/>
    <x v="2"/>
  </r>
  <r>
    <x v="1"/>
    <x v="11"/>
    <x v="1"/>
    <x v="1"/>
    <x v="358"/>
    <n v="229"/>
    <n v="34"/>
    <x v="717"/>
    <n v="12.1"/>
    <n v="69.42"/>
    <n v="13.16"/>
    <n v="105"/>
    <x v="1"/>
    <x v="0"/>
    <x v="3"/>
  </r>
  <r>
    <x v="2"/>
    <x v="8"/>
    <x v="4"/>
    <x v="5"/>
    <x v="359"/>
    <n v="79"/>
    <n v="30"/>
    <x v="718"/>
    <n v="10.62"/>
    <n v="17.350000000000001"/>
    <n v="-0.19"/>
    <n v="252"/>
    <x v="1"/>
    <x v="0"/>
    <x v="3"/>
  </r>
  <r>
    <x v="0"/>
    <x v="6"/>
    <x v="1"/>
    <x v="11"/>
    <x v="139"/>
    <n v="368"/>
    <n v="210"/>
    <x v="719"/>
    <n v="73.92"/>
    <n v="55.62"/>
    <n v="-3.98"/>
    <n v="94"/>
    <x v="2"/>
    <x v="0"/>
    <x v="1"/>
  </r>
  <r>
    <x v="1"/>
    <x v="9"/>
    <x v="3"/>
    <x v="9"/>
    <x v="9"/>
    <n v="76"/>
    <n v="44"/>
    <x v="720"/>
    <n v="9.42"/>
    <n v="6.85"/>
    <n v="12.62"/>
    <n v="219"/>
    <x v="1"/>
    <x v="1"/>
    <x v="1"/>
  </r>
  <r>
    <x v="1"/>
    <x v="6"/>
    <x v="3"/>
    <x v="12"/>
    <x v="133"/>
    <n v="413"/>
    <n v="195"/>
    <x v="721"/>
    <n v="60.06"/>
    <n v="67.14"/>
    <n v="-1.17"/>
    <n v="242"/>
    <x v="1"/>
    <x v="2"/>
    <x v="0"/>
  </r>
  <r>
    <x v="0"/>
    <x v="6"/>
    <x v="0"/>
    <x v="14"/>
    <x v="12"/>
    <n v="487"/>
    <n v="337"/>
    <x v="722"/>
    <n v="39.090000000000003"/>
    <n v="17.399999999999999"/>
    <n v="3.66"/>
    <n v="57"/>
    <x v="1"/>
    <x v="0"/>
    <x v="1"/>
  </r>
  <r>
    <x v="2"/>
    <x v="0"/>
    <x v="2"/>
    <x v="10"/>
    <x v="242"/>
    <n v="376"/>
    <n v="102"/>
    <x v="723"/>
    <n v="37.840000000000003"/>
    <n v="101.65"/>
    <n v="-5.42"/>
    <n v="85"/>
    <x v="2"/>
    <x v="3"/>
    <x v="2"/>
  </r>
  <r>
    <x v="2"/>
    <x v="3"/>
    <x v="2"/>
    <x v="10"/>
    <x v="73"/>
    <n v="134"/>
    <n v="41"/>
    <x v="355"/>
    <n v="13.24"/>
    <n v="30.04"/>
    <n v="17.25"/>
    <n v="172"/>
    <x v="0"/>
    <x v="3"/>
    <x v="2"/>
  </r>
  <r>
    <x v="0"/>
    <x v="1"/>
    <x v="1"/>
    <x v="1"/>
    <x v="154"/>
    <n v="458"/>
    <n v="427"/>
    <x v="724"/>
    <n v="184.46"/>
    <n v="13.39"/>
    <n v="13.38"/>
    <n v="239"/>
    <x v="1"/>
    <x v="1"/>
    <x v="3"/>
  </r>
  <r>
    <x v="2"/>
    <x v="8"/>
    <x v="4"/>
    <x v="6"/>
    <x v="360"/>
    <n v="239"/>
    <n v="223"/>
    <x v="725"/>
    <n v="46.83"/>
    <n v="3.36"/>
    <n v="2.35"/>
    <n v="73"/>
    <x v="2"/>
    <x v="2"/>
    <x v="1"/>
  </r>
  <r>
    <x v="1"/>
    <x v="8"/>
    <x v="0"/>
    <x v="14"/>
    <x v="293"/>
    <n v="223"/>
    <n v="201"/>
    <x v="726"/>
    <n v="85.22"/>
    <n v="9.33"/>
    <n v="6.94"/>
    <n v="300"/>
    <x v="1"/>
    <x v="1"/>
    <x v="1"/>
  </r>
  <r>
    <x v="0"/>
    <x v="9"/>
    <x v="3"/>
    <x v="12"/>
    <x v="361"/>
    <n v="306"/>
    <n v="132"/>
    <x v="727"/>
    <n v="53.59"/>
    <n v="70.64"/>
    <n v="16.16"/>
    <n v="114"/>
    <x v="1"/>
    <x v="1"/>
    <x v="0"/>
  </r>
  <r>
    <x v="0"/>
    <x v="3"/>
    <x v="2"/>
    <x v="10"/>
    <x v="362"/>
    <n v="394"/>
    <n v="196"/>
    <x v="728"/>
    <n v="52.53"/>
    <n v="53.06"/>
    <n v="10.52"/>
    <n v="169"/>
    <x v="0"/>
    <x v="2"/>
    <x v="0"/>
  </r>
  <r>
    <x v="1"/>
    <x v="2"/>
    <x v="0"/>
    <x v="14"/>
    <x v="19"/>
    <n v="219"/>
    <n v="198"/>
    <x v="729"/>
    <n v="15.64"/>
    <n v="1.66"/>
    <n v="23.49"/>
    <n v="223"/>
    <x v="0"/>
    <x v="2"/>
    <x v="1"/>
  </r>
  <r>
    <x v="2"/>
    <x v="9"/>
    <x v="0"/>
    <x v="3"/>
    <x v="105"/>
    <n v="334"/>
    <n v="212"/>
    <x v="730"/>
    <n v="85.86"/>
    <n v="49.41"/>
    <n v="18.239999999999998"/>
    <n v="98"/>
    <x v="0"/>
    <x v="1"/>
    <x v="3"/>
  </r>
  <r>
    <x v="1"/>
    <x v="5"/>
    <x v="1"/>
    <x v="16"/>
    <x v="204"/>
    <n v="91"/>
    <n v="38"/>
    <x v="731"/>
    <n v="6.35"/>
    <n v="8.85"/>
    <n v="16.16"/>
    <n v="29"/>
    <x v="0"/>
    <x v="2"/>
    <x v="0"/>
  </r>
  <r>
    <x v="0"/>
    <x v="8"/>
    <x v="3"/>
    <x v="8"/>
    <x v="107"/>
    <n v="185"/>
    <n v="53"/>
    <x v="732"/>
    <n v="13.67"/>
    <n v="34.06"/>
    <n v="18.59"/>
    <n v="37"/>
    <x v="1"/>
    <x v="3"/>
    <x v="3"/>
  </r>
  <r>
    <x v="1"/>
    <x v="10"/>
    <x v="1"/>
    <x v="16"/>
    <x v="363"/>
    <n v="214"/>
    <n v="186"/>
    <x v="733"/>
    <n v="23.62"/>
    <n v="3.56"/>
    <n v="8.14"/>
    <n v="247"/>
    <x v="2"/>
    <x v="1"/>
    <x v="1"/>
  </r>
  <r>
    <x v="1"/>
    <x v="0"/>
    <x v="3"/>
    <x v="12"/>
    <x v="167"/>
    <n v="242"/>
    <n v="177"/>
    <x v="734"/>
    <n v="84.08"/>
    <n v="30.88"/>
    <n v="5.39"/>
    <n v="160"/>
    <x v="1"/>
    <x v="2"/>
    <x v="1"/>
  </r>
  <r>
    <x v="0"/>
    <x v="2"/>
    <x v="2"/>
    <x v="15"/>
    <x v="320"/>
    <n v="309"/>
    <n v="184"/>
    <x v="735"/>
    <n v="79.67"/>
    <n v="54.12"/>
    <n v="15.35"/>
    <n v="147"/>
    <x v="2"/>
    <x v="0"/>
    <x v="2"/>
  </r>
  <r>
    <x v="0"/>
    <x v="0"/>
    <x v="0"/>
    <x v="14"/>
    <x v="128"/>
    <n v="476"/>
    <n v="46"/>
    <x v="736"/>
    <n v="16.559999999999999"/>
    <n v="154.80000000000001"/>
    <n v="13.77"/>
    <n v="148"/>
    <x v="1"/>
    <x v="2"/>
    <x v="1"/>
  </r>
  <r>
    <x v="2"/>
    <x v="3"/>
    <x v="2"/>
    <x v="2"/>
    <x v="364"/>
    <n v="224"/>
    <n v="141"/>
    <x v="737"/>
    <n v="23.27"/>
    <n v="13.7"/>
    <n v="-7.66"/>
    <n v="194"/>
    <x v="0"/>
    <x v="3"/>
    <x v="0"/>
  </r>
  <r>
    <x v="0"/>
    <x v="7"/>
    <x v="1"/>
    <x v="1"/>
    <x v="117"/>
    <n v="342"/>
    <n v="190"/>
    <x v="738"/>
    <n v="91.39"/>
    <n v="73.11"/>
    <n v="1.89"/>
    <n v="127"/>
    <x v="2"/>
    <x v="2"/>
    <x v="2"/>
  </r>
  <r>
    <x v="2"/>
    <x v="7"/>
    <x v="4"/>
    <x v="6"/>
    <x v="120"/>
    <n v="351"/>
    <n v="278"/>
    <x v="739"/>
    <n v="137.88999999999999"/>
    <n v="36.21"/>
    <n v="-2.96"/>
    <n v="167"/>
    <x v="2"/>
    <x v="3"/>
    <x v="0"/>
  </r>
  <r>
    <x v="0"/>
    <x v="1"/>
    <x v="2"/>
    <x v="15"/>
    <x v="243"/>
    <n v="156"/>
    <n v="134"/>
    <x v="740"/>
    <n v="10.45"/>
    <n v="1.72"/>
    <n v="-5.49"/>
    <n v="121"/>
    <x v="1"/>
    <x v="3"/>
    <x v="2"/>
  </r>
  <r>
    <x v="2"/>
    <x v="9"/>
    <x v="0"/>
    <x v="14"/>
    <x v="365"/>
    <n v="66"/>
    <n v="51"/>
    <x v="741"/>
    <n v="21.57"/>
    <n v="6.34"/>
    <n v="0.27"/>
    <n v="72"/>
    <x v="0"/>
    <x v="1"/>
    <x v="1"/>
  </r>
  <r>
    <x v="1"/>
    <x v="4"/>
    <x v="4"/>
    <x v="5"/>
    <x v="222"/>
    <n v="324"/>
    <n v="222"/>
    <x v="742"/>
    <n v="27.08"/>
    <n v="12.44"/>
    <n v="-5.09"/>
    <n v="115"/>
    <x v="1"/>
    <x v="1"/>
    <x v="3"/>
  </r>
  <r>
    <x v="1"/>
    <x v="9"/>
    <x v="2"/>
    <x v="15"/>
    <x v="359"/>
    <n v="348"/>
    <n v="125"/>
    <x v="743"/>
    <n v="44.25"/>
    <n v="78.94"/>
    <n v="6.22"/>
    <n v="183"/>
    <x v="1"/>
    <x v="0"/>
    <x v="1"/>
  </r>
  <r>
    <x v="0"/>
    <x v="6"/>
    <x v="0"/>
    <x v="0"/>
    <x v="366"/>
    <n v="394"/>
    <n v="342"/>
    <x v="744"/>
    <n v="156.63999999999999"/>
    <n v="23.82"/>
    <n v="-4.62"/>
    <n v="40"/>
    <x v="2"/>
    <x v="0"/>
    <x v="3"/>
  </r>
  <r>
    <x v="0"/>
    <x v="2"/>
    <x v="2"/>
    <x v="15"/>
    <x v="364"/>
    <n v="70"/>
    <n v="38"/>
    <x v="745"/>
    <n v="6.27"/>
    <n v="5.28"/>
    <n v="9.56"/>
    <n v="269"/>
    <x v="1"/>
    <x v="2"/>
    <x v="2"/>
  </r>
  <r>
    <x v="2"/>
    <x v="0"/>
    <x v="1"/>
    <x v="16"/>
    <x v="367"/>
    <n v="133"/>
    <n v="69"/>
    <x v="746"/>
    <n v="18.91"/>
    <n v="17.54"/>
    <n v="22.72"/>
    <n v="82"/>
    <x v="0"/>
    <x v="1"/>
    <x v="0"/>
  </r>
  <r>
    <x v="0"/>
    <x v="10"/>
    <x v="2"/>
    <x v="15"/>
    <x v="67"/>
    <n v="126"/>
    <n v="78"/>
    <x v="747"/>
    <n v="35.49"/>
    <n v="21.84"/>
    <n v="-6.11"/>
    <n v="132"/>
    <x v="1"/>
    <x v="2"/>
    <x v="2"/>
  </r>
  <r>
    <x v="1"/>
    <x v="9"/>
    <x v="0"/>
    <x v="0"/>
    <x v="218"/>
    <n v="174"/>
    <n v="128"/>
    <x v="748"/>
    <n v="57.09"/>
    <n v="20.52"/>
    <n v="16.93"/>
    <n v="52"/>
    <x v="2"/>
    <x v="3"/>
    <x v="3"/>
  </r>
  <r>
    <x v="2"/>
    <x v="7"/>
    <x v="3"/>
    <x v="12"/>
    <x v="107"/>
    <n v="339"/>
    <n v="58"/>
    <x v="749"/>
    <n v="14.96"/>
    <n v="72.5"/>
    <n v="19.71"/>
    <n v="216"/>
    <x v="1"/>
    <x v="2"/>
    <x v="2"/>
  </r>
  <r>
    <x v="2"/>
    <x v="11"/>
    <x v="1"/>
    <x v="11"/>
    <x v="123"/>
    <n v="246"/>
    <n v="137"/>
    <x v="750"/>
    <n v="43.98"/>
    <n v="34.99"/>
    <n v="-1.01"/>
    <n v="298"/>
    <x v="2"/>
    <x v="1"/>
    <x v="0"/>
  </r>
  <r>
    <x v="0"/>
    <x v="7"/>
    <x v="0"/>
    <x v="3"/>
    <x v="96"/>
    <n v="448"/>
    <n v="331"/>
    <x v="751"/>
    <n v="148.94999999999999"/>
    <n v="52.65"/>
    <n v="9.75"/>
    <n v="244"/>
    <x v="2"/>
    <x v="0"/>
    <x v="3"/>
  </r>
  <r>
    <x v="0"/>
    <x v="2"/>
    <x v="0"/>
    <x v="14"/>
    <x v="327"/>
    <n v="61"/>
    <n v="45"/>
    <x v="752"/>
    <n v="11.43"/>
    <n v="4.0599999999999996"/>
    <n v="-8.0399999999999991"/>
    <n v="246"/>
    <x v="2"/>
    <x v="2"/>
    <x v="3"/>
  </r>
  <r>
    <x v="2"/>
    <x v="10"/>
    <x v="4"/>
    <x v="5"/>
    <x v="107"/>
    <n v="220"/>
    <n v="189"/>
    <x v="753"/>
    <n v="48.76"/>
    <n v="8"/>
    <n v="22.57"/>
    <n v="248"/>
    <x v="0"/>
    <x v="3"/>
    <x v="0"/>
  </r>
  <r>
    <x v="2"/>
    <x v="11"/>
    <x v="1"/>
    <x v="16"/>
    <x v="347"/>
    <n v="61"/>
    <n v="30"/>
    <x v="754"/>
    <n v="5.16"/>
    <n v="5.33"/>
    <n v="2.94"/>
    <n v="211"/>
    <x v="0"/>
    <x v="0"/>
    <x v="3"/>
  </r>
  <r>
    <x v="0"/>
    <x v="0"/>
    <x v="2"/>
    <x v="2"/>
    <x v="322"/>
    <n v="92"/>
    <n v="74"/>
    <x v="755"/>
    <n v="5.18"/>
    <n v="1.26"/>
    <n v="0.75"/>
    <n v="279"/>
    <x v="2"/>
    <x v="1"/>
    <x v="2"/>
  </r>
  <r>
    <x v="0"/>
    <x v="8"/>
    <x v="1"/>
    <x v="11"/>
    <x v="80"/>
    <n v="352"/>
    <n v="96"/>
    <x v="756"/>
    <n v="32.74"/>
    <n v="87.3"/>
    <n v="-6.39"/>
    <n v="65"/>
    <x v="0"/>
    <x v="0"/>
    <x v="3"/>
  </r>
  <r>
    <x v="0"/>
    <x v="5"/>
    <x v="1"/>
    <x v="16"/>
    <x v="122"/>
    <n v="404"/>
    <n v="69"/>
    <x v="757"/>
    <n v="33.049999999999997"/>
    <n v="160.46"/>
    <n v="8.1300000000000008"/>
    <n v="265"/>
    <x v="1"/>
    <x v="3"/>
    <x v="2"/>
  </r>
  <r>
    <x v="1"/>
    <x v="11"/>
    <x v="1"/>
    <x v="11"/>
    <x v="339"/>
    <n v="220"/>
    <n v="193"/>
    <x v="758"/>
    <n v="29.72"/>
    <n v="4.16"/>
    <n v="-6.31"/>
    <n v="172"/>
    <x v="0"/>
    <x v="2"/>
    <x v="0"/>
  </r>
  <r>
    <x v="0"/>
    <x v="9"/>
    <x v="0"/>
    <x v="14"/>
    <x v="240"/>
    <n v="480"/>
    <n v="48"/>
    <x v="759"/>
    <n v="12.67"/>
    <n v="114.05"/>
    <n v="5.26"/>
    <n v="229"/>
    <x v="2"/>
    <x v="3"/>
    <x v="0"/>
  </r>
  <r>
    <x v="2"/>
    <x v="9"/>
    <x v="3"/>
    <x v="9"/>
    <x v="35"/>
    <n v="182"/>
    <n v="151"/>
    <x v="760"/>
    <n v="40.770000000000003"/>
    <n v="8.3699999999999992"/>
    <n v="-0.5"/>
    <n v="195"/>
    <x v="0"/>
    <x v="3"/>
    <x v="2"/>
  </r>
  <r>
    <x v="0"/>
    <x v="3"/>
    <x v="1"/>
    <x v="13"/>
    <x v="368"/>
    <n v="279"/>
    <n v="78"/>
    <x v="761"/>
    <n v="26.83"/>
    <n v="69.14"/>
    <n v="7.69"/>
    <n v="76"/>
    <x v="1"/>
    <x v="2"/>
    <x v="2"/>
  </r>
  <r>
    <x v="1"/>
    <x v="0"/>
    <x v="0"/>
    <x v="14"/>
    <x v="63"/>
    <n v="211"/>
    <n v="45"/>
    <x v="762"/>
    <n v="14.4"/>
    <n v="53.12"/>
    <n v="7.56"/>
    <n v="46"/>
    <x v="0"/>
    <x v="0"/>
    <x v="0"/>
  </r>
  <r>
    <x v="2"/>
    <x v="0"/>
    <x v="4"/>
    <x v="5"/>
    <x v="41"/>
    <n v="277"/>
    <n v="165"/>
    <x v="763"/>
    <n v="13.37"/>
    <n v="9.07"/>
    <n v="-5.22"/>
    <n v="112"/>
    <x v="1"/>
    <x v="1"/>
    <x v="2"/>
  </r>
  <r>
    <x v="0"/>
    <x v="6"/>
    <x v="2"/>
    <x v="2"/>
    <x v="129"/>
    <n v="369"/>
    <n v="281"/>
    <x v="764"/>
    <n v="49.74"/>
    <n v="15.58"/>
    <n v="5.48"/>
    <n v="87"/>
    <x v="1"/>
    <x v="3"/>
    <x v="0"/>
  </r>
  <r>
    <x v="2"/>
    <x v="1"/>
    <x v="4"/>
    <x v="7"/>
    <x v="29"/>
    <n v="223"/>
    <n v="30"/>
    <x v="765"/>
    <n v="9.36"/>
    <n v="60.22"/>
    <n v="8.5299999999999994"/>
    <n v="189"/>
    <x v="2"/>
    <x v="1"/>
    <x v="0"/>
  </r>
  <r>
    <x v="2"/>
    <x v="10"/>
    <x v="4"/>
    <x v="7"/>
    <x v="340"/>
    <n v="124"/>
    <n v="99"/>
    <x v="766"/>
    <n v="9.11"/>
    <n v="2.2999999999999998"/>
    <n v="4.18"/>
    <n v="284"/>
    <x v="1"/>
    <x v="0"/>
    <x v="0"/>
  </r>
  <r>
    <x v="2"/>
    <x v="1"/>
    <x v="1"/>
    <x v="16"/>
    <x v="166"/>
    <n v="66"/>
    <n v="30"/>
    <x v="767"/>
    <n v="13.26"/>
    <n v="15.91"/>
    <n v="20.84"/>
    <n v="184"/>
    <x v="1"/>
    <x v="2"/>
    <x v="3"/>
  </r>
  <r>
    <x v="0"/>
    <x v="8"/>
    <x v="2"/>
    <x v="10"/>
    <x v="137"/>
    <n v="419"/>
    <n v="319"/>
    <x v="173"/>
    <n v="53.91"/>
    <n v="16.899999999999999"/>
    <n v="8.77"/>
    <n v="185"/>
    <x v="1"/>
    <x v="2"/>
    <x v="2"/>
  </r>
  <r>
    <x v="1"/>
    <x v="1"/>
    <x v="1"/>
    <x v="11"/>
    <x v="15"/>
    <n v="486"/>
    <n v="290"/>
    <x v="768"/>
    <n v="96.86"/>
    <n v="65.459999999999994"/>
    <n v="24.12"/>
    <n v="100"/>
    <x v="2"/>
    <x v="1"/>
    <x v="2"/>
  </r>
  <r>
    <x v="1"/>
    <x v="8"/>
    <x v="3"/>
    <x v="9"/>
    <x v="50"/>
    <n v="315"/>
    <n v="149"/>
    <x v="769"/>
    <n v="36.06"/>
    <n v="40.17"/>
    <n v="-0.37"/>
    <n v="245"/>
    <x v="1"/>
    <x v="3"/>
    <x v="1"/>
  </r>
  <r>
    <x v="1"/>
    <x v="2"/>
    <x v="3"/>
    <x v="9"/>
    <x v="120"/>
    <n v="101"/>
    <n v="53"/>
    <x v="770"/>
    <n v="26.29"/>
    <n v="23.81"/>
    <n v="17.54"/>
    <n v="47"/>
    <x v="2"/>
    <x v="1"/>
    <x v="3"/>
  </r>
  <r>
    <x v="0"/>
    <x v="11"/>
    <x v="1"/>
    <x v="11"/>
    <x v="48"/>
    <n v="385"/>
    <n v="328"/>
    <x v="403"/>
    <n v="94.46"/>
    <n v="16.420000000000002"/>
    <n v="22.01"/>
    <n v="122"/>
    <x v="2"/>
    <x v="3"/>
    <x v="3"/>
  </r>
  <r>
    <x v="2"/>
    <x v="9"/>
    <x v="0"/>
    <x v="14"/>
    <x v="4"/>
    <n v="350"/>
    <n v="218"/>
    <x v="771"/>
    <n v="88.07"/>
    <n v="53.33"/>
    <n v="14.23"/>
    <n v="166"/>
    <x v="2"/>
    <x v="2"/>
    <x v="0"/>
  </r>
  <r>
    <x v="0"/>
    <x v="9"/>
    <x v="2"/>
    <x v="10"/>
    <x v="269"/>
    <n v="183"/>
    <n v="148"/>
    <x v="772"/>
    <n v="61.27"/>
    <n v="14.49"/>
    <n v="0.46"/>
    <n v="299"/>
    <x v="1"/>
    <x v="0"/>
    <x v="2"/>
  </r>
  <r>
    <x v="1"/>
    <x v="1"/>
    <x v="2"/>
    <x v="2"/>
    <x v="208"/>
    <n v="341"/>
    <n v="36"/>
    <x v="773"/>
    <n v="11.48"/>
    <n v="97.3"/>
    <n v="12.28"/>
    <n v="37"/>
    <x v="2"/>
    <x v="0"/>
    <x v="2"/>
  </r>
  <r>
    <x v="2"/>
    <x v="11"/>
    <x v="0"/>
    <x v="0"/>
    <x v="139"/>
    <n v="387"/>
    <n v="216"/>
    <x v="774"/>
    <n v="76.03"/>
    <n v="60.19"/>
    <n v="6.55"/>
    <n v="126"/>
    <x v="2"/>
    <x v="1"/>
    <x v="3"/>
  </r>
  <r>
    <x v="0"/>
    <x v="1"/>
    <x v="3"/>
    <x v="8"/>
    <x v="288"/>
    <n v="97"/>
    <n v="42"/>
    <x v="775"/>
    <n v="5.88"/>
    <n v="7.7"/>
    <n v="17.920000000000002"/>
    <n v="263"/>
    <x v="2"/>
    <x v="2"/>
    <x v="3"/>
  </r>
  <r>
    <x v="2"/>
    <x v="10"/>
    <x v="3"/>
    <x v="9"/>
    <x v="92"/>
    <n v="416"/>
    <n v="193"/>
    <x v="776"/>
    <n v="38.6"/>
    <n v="44.6"/>
    <n v="4.22"/>
    <n v="147"/>
    <x v="1"/>
    <x v="3"/>
    <x v="3"/>
  </r>
  <r>
    <x v="2"/>
    <x v="3"/>
    <x v="1"/>
    <x v="13"/>
    <x v="369"/>
    <n v="84"/>
    <n v="39"/>
    <x v="777"/>
    <n v="6.16"/>
    <n v="7.11"/>
    <n v="-7.31"/>
    <n v="264"/>
    <x v="0"/>
    <x v="2"/>
    <x v="2"/>
  </r>
  <r>
    <x v="2"/>
    <x v="0"/>
    <x v="4"/>
    <x v="7"/>
    <x v="290"/>
    <n v="291"/>
    <n v="74"/>
    <x v="778"/>
    <n v="34.26"/>
    <n v="100.47"/>
    <n v="19.350000000000001"/>
    <n v="219"/>
    <x v="0"/>
    <x v="0"/>
    <x v="1"/>
  </r>
  <r>
    <x v="1"/>
    <x v="11"/>
    <x v="4"/>
    <x v="6"/>
    <x v="148"/>
    <n v="337"/>
    <n v="196"/>
    <x v="779"/>
    <n v="69.58"/>
    <n v="50.06"/>
    <n v="19.940000000000001"/>
    <n v="234"/>
    <x v="2"/>
    <x v="1"/>
    <x v="3"/>
  </r>
  <r>
    <x v="1"/>
    <x v="9"/>
    <x v="2"/>
    <x v="10"/>
    <x v="194"/>
    <n v="419"/>
    <n v="47"/>
    <x v="612"/>
    <n v="3.15"/>
    <n v="24.92"/>
    <n v="7.65"/>
    <n v="285"/>
    <x v="0"/>
    <x v="1"/>
    <x v="0"/>
  </r>
  <r>
    <x v="0"/>
    <x v="4"/>
    <x v="4"/>
    <x v="6"/>
    <x v="370"/>
    <n v="291"/>
    <n v="87"/>
    <x v="780"/>
    <n v="4.87"/>
    <n v="11.42"/>
    <n v="10.42"/>
    <n v="164"/>
    <x v="0"/>
    <x v="1"/>
    <x v="1"/>
  </r>
  <r>
    <x v="0"/>
    <x v="10"/>
    <x v="2"/>
    <x v="15"/>
    <x v="193"/>
    <n v="250"/>
    <n v="133"/>
    <x v="781"/>
    <n v="28.33"/>
    <n v="24.92"/>
    <n v="19.48"/>
    <n v="152"/>
    <x v="2"/>
    <x v="3"/>
    <x v="3"/>
  </r>
  <r>
    <x v="1"/>
    <x v="11"/>
    <x v="3"/>
    <x v="4"/>
    <x v="359"/>
    <n v="313"/>
    <n v="287"/>
    <x v="782"/>
    <n v="101.6"/>
    <n v="9.1999999999999993"/>
    <n v="8.2899999999999991"/>
    <n v="234"/>
    <x v="1"/>
    <x v="0"/>
    <x v="1"/>
  </r>
  <r>
    <x v="2"/>
    <x v="0"/>
    <x v="2"/>
    <x v="15"/>
    <x v="270"/>
    <n v="128"/>
    <n v="50"/>
    <x v="783"/>
    <n v="12.5"/>
    <n v="19.5"/>
    <n v="13.6"/>
    <n v="230"/>
    <x v="2"/>
    <x v="3"/>
    <x v="2"/>
  </r>
  <r>
    <x v="0"/>
    <x v="9"/>
    <x v="1"/>
    <x v="13"/>
    <x v="347"/>
    <n v="459"/>
    <n v="219"/>
    <x v="784"/>
    <n v="37.67"/>
    <n v="41.28"/>
    <n v="0.17"/>
    <n v="43"/>
    <x v="2"/>
    <x v="3"/>
    <x v="2"/>
  </r>
  <r>
    <x v="2"/>
    <x v="0"/>
    <x v="3"/>
    <x v="8"/>
    <x v="335"/>
    <n v="59"/>
    <n v="44"/>
    <x v="592"/>
    <n v="11.44"/>
    <n v="3.9"/>
    <n v="14.89"/>
    <n v="49"/>
    <x v="2"/>
    <x v="0"/>
    <x v="1"/>
  </r>
  <r>
    <x v="2"/>
    <x v="9"/>
    <x v="4"/>
    <x v="5"/>
    <x v="196"/>
    <n v="57"/>
    <n v="31"/>
    <x v="785"/>
    <n v="2.63"/>
    <n v="2.21"/>
    <n v="6.07"/>
    <n v="223"/>
    <x v="0"/>
    <x v="2"/>
    <x v="0"/>
  </r>
  <r>
    <x v="1"/>
    <x v="7"/>
    <x v="2"/>
    <x v="15"/>
    <x v="197"/>
    <n v="186"/>
    <n v="134"/>
    <x v="786"/>
    <n v="52.53"/>
    <n v="20.38"/>
    <n v="-2.82"/>
    <n v="22"/>
    <x v="1"/>
    <x v="3"/>
    <x v="3"/>
  </r>
  <r>
    <x v="0"/>
    <x v="9"/>
    <x v="1"/>
    <x v="13"/>
    <x v="192"/>
    <n v="463"/>
    <n v="276"/>
    <x v="787"/>
    <n v="52.99"/>
    <n v="35.9"/>
    <n v="0.66"/>
    <n v="198"/>
    <x v="0"/>
    <x v="1"/>
    <x v="2"/>
  </r>
  <r>
    <x v="0"/>
    <x v="2"/>
    <x v="1"/>
    <x v="1"/>
    <x v="182"/>
    <n v="456"/>
    <n v="75"/>
    <x v="788"/>
    <n v="27.45"/>
    <n v="139.44999999999999"/>
    <n v="3.65"/>
    <n v="245"/>
    <x v="2"/>
    <x v="0"/>
    <x v="1"/>
  </r>
  <r>
    <x v="1"/>
    <x v="4"/>
    <x v="3"/>
    <x v="8"/>
    <x v="71"/>
    <n v="287"/>
    <n v="120"/>
    <x v="789"/>
    <n v="15.12"/>
    <n v="21.04"/>
    <n v="-4.49"/>
    <n v="85"/>
    <x v="0"/>
    <x v="3"/>
    <x v="1"/>
  </r>
  <r>
    <x v="2"/>
    <x v="2"/>
    <x v="2"/>
    <x v="2"/>
    <x v="82"/>
    <n v="283"/>
    <n v="166"/>
    <x v="790"/>
    <n v="80.010000000000005"/>
    <n v="56.39"/>
    <n v="7.19"/>
    <n v="186"/>
    <x v="0"/>
    <x v="1"/>
    <x v="3"/>
  </r>
  <r>
    <x v="0"/>
    <x v="6"/>
    <x v="1"/>
    <x v="16"/>
    <x v="148"/>
    <n v="350"/>
    <n v="57"/>
    <x v="791"/>
    <n v="20.23"/>
    <n v="104.02"/>
    <n v="-1.77"/>
    <n v="268"/>
    <x v="0"/>
    <x v="0"/>
    <x v="1"/>
  </r>
  <r>
    <x v="1"/>
    <x v="5"/>
    <x v="1"/>
    <x v="1"/>
    <x v="186"/>
    <n v="304"/>
    <n v="238"/>
    <x v="92"/>
    <n v="30.7"/>
    <n v="8.51"/>
    <n v="-7.86"/>
    <n v="30"/>
    <x v="1"/>
    <x v="1"/>
    <x v="3"/>
  </r>
  <r>
    <x v="0"/>
    <x v="3"/>
    <x v="4"/>
    <x v="7"/>
    <x v="58"/>
    <n v="140"/>
    <n v="112"/>
    <x v="792"/>
    <n v="31.02"/>
    <n v="7.76"/>
    <n v="0.95"/>
    <n v="88"/>
    <x v="0"/>
    <x v="2"/>
    <x v="0"/>
  </r>
  <r>
    <x v="2"/>
    <x v="0"/>
    <x v="3"/>
    <x v="9"/>
    <x v="371"/>
    <n v="499"/>
    <n v="319"/>
    <x v="793"/>
    <n v="142.91"/>
    <n v="80.64"/>
    <n v="13.57"/>
    <n v="169"/>
    <x v="1"/>
    <x v="1"/>
    <x v="0"/>
  </r>
  <r>
    <x v="0"/>
    <x v="3"/>
    <x v="2"/>
    <x v="2"/>
    <x v="0"/>
    <n v="446"/>
    <n v="126"/>
    <x v="794"/>
    <n v="6.43"/>
    <n v="16.32"/>
    <n v="3.78"/>
    <n v="228"/>
    <x v="2"/>
    <x v="2"/>
    <x v="0"/>
  </r>
  <r>
    <x v="0"/>
    <x v="8"/>
    <x v="4"/>
    <x v="7"/>
    <x v="234"/>
    <n v="293"/>
    <n v="257"/>
    <x v="795"/>
    <n v="28.78"/>
    <n v="4.03"/>
    <n v="4.16"/>
    <n v="259"/>
    <x v="0"/>
    <x v="3"/>
    <x v="3"/>
  </r>
  <r>
    <x v="1"/>
    <x v="11"/>
    <x v="0"/>
    <x v="14"/>
    <x v="171"/>
    <n v="309"/>
    <n v="183"/>
    <x v="796"/>
    <n v="29.28"/>
    <n v="20.16"/>
    <n v="10.39"/>
    <n v="285"/>
    <x v="2"/>
    <x v="0"/>
    <x v="1"/>
  </r>
  <r>
    <x v="0"/>
    <x v="1"/>
    <x v="1"/>
    <x v="16"/>
    <x v="372"/>
    <n v="258"/>
    <n v="227"/>
    <x v="797"/>
    <n v="17.25"/>
    <n v="2.36"/>
    <n v="12.49"/>
    <n v="208"/>
    <x v="0"/>
    <x v="0"/>
    <x v="3"/>
  </r>
  <r>
    <x v="0"/>
    <x v="4"/>
    <x v="4"/>
    <x v="5"/>
    <x v="230"/>
    <n v="79"/>
    <n v="36"/>
    <x v="798"/>
    <n v="11.7"/>
    <n v="13.98"/>
    <n v="2.1800000000000002"/>
    <n v="127"/>
    <x v="0"/>
    <x v="2"/>
    <x v="1"/>
  </r>
  <r>
    <x v="0"/>
    <x v="1"/>
    <x v="2"/>
    <x v="15"/>
    <x v="163"/>
    <n v="93"/>
    <n v="52"/>
    <x v="799"/>
    <n v="5.04"/>
    <n v="3.98"/>
    <n v="8.18"/>
    <n v="101"/>
    <x v="1"/>
    <x v="0"/>
    <x v="3"/>
  </r>
  <r>
    <x v="2"/>
    <x v="7"/>
    <x v="2"/>
    <x v="10"/>
    <x v="373"/>
    <n v="84"/>
    <n v="38"/>
    <x v="800"/>
    <n v="8.25"/>
    <n v="9.98"/>
    <n v="10.039999999999999"/>
    <n v="164"/>
    <x v="1"/>
    <x v="2"/>
    <x v="3"/>
  </r>
  <r>
    <x v="2"/>
    <x v="11"/>
    <x v="3"/>
    <x v="9"/>
    <x v="315"/>
    <n v="281"/>
    <n v="185"/>
    <x v="801"/>
    <n v="22.94"/>
    <n v="11.9"/>
    <n v="20.13"/>
    <n v="220"/>
    <x v="1"/>
    <x v="3"/>
    <x v="2"/>
  </r>
  <r>
    <x v="1"/>
    <x v="5"/>
    <x v="3"/>
    <x v="8"/>
    <x v="153"/>
    <n v="192"/>
    <n v="165"/>
    <x v="802"/>
    <n v="24.42"/>
    <n v="4"/>
    <n v="4.88"/>
    <n v="37"/>
    <x v="1"/>
    <x v="0"/>
    <x v="2"/>
  </r>
  <r>
    <x v="1"/>
    <x v="10"/>
    <x v="4"/>
    <x v="5"/>
    <x v="193"/>
    <n v="396"/>
    <n v="256"/>
    <x v="803"/>
    <n v="54.53"/>
    <n v="29.82"/>
    <n v="19.440000000000001"/>
    <n v="260"/>
    <x v="0"/>
    <x v="0"/>
    <x v="3"/>
  </r>
  <r>
    <x v="0"/>
    <x v="9"/>
    <x v="0"/>
    <x v="0"/>
    <x v="183"/>
    <n v="236"/>
    <n v="187"/>
    <x v="804"/>
    <n v="33.47"/>
    <n v="8.77"/>
    <n v="7.67"/>
    <n v="162"/>
    <x v="2"/>
    <x v="3"/>
    <x v="1"/>
  </r>
  <r>
    <x v="2"/>
    <x v="0"/>
    <x v="1"/>
    <x v="13"/>
    <x v="309"/>
    <n v="461"/>
    <n v="401"/>
    <x v="805"/>
    <n v="141.55000000000001"/>
    <n v="21.18"/>
    <n v="1.3"/>
    <n v="167"/>
    <x v="1"/>
    <x v="3"/>
    <x v="3"/>
  </r>
  <r>
    <x v="2"/>
    <x v="1"/>
    <x v="2"/>
    <x v="15"/>
    <x v="321"/>
    <n v="284"/>
    <n v="168"/>
    <x v="806"/>
    <n v="42.84"/>
    <n v="29.58"/>
    <n v="11.94"/>
    <n v="133"/>
    <x v="0"/>
    <x v="3"/>
    <x v="3"/>
  </r>
  <r>
    <x v="1"/>
    <x v="9"/>
    <x v="1"/>
    <x v="11"/>
    <x v="316"/>
    <n v="430"/>
    <n v="62"/>
    <x v="807"/>
    <n v="27.84"/>
    <n v="165.23"/>
    <n v="0.87"/>
    <n v="155"/>
    <x v="1"/>
    <x v="3"/>
    <x v="3"/>
  </r>
  <r>
    <x v="2"/>
    <x v="4"/>
    <x v="0"/>
    <x v="3"/>
    <x v="128"/>
    <n v="247"/>
    <n v="73"/>
    <x v="808"/>
    <n v="26.28"/>
    <n v="62.64"/>
    <n v="14.17"/>
    <n v="64"/>
    <x v="0"/>
    <x v="2"/>
    <x v="2"/>
  </r>
  <r>
    <x v="1"/>
    <x v="2"/>
    <x v="2"/>
    <x v="10"/>
    <x v="46"/>
    <n v="429"/>
    <n v="115"/>
    <x v="809"/>
    <n v="8.51"/>
    <n v="23.24"/>
    <n v="22.7"/>
    <n v="284"/>
    <x v="2"/>
    <x v="2"/>
    <x v="1"/>
  </r>
  <r>
    <x v="2"/>
    <x v="9"/>
    <x v="1"/>
    <x v="11"/>
    <x v="178"/>
    <n v="174"/>
    <n v="41"/>
    <x v="810"/>
    <n v="8.16"/>
    <n v="26.47"/>
    <n v="22.87"/>
    <n v="24"/>
    <x v="2"/>
    <x v="2"/>
    <x v="0"/>
  </r>
  <r>
    <x v="0"/>
    <x v="2"/>
    <x v="0"/>
    <x v="0"/>
    <x v="374"/>
    <n v="430"/>
    <n v="222"/>
    <x v="811"/>
    <n v="45.07"/>
    <n v="42.22"/>
    <n v="-0.04"/>
    <n v="135"/>
    <x v="1"/>
    <x v="0"/>
    <x v="0"/>
  </r>
  <r>
    <x v="1"/>
    <x v="9"/>
    <x v="4"/>
    <x v="5"/>
    <x v="375"/>
    <n v="422"/>
    <n v="117"/>
    <x v="812"/>
    <n v="53.94"/>
    <n v="140.61000000000001"/>
    <n v="-1"/>
    <n v="256"/>
    <x v="0"/>
    <x v="2"/>
    <x v="0"/>
  </r>
  <r>
    <x v="0"/>
    <x v="8"/>
    <x v="4"/>
    <x v="7"/>
    <x v="290"/>
    <n v="57"/>
    <n v="37"/>
    <x v="813"/>
    <n v="17.13"/>
    <n v="9.26"/>
    <n v="-2.4700000000000002"/>
    <n v="257"/>
    <x v="0"/>
    <x v="1"/>
    <x v="2"/>
  </r>
  <r>
    <x v="2"/>
    <x v="4"/>
    <x v="0"/>
    <x v="0"/>
    <x v="44"/>
    <n v="469"/>
    <n v="93"/>
    <x v="814"/>
    <n v="20.09"/>
    <n v="81.22"/>
    <n v="-4.2"/>
    <n v="191"/>
    <x v="0"/>
    <x v="2"/>
    <x v="2"/>
  </r>
  <r>
    <x v="2"/>
    <x v="0"/>
    <x v="0"/>
    <x v="3"/>
    <x v="135"/>
    <n v="460"/>
    <n v="333"/>
    <x v="815"/>
    <n v="148.19"/>
    <n v="56.51"/>
    <n v="15.39"/>
    <n v="52"/>
    <x v="2"/>
    <x v="3"/>
    <x v="3"/>
  </r>
  <r>
    <x v="2"/>
    <x v="1"/>
    <x v="0"/>
    <x v="0"/>
    <x v="109"/>
    <n v="397"/>
    <n v="316"/>
    <x v="816"/>
    <n v="74.58"/>
    <n v="19.12"/>
    <n v="6.46"/>
    <n v="198"/>
    <x v="2"/>
    <x v="3"/>
    <x v="2"/>
  </r>
  <r>
    <x v="0"/>
    <x v="3"/>
    <x v="2"/>
    <x v="10"/>
    <x v="149"/>
    <n v="410"/>
    <n v="276"/>
    <x v="106"/>
    <n v="35.33"/>
    <n v="17.149999999999999"/>
    <n v="-5.68"/>
    <n v="128"/>
    <x v="1"/>
    <x v="1"/>
    <x v="3"/>
  </r>
  <r>
    <x v="0"/>
    <x v="4"/>
    <x v="3"/>
    <x v="4"/>
    <x v="366"/>
    <n v="102"/>
    <n v="54"/>
    <x v="185"/>
    <n v="24.73"/>
    <n v="21.98"/>
    <n v="-2.67"/>
    <n v="92"/>
    <x v="1"/>
    <x v="3"/>
    <x v="2"/>
  </r>
  <r>
    <x v="1"/>
    <x v="5"/>
    <x v="0"/>
    <x v="14"/>
    <x v="309"/>
    <n v="423"/>
    <n v="350"/>
    <x v="817"/>
    <n v="123.55"/>
    <n v="25.77"/>
    <n v="3.1"/>
    <n v="110"/>
    <x v="2"/>
    <x v="2"/>
    <x v="0"/>
  </r>
  <r>
    <x v="2"/>
    <x v="0"/>
    <x v="3"/>
    <x v="9"/>
    <x v="190"/>
    <n v="250"/>
    <n v="193"/>
    <x v="818"/>
    <n v="56.16"/>
    <n v="16.59"/>
    <n v="4.29"/>
    <n v="51"/>
    <x v="2"/>
    <x v="0"/>
    <x v="3"/>
  </r>
  <r>
    <x v="1"/>
    <x v="0"/>
    <x v="2"/>
    <x v="2"/>
    <x v="376"/>
    <n v="73"/>
    <n v="45"/>
    <x v="819"/>
    <n v="10.08"/>
    <n v="6.27"/>
    <n v="-0.51"/>
    <n v="171"/>
    <x v="0"/>
    <x v="1"/>
    <x v="3"/>
  </r>
  <r>
    <x v="2"/>
    <x v="1"/>
    <x v="0"/>
    <x v="14"/>
    <x v="36"/>
    <n v="303"/>
    <n v="236"/>
    <x v="820"/>
    <n v="68.2"/>
    <n v="19.36"/>
    <n v="17.45"/>
    <n v="152"/>
    <x v="1"/>
    <x v="0"/>
    <x v="1"/>
  </r>
  <r>
    <x v="1"/>
    <x v="10"/>
    <x v="1"/>
    <x v="13"/>
    <x v="182"/>
    <n v="168"/>
    <n v="92"/>
    <x v="821"/>
    <n v="33.67"/>
    <n v="27.82"/>
    <n v="7.14"/>
    <n v="205"/>
    <x v="2"/>
    <x v="0"/>
    <x v="1"/>
  </r>
  <r>
    <x v="1"/>
    <x v="10"/>
    <x v="0"/>
    <x v="3"/>
    <x v="166"/>
    <n v="204"/>
    <n v="122"/>
    <x v="822"/>
    <n v="53.92"/>
    <n v="36.24"/>
    <n v="19.68"/>
    <n v="37"/>
    <x v="2"/>
    <x v="2"/>
    <x v="1"/>
  </r>
  <r>
    <x v="1"/>
    <x v="2"/>
    <x v="3"/>
    <x v="9"/>
    <x v="352"/>
    <n v="486"/>
    <n v="293"/>
    <x v="823"/>
    <n v="87.02"/>
    <n v="57.32"/>
    <n v="22.77"/>
    <n v="121"/>
    <x v="2"/>
    <x v="0"/>
    <x v="3"/>
  </r>
  <r>
    <x v="0"/>
    <x v="0"/>
    <x v="2"/>
    <x v="2"/>
    <x v="38"/>
    <n v="326"/>
    <n v="157"/>
    <x v="824"/>
    <n v="19.309999999999999"/>
    <n v="20.79"/>
    <n v="1.45"/>
    <n v="35"/>
    <x v="1"/>
    <x v="2"/>
    <x v="0"/>
  </r>
  <r>
    <x v="1"/>
    <x v="8"/>
    <x v="0"/>
    <x v="3"/>
    <x v="377"/>
    <n v="428"/>
    <n v="203"/>
    <x v="825"/>
    <n v="92.77"/>
    <n v="102.83"/>
    <n v="7.73"/>
    <n v="148"/>
    <x v="1"/>
    <x v="2"/>
    <x v="1"/>
  </r>
  <r>
    <x v="1"/>
    <x v="2"/>
    <x v="2"/>
    <x v="15"/>
    <x v="155"/>
    <n v="111"/>
    <n v="90"/>
    <x v="826"/>
    <n v="34.92"/>
    <n v="8.15"/>
    <n v="21.08"/>
    <n v="228"/>
    <x v="0"/>
    <x v="1"/>
    <x v="0"/>
  </r>
  <r>
    <x v="1"/>
    <x v="7"/>
    <x v="2"/>
    <x v="2"/>
    <x v="378"/>
    <n v="373"/>
    <n v="31"/>
    <x v="827"/>
    <n v="10.29"/>
    <n v="113.54"/>
    <n v="2.5499999999999998"/>
    <n v="31"/>
    <x v="0"/>
    <x v="0"/>
    <x v="1"/>
  </r>
  <r>
    <x v="1"/>
    <x v="8"/>
    <x v="1"/>
    <x v="13"/>
    <x v="239"/>
    <n v="366"/>
    <n v="340"/>
    <x v="828"/>
    <n v="33.659999999999997"/>
    <n v="2.57"/>
    <n v="1.75"/>
    <n v="189"/>
    <x v="2"/>
    <x v="3"/>
    <x v="0"/>
  </r>
  <r>
    <x v="1"/>
    <x v="7"/>
    <x v="4"/>
    <x v="5"/>
    <x v="142"/>
    <n v="270"/>
    <n v="239"/>
    <x v="829"/>
    <n v="12.67"/>
    <n v="1.64"/>
    <n v="1.01"/>
    <n v="128"/>
    <x v="0"/>
    <x v="3"/>
    <x v="1"/>
  </r>
  <r>
    <x v="0"/>
    <x v="4"/>
    <x v="2"/>
    <x v="15"/>
    <x v="222"/>
    <n v="399"/>
    <n v="338"/>
    <x v="830"/>
    <n v="41.24"/>
    <n v="7.44"/>
    <n v="17.25"/>
    <n v="194"/>
    <x v="2"/>
    <x v="0"/>
    <x v="3"/>
  </r>
  <r>
    <x v="1"/>
    <x v="1"/>
    <x v="3"/>
    <x v="4"/>
    <x v="51"/>
    <n v="278"/>
    <n v="73"/>
    <x v="831"/>
    <n v="29.05"/>
    <n v="81.59"/>
    <n v="18.670000000000002"/>
    <n v="114"/>
    <x v="1"/>
    <x v="1"/>
    <x v="0"/>
  </r>
  <r>
    <x v="1"/>
    <x v="4"/>
    <x v="0"/>
    <x v="0"/>
    <x v="379"/>
    <n v="95"/>
    <n v="70"/>
    <x v="832"/>
    <n v="7.21"/>
    <n v="2.58"/>
    <n v="0.97"/>
    <n v="24"/>
    <x v="1"/>
    <x v="0"/>
    <x v="2"/>
  </r>
  <r>
    <x v="1"/>
    <x v="3"/>
    <x v="4"/>
    <x v="5"/>
    <x v="102"/>
    <n v="253"/>
    <n v="219"/>
    <x v="833"/>
    <n v="100.74"/>
    <n v="15.64"/>
    <n v="-7.1"/>
    <n v="163"/>
    <x v="0"/>
    <x v="0"/>
    <x v="2"/>
  </r>
  <r>
    <x v="0"/>
    <x v="8"/>
    <x v="0"/>
    <x v="14"/>
    <x v="168"/>
    <n v="118"/>
    <n v="31"/>
    <x v="834"/>
    <n v="2.88"/>
    <n v="8.09"/>
    <n v="7.22"/>
    <n v="237"/>
    <x v="0"/>
    <x v="2"/>
    <x v="1"/>
  </r>
  <r>
    <x v="1"/>
    <x v="4"/>
    <x v="2"/>
    <x v="10"/>
    <x v="380"/>
    <n v="393"/>
    <n v="364"/>
    <x v="835"/>
    <n v="34.94"/>
    <n v="2.78"/>
    <n v="-2.59"/>
    <n v="274"/>
    <x v="2"/>
    <x v="2"/>
    <x v="1"/>
  </r>
  <r>
    <x v="2"/>
    <x v="6"/>
    <x v="2"/>
    <x v="2"/>
    <x v="380"/>
    <n v="474"/>
    <n v="169"/>
    <x v="836"/>
    <n v="16.22"/>
    <n v="29.28"/>
    <n v="23.2"/>
    <n v="262"/>
    <x v="2"/>
    <x v="1"/>
    <x v="0"/>
  </r>
  <r>
    <x v="2"/>
    <x v="7"/>
    <x v="0"/>
    <x v="14"/>
    <x v="9"/>
    <n v="330"/>
    <n v="165"/>
    <x v="837"/>
    <n v="35.31"/>
    <n v="35.31"/>
    <n v="11.64"/>
    <n v="48"/>
    <x v="2"/>
    <x v="0"/>
    <x v="3"/>
  </r>
  <r>
    <x v="2"/>
    <x v="5"/>
    <x v="0"/>
    <x v="0"/>
    <x v="381"/>
    <n v="301"/>
    <n v="92"/>
    <x v="838"/>
    <n v="20.420000000000002"/>
    <n v="46.4"/>
    <n v="15.04"/>
    <n v="166"/>
    <x v="1"/>
    <x v="3"/>
    <x v="1"/>
  </r>
  <r>
    <x v="1"/>
    <x v="10"/>
    <x v="4"/>
    <x v="5"/>
    <x v="187"/>
    <n v="81"/>
    <n v="34"/>
    <x v="839"/>
    <n v="9.4499999999999993"/>
    <n v="13.07"/>
    <n v="17.36"/>
    <n v="230"/>
    <x v="0"/>
    <x v="0"/>
    <x v="2"/>
  </r>
  <r>
    <x v="2"/>
    <x v="5"/>
    <x v="2"/>
    <x v="15"/>
    <x v="44"/>
    <n v="248"/>
    <n v="46"/>
    <x v="840"/>
    <n v="9.94"/>
    <n v="43.63"/>
    <n v="2.04"/>
    <n v="89"/>
    <x v="2"/>
    <x v="1"/>
    <x v="3"/>
  </r>
  <r>
    <x v="0"/>
    <x v="6"/>
    <x v="3"/>
    <x v="4"/>
    <x v="148"/>
    <n v="397"/>
    <n v="74"/>
    <x v="841"/>
    <n v="26.27"/>
    <n v="114.67"/>
    <n v="20.14"/>
    <n v="193"/>
    <x v="1"/>
    <x v="3"/>
    <x v="3"/>
  </r>
  <r>
    <x v="1"/>
    <x v="5"/>
    <x v="4"/>
    <x v="5"/>
    <x v="382"/>
    <n v="315"/>
    <n v="52"/>
    <x v="842"/>
    <n v="11.44"/>
    <n v="57.86"/>
    <n v="14.24"/>
    <n v="130"/>
    <x v="2"/>
    <x v="1"/>
    <x v="0"/>
  </r>
  <r>
    <x v="0"/>
    <x v="0"/>
    <x v="0"/>
    <x v="3"/>
    <x v="203"/>
    <n v="128"/>
    <n v="43"/>
    <x v="843"/>
    <n v="8.2100000000000009"/>
    <n v="16.23"/>
    <n v="9.89"/>
    <n v="241"/>
    <x v="2"/>
    <x v="1"/>
    <x v="2"/>
  </r>
  <r>
    <x v="0"/>
    <x v="8"/>
    <x v="1"/>
    <x v="1"/>
    <x v="251"/>
    <n v="67"/>
    <n v="52"/>
    <x v="844"/>
    <n v="19.97"/>
    <n v="5.76"/>
    <n v="16.37"/>
    <n v="102"/>
    <x v="1"/>
    <x v="2"/>
    <x v="0"/>
  </r>
  <r>
    <x v="0"/>
    <x v="2"/>
    <x v="1"/>
    <x v="11"/>
    <x v="368"/>
    <n v="387"/>
    <n v="111"/>
    <x v="845"/>
    <n v="38.18"/>
    <n v="94.94"/>
    <n v="13.68"/>
    <n v="45"/>
    <x v="0"/>
    <x v="0"/>
    <x v="0"/>
  </r>
  <r>
    <x v="2"/>
    <x v="10"/>
    <x v="4"/>
    <x v="5"/>
    <x v="383"/>
    <n v="206"/>
    <n v="40"/>
    <x v="846"/>
    <n v="7.92"/>
    <n v="32.869999999999997"/>
    <n v="2.12"/>
    <n v="283"/>
    <x v="2"/>
    <x v="0"/>
    <x v="3"/>
  </r>
  <r>
    <x v="0"/>
    <x v="1"/>
    <x v="0"/>
    <x v="3"/>
    <x v="7"/>
    <n v="418"/>
    <n v="368"/>
    <x v="847"/>
    <n v="138.74"/>
    <n v="18.850000000000001"/>
    <n v="11.34"/>
    <n v="73"/>
    <x v="0"/>
    <x v="0"/>
    <x v="3"/>
  </r>
  <r>
    <x v="2"/>
    <x v="4"/>
    <x v="0"/>
    <x v="14"/>
    <x v="384"/>
    <n v="169"/>
    <n v="88"/>
    <x v="848"/>
    <n v="34.32"/>
    <n v="31.59"/>
    <n v="-3.16"/>
    <n v="196"/>
    <x v="1"/>
    <x v="1"/>
    <x v="1"/>
  </r>
  <r>
    <x v="0"/>
    <x v="9"/>
    <x v="2"/>
    <x v="10"/>
    <x v="111"/>
    <n v="102"/>
    <n v="90"/>
    <x v="6"/>
    <n v="44.1"/>
    <n v="5.88"/>
    <n v="20.83"/>
    <n v="256"/>
    <x v="1"/>
    <x v="0"/>
    <x v="0"/>
  </r>
  <r>
    <x v="2"/>
    <x v="0"/>
    <x v="3"/>
    <x v="8"/>
    <x v="214"/>
    <n v="233"/>
    <n v="113"/>
    <x v="849"/>
    <n v="17.97"/>
    <n v="19.079999999999998"/>
    <n v="6.99"/>
    <n v="205"/>
    <x v="2"/>
    <x v="3"/>
    <x v="3"/>
  </r>
  <r>
    <x v="0"/>
    <x v="2"/>
    <x v="2"/>
    <x v="2"/>
    <x v="294"/>
    <n v="188"/>
    <n v="33"/>
    <x v="850"/>
    <n v="1.81"/>
    <n v="8.5299999999999994"/>
    <n v="11.58"/>
    <n v="161"/>
    <x v="0"/>
    <x v="1"/>
    <x v="3"/>
  </r>
  <r>
    <x v="1"/>
    <x v="8"/>
    <x v="4"/>
    <x v="7"/>
    <x v="385"/>
    <n v="495"/>
    <n v="107"/>
    <x v="851"/>
    <n v="33.17"/>
    <n v="120.28"/>
    <n v="3.59"/>
    <n v="214"/>
    <x v="0"/>
    <x v="2"/>
    <x v="3"/>
  </r>
  <r>
    <x v="0"/>
    <x v="4"/>
    <x v="3"/>
    <x v="4"/>
    <x v="61"/>
    <n v="153"/>
    <n v="31"/>
    <x v="852"/>
    <n v="15.13"/>
    <n v="59.54"/>
    <n v="12.72"/>
    <n v="233"/>
    <x v="0"/>
    <x v="1"/>
    <x v="0"/>
  </r>
  <r>
    <x v="1"/>
    <x v="4"/>
    <x v="1"/>
    <x v="11"/>
    <x v="267"/>
    <n v="303"/>
    <n v="119"/>
    <x v="70"/>
    <n v="14.4"/>
    <n v="22.26"/>
    <n v="1.92"/>
    <n v="228"/>
    <x v="2"/>
    <x v="1"/>
    <x v="3"/>
  </r>
  <r>
    <x v="1"/>
    <x v="7"/>
    <x v="0"/>
    <x v="3"/>
    <x v="326"/>
    <n v="223"/>
    <n v="191"/>
    <x v="853"/>
    <n v="42.21"/>
    <n v="7.07"/>
    <n v="-7.27"/>
    <n v="176"/>
    <x v="2"/>
    <x v="0"/>
    <x v="2"/>
  </r>
  <r>
    <x v="0"/>
    <x v="11"/>
    <x v="1"/>
    <x v="1"/>
    <x v="109"/>
    <n v="164"/>
    <n v="55"/>
    <x v="854"/>
    <n v="12.98"/>
    <n v="25.72"/>
    <n v="9.35"/>
    <n v="34"/>
    <x v="0"/>
    <x v="0"/>
    <x v="0"/>
  </r>
  <r>
    <x v="1"/>
    <x v="11"/>
    <x v="3"/>
    <x v="9"/>
    <x v="103"/>
    <n v="116"/>
    <n v="60"/>
    <x v="855"/>
    <n v="18.78"/>
    <n v="17.53"/>
    <n v="6.65"/>
    <n v="231"/>
    <x v="1"/>
    <x v="1"/>
    <x v="3"/>
  </r>
  <r>
    <x v="0"/>
    <x v="0"/>
    <x v="2"/>
    <x v="10"/>
    <x v="102"/>
    <n v="391"/>
    <n v="153"/>
    <x v="856"/>
    <n v="70.38"/>
    <n v="109.48"/>
    <n v="4.9000000000000004"/>
    <n v="284"/>
    <x v="1"/>
    <x v="1"/>
    <x v="2"/>
  </r>
  <r>
    <x v="0"/>
    <x v="1"/>
    <x v="4"/>
    <x v="5"/>
    <x v="386"/>
    <n v="306"/>
    <n v="190"/>
    <x v="857"/>
    <n v="28.69"/>
    <n v="17.52"/>
    <n v="-1.26"/>
    <n v="214"/>
    <x v="0"/>
    <x v="0"/>
    <x v="1"/>
  </r>
  <r>
    <x v="0"/>
    <x v="11"/>
    <x v="1"/>
    <x v="11"/>
    <x v="348"/>
    <n v="261"/>
    <n v="84"/>
    <x v="858"/>
    <n v="11.84"/>
    <n v="24.96"/>
    <n v="-4.78"/>
    <n v="49"/>
    <x v="0"/>
    <x v="0"/>
    <x v="0"/>
  </r>
  <r>
    <x v="0"/>
    <x v="4"/>
    <x v="4"/>
    <x v="7"/>
    <x v="253"/>
    <n v="220"/>
    <n v="31"/>
    <x v="859"/>
    <n v="6.45"/>
    <n v="39.31"/>
    <n v="-3.03"/>
    <n v="64"/>
    <x v="1"/>
    <x v="1"/>
    <x v="0"/>
  </r>
  <r>
    <x v="2"/>
    <x v="7"/>
    <x v="0"/>
    <x v="0"/>
    <x v="338"/>
    <n v="237"/>
    <n v="212"/>
    <x v="860"/>
    <n v="95.61"/>
    <n v="11.28"/>
    <n v="14.76"/>
    <n v="200"/>
    <x v="1"/>
    <x v="2"/>
    <x v="3"/>
  </r>
  <r>
    <x v="0"/>
    <x v="10"/>
    <x v="1"/>
    <x v="1"/>
    <x v="387"/>
    <n v="263"/>
    <n v="224"/>
    <x v="861"/>
    <n v="75.94"/>
    <n v="13.22"/>
    <n v="0.35"/>
    <n v="169"/>
    <x v="2"/>
    <x v="0"/>
    <x v="0"/>
  </r>
  <r>
    <x v="2"/>
    <x v="11"/>
    <x v="1"/>
    <x v="13"/>
    <x v="38"/>
    <n v="458"/>
    <n v="362"/>
    <x v="862"/>
    <n v="44.53"/>
    <n v="11.81"/>
    <n v="9.57"/>
    <n v="108"/>
    <x v="2"/>
    <x v="3"/>
    <x v="0"/>
  </r>
  <r>
    <x v="1"/>
    <x v="4"/>
    <x v="3"/>
    <x v="12"/>
    <x v="234"/>
    <n v="330"/>
    <n v="156"/>
    <x v="737"/>
    <n v="17.47"/>
    <n v="19.489999999999998"/>
    <n v="21.18"/>
    <n v="23"/>
    <x v="1"/>
    <x v="3"/>
    <x v="2"/>
  </r>
  <r>
    <x v="2"/>
    <x v="11"/>
    <x v="2"/>
    <x v="15"/>
    <x v="286"/>
    <n v="219"/>
    <n v="117"/>
    <x v="863"/>
    <n v="11"/>
    <n v="9.59"/>
    <n v="7.65"/>
    <n v="186"/>
    <x v="2"/>
    <x v="2"/>
    <x v="0"/>
  </r>
  <r>
    <x v="0"/>
    <x v="11"/>
    <x v="1"/>
    <x v="16"/>
    <x v="295"/>
    <n v="244"/>
    <n v="164"/>
    <x v="864"/>
    <n v="76.099999999999994"/>
    <n v="37.119999999999997"/>
    <n v="5.56"/>
    <n v="273"/>
    <x v="2"/>
    <x v="3"/>
    <x v="1"/>
  </r>
  <r>
    <x v="0"/>
    <x v="10"/>
    <x v="2"/>
    <x v="10"/>
    <x v="135"/>
    <n v="343"/>
    <n v="69"/>
    <x v="865"/>
    <n v="30.7"/>
    <n v="121.93"/>
    <n v="15.43"/>
    <n v="78"/>
    <x v="1"/>
    <x v="1"/>
    <x v="2"/>
  </r>
  <r>
    <x v="1"/>
    <x v="0"/>
    <x v="4"/>
    <x v="6"/>
    <x v="1"/>
    <n v="466"/>
    <n v="218"/>
    <x v="866"/>
    <n v="80.66"/>
    <n v="91.76"/>
    <n v="-7.66"/>
    <n v="262"/>
    <x v="0"/>
    <x v="0"/>
    <x v="1"/>
  </r>
  <r>
    <x v="0"/>
    <x v="7"/>
    <x v="4"/>
    <x v="5"/>
    <x v="384"/>
    <n v="401"/>
    <n v="302"/>
    <x v="867"/>
    <n v="117.78"/>
    <n v="38.61"/>
    <n v="18.98"/>
    <n v="179"/>
    <x v="1"/>
    <x v="2"/>
    <x v="3"/>
  </r>
  <r>
    <x v="0"/>
    <x v="11"/>
    <x v="2"/>
    <x v="15"/>
    <x v="145"/>
    <n v="173"/>
    <n v="102"/>
    <x v="868"/>
    <n v="50.29"/>
    <n v="35"/>
    <n v="10.59"/>
    <n v="293"/>
    <x v="0"/>
    <x v="1"/>
    <x v="3"/>
  </r>
  <r>
    <x v="1"/>
    <x v="4"/>
    <x v="1"/>
    <x v="13"/>
    <x v="142"/>
    <n v="352"/>
    <n v="138"/>
    <x v="869"/>
    <n v="7.31"/>
    <n v="11.34"/>
    <n v="20.329999999999998"/>
    <n v="187"/>
    <x v="2"/>
    <x v="0"/>
    <x v="3"/>
  </r>
  <r>
    <x v="0"/>
    <x v="10"/>
    <x v="4"/>
    <x v="6"/>
    <x v="372"/>
    <n v="51"/>
    <n v="36"/>
    <x v="870"/>
    <n v="2.74"/>
    <n v="1.1399999999999999"/>
    <n v="2.4500000000000002"/>
    <n v="24"/>
    <x v="2"/>
    <x v="3"/>
    <x v="0"/>
  </r>
  <r>
    <x v="1"/>
    <x v="2"/>
    <x v="0"/>
    <x v="0"/>
    <x v="363"/>
    <n v="477"/>
    <n v="143"/>
    <x v="871"/>
    <n v="18.16"/>
    <n v="42.42"/>
    <n v="-6.86"/>
    <n v="93"/>
    <x v="0"/>
    <x v="2"/>
    <x v="3"/>
  </r>
  <r>
    <x v="0"/>
    <x v="3"/>
    <x v="1"/>
    <x v="1"/>
    <x v="343"/>
    <n v="330"/>
    <n v="68"/>
    <x v="872"/>
    <n v="13.19"/>
    <n v="50.83"/>
    <n v="14.84"/>
    <n v="67"/>
    <x v="1"/>
    <x v="2"/>
    <x v="0"/>
  </r>
  <r>
    <x v="1"/>
    <x v="2"/>
    <x v="3"/>
    <x v="12"/>
    <x v="58"/>
    <n v="315"/>
    <n v="158"/>
    <x v="873"/>
    <n v="43.77"/>
    <n v="43.49"/>
    <n v="-6.44"/>
    <n v="70"/>
    <x v="0"/>
    <x v="1"/>
    <x v="0"/>
  </r>
  <r>
    <x v="1"/>
    <x v="6"/>
    <x v="3"/>
    <x v="4"/>
    <x v="130"/>
    <n v="88"/>
    <n v="46"/>
    <x v="520"/>
    <n v="19.27"/>
    <n v="17.600000000000001"/>
    <n v="8.89"/>
    <n v="20"/>
    <x v="1"/>
    <x v="0"/>
    <x v="2"/>
  </r>
  <r>
    <x v="1"/>
    <x v="10"/>
    <x v="2"/>
    <x v="15"/>
    <x v="299"/>
    <n v="187"/>
    <n v="94"/>
    <x v="874"/>
    <n v="46.81"/>
    <n v="46.31"/>
    <n v="7.88"/>
    <n v="268"/>
    <x v="2"/>
    <x v="3"/>
    <x v="0"/>
  </r>
  <r>
    <x v="0"/>
    <x v="6"/>
    <x v="4"/>
    <x v="7"/>
    <x v="112"/>
    <n v="84"/>
    <n v="58"/>
    <x v="875"/>
    <n v="10.73"/>
    <n v="4.8099999999999996"/>
    <n v="6.49"/>
    <n v="199"/>
    <x v="1"/>
    <x v="1"/>
    <x v="0"/>
  </r>
  <r>
    <x v="2"/>
    <x v="6"/>
    <x v="1"/>
    <x v="13"/>
    <x v="189"/>
    <n v="91"/>
    <n v="60"/>
    <x v="876"/>
    <n v="13.14"/>
    <n v="6.79"/>
    <n v="-2.23"/>
    <n v="192"/>
    <x v="1"/>
    <x v="1"/>
    <x v="0"/>
  </r>
  <r>
    <x v="1"/>
    <x v="5"/>
    <x v="2"/>
    <x v="2"/>
    <x v="101"/>
    <n v="180"/>
    <n v="80"/>
    <x v="877"/>
    <n v="22.96"/>
    <n v="28.7"/>
    <n v="-6.49"/>
    <n v="266"/>
    <x v="0"/>
    <x v="2"/>
    <x v="0"/>
  </r>
  <r>
    <x v="1"/>
    <x v="4"/>
    <x v="2"/>
    <x v="15"/>
    <x v="361"/>
    <n v="219"/>
    <n v="44"/>
    <x v="714"/>
    <n v="17.86"/>
    <n v="71.05"/>
    <n v="2.1"/>
    <n v="234"/>
    <x v="1"/>
    <x v="2"/>
    <x v="2"/>
  </r>
  <r>
    <x v="2"/>
    <x v="0"/>
    <x v="2"/>
    <x v="10"/>
    <x v="309"/>
    <n v="179"/>
    <n v="67"/>
    <x v="878"/>
    <n v="23.65"/>
    <n v="39.54"/>
    <n v="16.850000000000001"/>
    <n v="216"/>
    <x v="1"/>
    <x v="1"/>
    <x v="1"/>
  </r>
  <r>
    <x v="2"/>
    <x v="0"/>
    <x v="2"/>
    <x v="2"/>
    <x v="368"/>
    <n v="336"/>
    <n v="232"/>
    <x v="879"/>
    <n v="79.81"/>
    <n v="35.78"/>
    <n v="22.19"/>
    <n v="240"/>
    <x v="0"/>
    <x v="1"/>
    <x v="3"/>
  </r>
  <r>
    <x v="0"/>
    <x v="3"/>
    <x v="2"/>
    <x v="2"/>
    <x v="292"/>
    <n v="267"/>
    <n v="37"/>
    <x v="880"/>
    <n v="9.36"/>
    <n v="58.19"/>
    <n v="-9.4600000000000009"/>
    <n v="167"/>
    <x v="0"/>
    <x v="3"/>
    <x v="2"/>
  </r>
  <r>
    <x v="1"/>
    <x v="2"/>
    <x v="1"/>
    <x v="16"/>
    <x v="388"/>
    <n v="471"/>
    <n v="42"/>
    <x v="881"/>
    <n v="4.28"/>
    <n v="43.76"/>
    <n v="-7.42"/>
    <n v="178"/>
    <x v="2"/>
    <x v="0"/>
    <x v="3"/>
  </r>
  <r>
    <x v="2"/>
    <x v="1"/>
    <x v="0"/>
    <x v="14"/>
    <x v="261"/>
    <n v="268"/>
    <n v="146"/>
    <x v="882"/>
    <n v="32.85"/>
    <n v="27.45"/>
    <n v="-2.31"/>
    <n v="268"/>
    <x v="2"/>
    <x v="1"/>
    <x v="2"/>
  </r>
  <r>
    <x v="0"/>
    <x v="2"/>
    <x v="2"/>
    <x v="15"/>
    <x v="199"/>
    <n v="175"/>
    <n v="132"/>
    <x v="883"/>
    <n v="37.75"/>
    <n v="12.3"/>
    <n v="-9.99"/>
    <n v="205"/>
    <x v="0"/>
    <x v="2"/>
    <x v="1"/>
  </r>
  <r>
    <x v="0"/>
    <x v="7"/>
    <x v="1"/>
    <x v="16"/>
    <x v="89"/>
    <n v="291"/>
    <n v="154"/>
    <x v="884"/>
    <n v="63.14"/>
    <n v="56.17"/>
    <n v="-7.7"/>
    <n v="239"/>
    <x v="2"/>
    <x v="1"/>
    <x v="0"/>
  </r>
  <r>
    <x v="0"/>
    <x v="4"/>
    <x v="0"/>
    <x v="3"/>
    <x v="369"/>
    <n v="67"/>
    <n v="45"/>
    <x v="885"/>
    <n v="7.11"/>
    <n v="3.48"/>
    <n v="-7.76"/>
    <n v="221"/>
    <x v="2"/>
    <x v="1"/>
    <x v="3"/>
  </r>
  <r>
    <x v="1"/>
    <x v="7"/>
    <x v="2"/>
    <x v="10"/>
    <x v="214"/>
    <n v="90"/>
    <n v="34"/>
    <x v="829"/>
    <n v="5.41"/>
    <n v="8.9"/>
    <n v="14.18"/>
    <n v="186"/>
    <x v="2"/>
    <x v="0"/>
    <x v="0"/>
  </r>
  <r>
    <x v="1"/>
    <x v="0"/>
    <x v="1"/>
    <x v="13"/>
    <x v="20"/>
    <n v="415"/>
    <n v="394"/>
    <x v="886"/>
    <n v="76.83"/>
    <n v="4.09"/>
    <n v="3.64"/>
    <n v="156"/>
    <x v="2"/>
    <x v="3"/>
    <x v="0"/>
  </r>
  <r>
    <x v="1"/>
    <x v="7"/>
    <x v="3"/>
    <x v="4"/>
    <x v="82"/>
    <n v="96"/>
    <n v="52"/>
    <x v="887"/>
    <n v="25.06"/>
    <n v="21.21"/>
    <n v="18.21"/>
    <n v="206"/>
    <x v="2"/>
    <x v="1"/>
    <x v="0"/>
  </r>
  <r>
    <x v="1"/>
    <x v="11"/>
    <x v="3"/>
    <x v="8"/>
    <x v="173"/>
    <n v="218"/>
    <n v="65"/>
    <x v="888"/>
    <n v="8.64"/>
    <n v="20.350000000000001"/>
    <n v="16.350000000000001"/>
    <n v="114"/>
    <x v="2"/>
    <x v="1"/>
    <x v="2"/>
  </r>
  <r>
    <x v="0"/>
    <x v="5"/>
    <x v="4"/>
    <x v="5"/>
    <x v="389"/>
    <n v="178"/>
    <n v="53"/>
    <x v="889"/>
    <n v="14.57"/>
    <n v="34.380000000000003"/>
    <n v="2.74"/>
    <n v="134"/>
    <x v="2"/>
    <x v="0"/>
    <x v="3"/>
  </r>
  <r>
    <x v="1"/>
    <x v="3"/>
    <x v="3"/>
    <x v="4"/>
    <x v="390"/>
    <n v="332"/>
    <n v="311"/>
    <x v="890"/>
    <n v="88.01"/>
    <n v="5.94"/>
    <n v="14.36"/>
    <n v="169"/>
    <x v="0"/>
    <x v="3"/>
    <x v="0"/>
  </r>
  <r>
    <x v="2"/>
    <x v="2"/>
    <x v="4"/>
    <x v="5"/>
    <x v="391"/>
    <n v="427"/>
    <n v="258"/>
    <x v="891"/>
    <n v="25.28"/>
    <n v="16.559999999999999"/>
    <n v="7.34"/>
    <n v="39"/>
    <x v="1"/>
    <x v="2"/>
    <x v="0"/>
  </r>
  <r>
    <x v="0"/>
    <x v="1"/>
    <x v="2"/>
    <x v="15"/>
    <x v="192"/>
    <n v="333"/>
    <n v="51"/>
    <x v="892"/>
    <n v="9.7899999999999991"/>
    <n v="54.14"/>
    <n v="13.43"/>
    <n v="241"/>
    <x v="1"/>
    <x v="2"/>
    <x v="1"/>
  </r>
  <r>
    <x v="0"/>
    <x v="4"/>
    <x v="1"/>
    <x v="11"/>
    <x v="392"/>
    <n v="335"/>
    <n v="205"/>
    <x v="893"/>
    <n v="13.32"/>
    <n v="8.4499999999999993"/>
    <n v="7.01"/>
    <n v="224"/>
    <x v="2"/>
    <x v="3"/>
    <x v="1"/>
  </r>
  <r>
    <x v="1"/>
    <x v="6"/>
    <x v="1"/>
    <x v="1"/>
    <x v="33"/>
    <n v="103"/>
    <n v="77"/>
    <x v="894"/>
    <n v="10.01"/>
    <n v="3.38"/>
    <n v="-4.46"/>
    <n v="273"/>
    <x v="2"/>
    <x v="2"/>
    <x v="2"/>
  </r>
  <r>
    <x v="0"/>
    <x v="0"/>
    <x v="4"/>
    <x v="6"/>
    <x v="363"/>
    <n v="278"/>
    <n v="139"/>
    <x v="895"/>
    <n v="17.649999999999999"/>
    <n v="17.649999999999999"/>
    <n v="7.72"/>
    <n v="21"/>
    <x v="0"/>
    <x v="2"/>
    <x v="0"/>
  </r>
  <r>
    <x v="2"/>
    <x v="7"/>
    <x v="3"/>
    <x v="8"/>
    <x v="250"/>
    <n v="182"/>
    <n v="63"/>
    <x v="896"/>
    <n v="16.95"/>
    <n v="32.01"/>
    <n v="4.79"/>
    <n v="124"/>
    <x v="0"/>
    <x v="2"/>
    <x v="0"/>
  </r>
  <r>
    <x v="1"/>
    <x v="11"/>
    <x v="0"/>
    <x v="0"/>
    <x v="257"/>
    <n v="436"/>
    <n v="108"/>
    <x v="897"/>
    <n v="40.39"/>
    <n v="122.67"/>
    <n v="18.420000000000002"/>
    <n v="64"/>
    <x v="0"/>
    <x v="1"/>
    <x v="2"/>
  </r>
  <r>
    <x v="2"/>
    <x v="2"/>
    <x v="3"/>
    <x v="9"/>
    <x v="217"/>
    <n v="370"/>
    <n v="275"/>
    <x v="898"/>
    <n v="106.97"/>
    <n v="36.96"/>
    <n v="-9.68"/>
    <n v="230"/>
    <x v="0"/>
    <x v="3"/>
    <x v="1"/>
  </r>
  <r>
    <x v="2"/>
    <x v="7"/>
    <x v="0"/>
    <x v="3"/>
    <x v="67"/>
    <n v="129"/>
    <n v="66"/>
    <x v="899"/>
    <n v="30.03"/>
    <n v="28.66"/>
    <n v="-7.79"/>
    <n v="141"/>
    <x v="1"/>
    <x v="0"/>
    <x v="1"/>
  </r>
  <r>
    <x v="2"/>
    <x v="8"/>
    <x v="0"/>
    <x v="0"/>
    <x v="315"/>
    <n v="332"/>
    <n v="176"/>
    <x v="900"/>
    <n v="21.82"/>
    <n v="19.34"/>
    <n v="-7.49"/>
    <n v="70"/>
    <x v="0"/>
    <x v="3"/>
    <x v="2"/>
  </r>
  <r>
    <x v="0"/>
    <x v="9"/>
    <x v="3"/>
    <x v="4"/>
    <x v="348"/>
    <n v="354"/>
    <n v="130"/>
    <x v="901"/>
    <n v="18.329999999999998"/>
    <n v="31.58"/>
    <n v="13.61"/>
    <n v="269"/>
    <x v="1"/>
    <x v="3"/>
    <x v="0"/>
  </r>
  <r>
    <x v="2"/>
    <x v="9"/>
    <x v="4"/>
    <x v="6"/>
    <x v="28"/>
    <n v="268"/>
    <n v="78"/>
    <x v="902"/>
    <n v="31.75"/>
    <n v="77.33"/>
    <n v="10.81"/>
    <n v="50"/>
    <x v="0"/>
    <x v="2"/>
    <x v="0"/>
  </r>
  <r>
    <x v="1"/>
    <x v="3"/>
    <x v="0"/>
    <x v="3"/>
    <x v="73"/>
    <n v="87"/>
    <n v="74"/>
    <x v="903"/>
    <n v="23.9"/>
    <n v="4.2"/>
    <n v="-2.79"/>
    <n v="288"/>
    <x v="0"/>
    <x v="2"/>
    <x v="1"/>
  </r>
  <r>
    <x v="2"/>
    <x v="11"/>
    <x v="3"/>
    <x v="12"/>
    <x v="376"/>
    <n v="220"/>
    <n v="205"/>
    <x v="853"/>
    <n v="45.92"/>
    <n v="3.36"/>
    <n v="0.09"/>
    <n v="259"/>
    <x v="1"/>
    <x v="2"/>
    <x v="2"/>
  </r>
  <r>
    <x v="0"/>
    <x v="11"/>
    <x v="1"/>
    <x v="13"/>
    <x v="208"/>
    <n v="378"/>
    <n v="39"/>
    <x v="904"/>
    <n v="12.44"/>
    <n v="108.14"/>
    <n v="-3.8"/>
    <n v="257"/>
    <x v="1"/>
    <x v="1"/>
    <x v="1"/>
  </r>
  <r>
    <x v="2"/>
    <x v="1"/>
    <x v="3"/>
    <x v="8"/>
    <x v="197"/>
    <n v="421"/>
    <n v="62"/>
    <x v="905"/>
    <n v="24.3"/>
    <n v="140.72999999999999"/>
    <n v="10.119999999999999"/>
    <n v="187"/>
    <x v="1"/>
    <x v="2"/>
    <x v="1"/>
  </r>
  <r>
    <x v="0"/>
    <x v="7"/>
    <x v="2"/>
    <x v="15"/>
    <x v="66"/>
    <n v="371"/>
    <n v="302"/>
    <x v="906"/>
    <n v="73.69"/>
    <n v="16.84"/>
    <n v="-9.84"/>
    <n v="161"/>
    <x v="0"/>
    <x v="2"/>
    <x v="1"/>
  </r>
  <r>
    <x v="1"/>
    <x v="11"/>
    <x v="0"/>
    <x v="0"/>
    <x v="380"/>
    <n v="203"/>
    <n v="60"/>
    <x v="86"/>
    <n v="5.76"/>
    <n v="13.73"/>
    <n v="-0.79"/>
    <n v="202"/>
    <x v="2"/>
    <x v="0"/>
    <x v="3"/>
  </r>
  <r>
    <x v="2"/>
    <x v="7"/>
    <x v="3"/>
    <x v="4"/>
    <x v="241"/>
    <n v="241"/>
    <n v="122"/>
    <x v="907"/>
    <n v="18.91"/>
    <n v="18.440000000000001"/>
    <n v="17.829999999999998"/>
    <n v="64"/>
    <x v="1"/>
    <x v="1"/>
    <x v="3"/>
  </r>
  <r>
    <x v="0"/>
    <x v="4"/>
    <x v="1"/>
    <x v="16"/>
    <x v="393"/>
    <n v="205"/>
    <n v="93"/>
    <x v="908"/>
    <n v="12.46"/>
    <n v="15.01"/>
    <n v="22.49"/>
    <n v="187"/>
    <x v="2"/>
    <x v="3"/>
    <x v="1"/>
  </r>
  <r>
    <x v="1"/>
    <x v="3"/>
    <x v="0"/>
    <x v="14"/>
    <x v="394"/>
    <n v="157"/>
    <n v="71"/>
    <x v="909"/>
    <n v="7.6"/>
    <n v="9.1999999999999993"/>
    <n v="12.74"/>
    <n v="211"/>
    <x v="1"/>
    <x v="1"/>
    <x v="3"/>
  </r>
  <r>
    <x v="0"/>
    <x v="3"/>
    <x v="4"/>
    <x v="5"/>
    <x v="313"/>
    <n v="225"/>
    <n v="167"/>
    <x v="910"/>
    <n v="44.59"/>
    <n v="15.49"/>
    <n v="16.77"/>
    <n v="200"/>
    <x v="1"/>
    <x v="3"/>
    <x v="2"/>
  </r>
  <r>
    <x v="1"/>
    <x v="3"/>
    <x v="3"/>
    <x v="9"/>
    <x v="328"/>
    <n v="67"/>
    <n v="52"/>
    <x v="911"/>
    <n v="13.47"/>
    <n v="3.89"/>
    <n v="4.93"/>
    <n v="49"/>
    <x v="1"/>
    <x v="0"/>
    <x v="3"/>
  </r>
  <r>
    <x v="2"/>
    <x v="4"/>
    <x v="2"/>
    <x v="15"/>
    <x v="53"/>
    <n v="70"/>
    <n v="59"/>
    <x v="912"/>
    <n v="13.45"/>
    <n v="2.5099999999999998"/>
    <n v="0"/>
    <n v="250"/>
    <x v="1"/>
    <x v="1"/>
    <x v="1"/>
  </r>
  <r>
    <x v="0"/>
    <x v="2"/>
    <x v="3"/>
    <x v="4"/>
    <x v="213"/>
    <n v="154"/>
    <n v="132"/>
    <x v="913"/>
    <n v="31.42"/>
    <n v="5.24"/>
    <n v="7.18"/>
    <n v="184"/>
    <x v="0"/>
    <x v="2"/>
    <x v="2"/>
  </r>
  <r>
    <x v="2"/>
    <x v="10"/>
    <x v="2"/>
    <x v="10"/>
    <x v="45"/>
    <n v="410"/>
    <n v="166"/>
    <x v="914"/>
    <n v="50.3"/>
    <n v="73.930000000000007"/>
    <n v="-0.51"/>
    <n v="88"/>
    <x v="2"/>
    <x v="2"/>
    <x v="3"/>
  </r>
  <r>
    <x v="1"/>
    <x v="1"/>
    <x v="4"/>
    <x v="7"/>
    <x v="395"/>
    <n v="412"/>
    <n v="214"/>
    <x v="915"/>
    <n v="62.92"/>
    <n v="58.21"/>
    <n v="4.32"/>
    <n v="43"/>
    <x v="0"/>
    <x v="0"/>
    <x v="0"/>
  </r>
  <r>
    <x v="1"/>
    <x v="5"/>
    <x v="1"/>
    <x v="1"/>
    <x v="199"/>
    <n v="293"/>
    <n v="235"/>
    <x v="916"/>
    <n v="67.209999999999994"/>
    <n v="16.59"/>
    <n v="-4.99"/>
    <n v="269"/>
    <x v="1"/>
    <x v="2"/>
    <x v="0"/>
  </r>
  <r>
    <x v="1"/>
    <x v="1"/>
    <x v="3"/>
    <x v="4"/>
    <x v="230"/>
    <n v="410"/>
    <n v="244"/>
    <x v="917"/>
    <n v="79.3"/>
    <n v="53.95"/>
    <n v="15.14"/>
    <n v="62"/>
    <x v="1"/>
    <x v="0"/>
    <x v="2"/>
  </r>
  <r>
    <x v="1"/>
    <x v="8"/>
    <x v="4"/>
    <x v="6"/>
    <x v="396"/>
    <n v="246"/>
    <n v="72"/>
    <x v="201"/>
    <n v="6.48"/>
    <n v="15.66"/>
    <n v="9.58"/>
    <n v="135"/>
    <x v="0"/>
    <x v="0"/>
    <x v="1"/>
  </r>
  <r>
    <x v="2"/>
    <x v="4"/>
    <x v="1"/>
    <x v="16"/>
    <x v="254"/>
    <n v="302"/>
    <n v="199"/>
    <x v="918"/>
    <n v="59.5"/>
    <n v="30.8"/>
    <n v="10.7"/>
    <n v="144"/>
    <x v="2"/>
    <x v="3"/>
    <x v="0"/>
  </r>
  <r>
    <x v="2"/>
    <x v="7"/>
    <x v="4"/>
    <x v="5"/>
    <x v="111"/>
    <n v="399"/>
    <n v="311"/>
    <x v="919"/>
    <n v="152.38999999999999"/>
    <n v="43.12"/>
    <n v="-2.87"/>
    <n v="172"/>
    <x v="1"/>
    <x v="0"/>
    <x v="2"/>
  </r>
  <r>
    <x v="0"/>
    <x v="10"/>
    <x v="2"/>
    <x v="2"/>
    <x v="188"/>
    <n v="320"/>
    <n v="157"/>
    <x v="920"/>
    <n v="25.28"/>
    <n v="26.24"/>
    <n v="19.010000000000002"/>
    <n v="216"/>
    <x v="2"/>
    <x v="2"/>
    <x v="1"/>
  </r>
  <r>
    <x v="1"/>
    <x v="5"/>
    <x v="3"/>
    <x v="12"/>
    <x v="397"/>
    <n v="263"/>
    <n v="36"/>
    <x v="921"/>
    <n v="2.12"/>
    <n v="13.39"/>
    <n v="24.15"/>
    <n v="191"/>
    <x v="0"/>
    <x v="1"/>
    <x v="1"/>
  </r>
  <r>
    <x v="0"/>
    <x v="6"/>
    <x v="0"/>
    <x v="3"/>
    <x v="248"/>
    <n v="440"/>
    <n v="266"/>
    <x v="922"/>
    <n v="116.77"/>
    <n v="76.39"/>
    <n v="10.06"/>
    <n v="135"/>
    <x v="2"/>
    <x v="3"/>
    <x v="1"/>
  </r>
  <r>
    <x v="0"/>
    <x v="10"/>
    <x v="1"/>
    <x v="16"/>
    <x v="76"/>
    <n v="257"/>
    <n v="201"/>
    <x v="923"/>
    <n v="46.63"/>
    <n v="12.99"/>
    <n v="21.75"/>
    <n v="68"/>
    <x v="2"/>
    <x v="2"/>
    <x v="1"/>
  </r>
  <r>
    <x v="2"/>
    <x v="10"/>
    <x v="3"/>
    <x v="9"/>
    <x v="61"/>
    <n v="412"/>
    <n v="226"/>
    <x v="924"/>
    <n v="110.29"/>
    <n v="90.77"/>
    <n v="10.37"/>
    <n v="199"/>
    <x v="0"/>
    <x v="0"/>
    <x v="2"/>
  </r>
  <r>
    <x v="2"/>
    <x v="5"/>
    <x v="3"/>
    <x v="8"/>
    <x v="129"/>
    <n v="391"/>
    <n v="340"/>
    <x v="925"/>
    <n v="60.18"/>
    <n v="9.0299999999999994"/>
    <n v="-0.17"/>
    <n v="249"/>
    <x v="2"/>
    <x v="3"/>
    <x v="2"/>
  </r>
  <r>
    <x v="1"/>
    <x v="11"/>
    <x v="2"/>
    <x v="10"/>
    <x v="191"/>
    <n v="119"/>
    <n v="48"/>
    <x v="926"/>
    <n v="4.18"/>
    <n v="6.18"/>
    <n v="17.440000000000001"/>
    <n v="36"/>
    <x v="0"/>
    <x v="1"/>
    <x v="2"/>
  </r>
  <r>
    <x v="0"/>
    <x v="2"/>
    <x v="2"/>
    <x v="2"/>
    <x v="160"/>
    <n v="326"/>
    <n v="241"/>
    <x v="927"/>
    <n v="17.59"/>
    <n v="6.2"/>
    <n v="16.489999999999998"/>
    <n v="187"/>
    <x v="0"/>
    <x v="2"/>
    <x v="3"/>
  </r>
  <r>
    <x v="0"/>
    <x v="2"/>
    <x v="4"/>
    <x v="6"/>
    <x v="354"/>
    <n v="271"/>
    <n v="46"/>
    <x v="928"/>
    <n v="11.82"/>
    <n v="57.83"/>
    <n v="6.13"/>
    <n v="115"/>
    <x v="0"/>
    <x v="3"/>
    <x v="3"/>
  </r>
  <r>
    <x v="0"/>
    <x v="9"/>
    <x v="4"/>
    <x v="5"/>
    <x v="171"/>
    <n v="448"/>
    <n v="209"/>
    <x v="929"/>
    <n v="33.44"/>
    <n v="38.24"/>
    <n v="23.55"/>
    <n v="99"/>
    <x v="1"/>
    <x v="3"/>
    <x v="3"/>
  </r>
  <r>
    <x v="1"/>
    <x v="11"/>
    <x v="1"/>
    <x v="11"/>
    <x v="343"/>
    <n v="444"/>
    <n v="398"/>
    <x v="930"/>
    <n v="77.209999999999994"/>
    <n v="8.92"/>
    <n v="17.239999999999998"/>
    <n v="125"/>
    <x v="2"/>
    <x v="0"/>
    <x v="1"/>
  </r>
  <r>
    <x v="2"/>
    <x v="8"/>
    <x v="3"/>
    <x v="12"/>
    <x v="318"/>
    <n v="302"/>
    <n v="215"/>
    <x v="931"/>
    <n v="88.8"/>
    <n v="35.93"/>
    <n v="23.23"/>
    <n v="27"/>
    <x v="2"/>
    <x v="3"/>
    <x v="1"/>
  </r>
  <r>
    <x v="1"/>
    <x v="8"/>
    <x v="3"/>
    <x v="8"/>
    <x v="398"/>
    <n v="185"/>
    <n v="35"/>
    <x v="932"/>
    <n v="9.2799999999999994"/>
    <n v="39.75"/>
    <n v="6.4"/>
    <n v="134"/>
    <x v="2"/>
    <x v="0"/>
    <x v="1"/>
  </r>
  <r>
    <x v="2"/>
    <x v="2"/>
    <x v="4"/>
    <x v="5"/>
    <x v="37"/>
    <n v="274"/>
    <n v="109"/>
    <x v="933"/>
    <n v="27.47"/>
    <n v="41.58"/>
    <n v="4.22"/>
    <n v="106"/>
    <x v="1"/>
    <x v="3"/>
    <x v="2"/>
  </r>
  <r>
    <x v="0"/>
    <x v="4"/>
    <x v="1"/>
    <x v="16"/>
    <x v="130"/>
    <n v="303"/>
    <n v="209"/>
    <x v="934"/>
    <n v="87.57"/>
    <n v="39.39"/>
    <n v="14.63"/>
    <n v="114"/>
    <x v="2"/>
    <x v="0"/>
    <x v="1"/>
  </r>
  <r>
    <x v="1"/>
    <x v="9"/>
    <x v="0"/>
    <x v="3"/>
    <x v="48"/>
    <n v="404"/>
    <n v="249"/>
    <x v="935"/>
    <n v="71.709999999999994"/>
    <n v="44.64"/>
    <n v="2.68"/>
    <n v="136"/>
    <x v="2"/>
    <x v="0"/>
    <x v="0"/>
  </r>
  <r>
    <x v="2"/>
    <x v="3"/>
    <x v="2"/>
    <x v="15"/>
    <x v="266"/>
    <n v="346"/>
    <n v="330"/>
    <x v="216"/>
    <n v="41.25"/>
    <n v="2"/>
    <n v="-0.56000000000000005"/>
    <n v="99"/>
    <x v="1"/>
    <x v="0"/>
    <x v="0"/>
  </r>
  <r>
    <x v="1"/>
    <x v="10"/>
    <x v="3"/>
    <x v="12"/>
    <x v="399"/>
    <n v="425"/>
    <n v="228"/>
    <x v="936"/>
    <n v="101"/>
    <n v="87.27"/>
    <n v="14.39"/>
    <n v="206"/>
    <x v="1"/>
    <x v="1"/>
    <x v="1"/>
  </r>
  <r>
    <x v="0"/>
    <x v="6"/>
    <x v="2"/>
    <x v="15"/>
    <x v="189"/>
    <n v="197"/>
    <n v="131"/>
    <x v="937"/>
    <n v="28.69"/>
    <n v="14.45"/>
    <n v="-0.51"/>
    <n v="244"/>
    <x v="2"/>
    <x v="3"/>
    <x v="0"/>
  </r>
  <r>
    <x v="0"/>
    <x v="3"/>
    <x v="3"/>
    <x v="8"/>
    <x v="25"/>
    <n v="418"/>
    <n v="356"/>
    <x v="938"/>
    <n v="129.58000000000001"/>
    <n v="22.57"/>
    <n v="14.48"/>
    <n v="27"/>
    <x v="2"/>
    <x v="2"/>
    <x v="1"/>
  </r>
  <r>
    <x v="2"/>
    <x v="9"/>
    <x v="1"/>
    <x v="16"/>
    <x v="13"/>
    <n v="248"/>
    <n v="98"/>
    <x v="939"/>
    <n v="30.97"/>
    <n v="47.4"/>
    <n v="-3.04"/>
    <n v="121"/>
    <x v="2"/>
    <x v="1"/>
    <x v="0"/>
  </r>
  <r>
    <x v="0"/>
    <x v="1"/>
    <x v="2"/>
    <x v="15"/>
    <x v="231"/>
    <n v="231"/>
    <n v="111"/>
    <x v="940"/>
    <n v="13.1"/>
    <n v="14.16"/>
    <n v="3.51"/>
    <n v="35"/>
    <x v="0"/>
    <x v="3"/>
    <x v="3"/>
  </r>
  <r>
    <x v="0"/>
    <x v="7"/>
    <x v="0"/>
    <x v="0"/>
    <x v="400"/>
    <n v="126"/>
    <n v="62"/>
    <x v="941"/>
    <n v="20.77"/>
    <n v="21.44"/>
    <n v="9.3800000000000008"/>
    <n v="127"/>
    <x v="0"/>
    <x v="2"/>
    <x v="0"/>
  </r>
  <r>
    <x v="1"/>
    <x v="6"/>
    <x v="0"/>
    <x v="3"/>
    <x v="401"/>
    <n v="249"/>
    <n v="80"/>
    <x v="942"/>
    <n v="30"/>
    <n v="63.38"/>
    <n v="4.59"/>
    <n v="34"/>
    <x v="0"/>
    <x v="0"/>
    <x v="3"/>
  </r>
  <r>
    <x v="1"/>
    <x v="2"/>
    <x v="1"/>
    <x v="16"/>
    <x v="68"/>
    <n v="314"/>
    <n v="253"/>
    <x v="943"/>
    <n v="47.82"/>
    <n v="11.53"/>
    <n v="3.64"/>
    <n v="48"/>
    <x v="1"/>
    <x v="1"/>
    <x v="3"/>
  </r>
  <r>
    <x v="2"/>
    <x v="5"/>
    <x v="0"/>
    <x v="0"/>
    <x v="155"/>
    <n v="133"/>
    <n v="90"/>
    <x v="944"/>
    <n v="34.92"/>
    <n v="16.68"/>
    <n v="-5.0199999999999996"/>
    <n v="92"/>
    <x v="2"/>
    <x v="2"/>
    <x v="1"/>
  </r>
  <r>
    <x v="0"/>
    <x v="2"/>
    <x v="1"/>
    <x v="13"/>
    <x v="260"/>
    <n v="163"/>
    <n v="30"/>
    <x v="945"/>
    <n v="10.41"/>
    <n v="46.15"/>
    <n v="9.1999999999999993"/>
    <n v="205"/>
    <x v="2"/>
    <x v="2"/>
    <x v="3"/>
  </r>
  <r>
    <x v="1"/>
    <x v="9"/>
    <x v="0"/>
    <x v="14"/>
    <x v="340"/>
    <n v="240"/>
    <n v="173"/>
    <x v="946"/>
    <n v="15.92"/>
    <n v="6.16"/>
    <n v="5.69"/>
    <n v="267"/>
    <x v="2"/>
    <x v="1"/>
    <x v="1"/>
  </r>
  <r>
    <x v="1"/>
    <x v="0"/>
    <x v="2"/>
    <x v="15"/>
    <x v="174"/>
    <n v="159"/>
    <n v="73"/>
    <x v="947"/>
    <n v="27.16"/>
    <n v="31.99"/>
    <n v="24.99"/>
    <n v="255"/>
    <x v="0"/>
    <x v="2"/>
    <x v="2"/>
  </r>
  <r>
    <x v="0"/>
    <x v="0"/>
    <x v="4"/>
    <x v="6"/>
    <x v="291"/>
    <n v="277"/>
    <n v="215"/>
    <x v="948"/>
    <n v="44.94"/>
    <n v="12.96"/>
    <n v="-7.93"/>
    <n v="278"/>
    <x v="1"/>
    <x v="2"/>
    <x v="0"/>
  </r>
  <r>
    <x v="2"/>
    <x v="5"/>
    <x v="4"/>
    <x v="5"/>
    <x v="104"/>
    <n v="354"/>
    <n v="279"/>
    <x v="949"/>
    <n v="24.83"/>
    <n v="6.68"/>
    <n v="-6.65"/>
    <n v="285"/>
    <x v="0"/>
    <x v="3"/>
    <x v="1"/>
  </r>
  <r>
    <x v="0"/>
    <x v="10"/>
    <x v="2"/>
    <x v="2"/>
    <x v="144"/>
    <n v="281"/>
    <n v="144"/>
    <x v="950"/>
    <n v="57.74"/>
    <n v="54.94"/>
    <n v="-9.8699999999999992"/>
    <n v="126"/>
    <x v="0"/>
    <x v="3"/>
    <x v="1"/>
  </r>
  <r>
    <x v="1"/>
    <x v="9"/>
    <x v="4"/>
    <x v="6"/>
    <x v="402"/>
    <n v="472"/>
    <n v="228"/>
    <x v="951"/>
    <n v="69.77"/>
    <n v="74.66"/>
    <n v="23.22"/>
    <n v="279"/>
    <x v="2"/>
    <x v="0"/>
    <x v="1"/>
  </r>
  <r>
    <x v="0"/>
    <x v="10"/>
    <x v="3"/>
    <x v="9"/>
    <x v="260"/>
    <n v="413"/>
    <n v="317"/>
    <x v="952"/>
    <n v="110"/>
    <n v="33.31"/>
    <n v="9.0399999999999991"/>
    <n v="269"/>
    <x v="2"/>
    <x v="0"/>
    <x v="2"/>
  </r>
  <r>
    <x v="0"/>
    <x v="1"/>
    <x v="3"/>
    <x v="4"/>
    <x v="104"/>
    <n v="339"/>
    <n v="109"/>
    <x v="953"/>
    <n v="9.6999999999999993"/>
    <n v="20.47"/>
    <n v="7"/>
    <n v="21"/>
    <x v="1"/>
    <x v="2"/>
    <x v="2"/>
  </r>
  <r>
    <x v="2"/>
    <x v="0"/>
    <x v="3"/>
    <x v="9"/>
    <x v="369"/>
    <n v="82"/>
    <n v="46"/>
    <x v="156"/>
    <n v="7.27"/>
    <n v="5.69"/>
    <n v="15.15"/>
    <n v="87"/>
    <x v="1"/>
    <x v="1"/>
    <x v="2"/>
  </r>
  <r>
    <x v="2"/>
    <x v="3"/>
    <x v="2"/>
    <x v="10"/>
    <x v="403"/>
    <n v="319"/>
    <n v="296"/>
    <x v="954"/>
    <n v="142.08000000000001"/>
    <n v="11.04"/>
    <n v="-2.6"/>
    <n v="69"/>
    <x v="1"/>
    <x v="1"/>
    <x v="0"/>
  </r>
  <r>
    <x v="1"/>
    <x v="4"/>
    <x v="0"/>
    <x v="3"/>
    <x v="64"/>
    <n v="265"/>
    <n v="215"/>
    <x v="955"/>
    <n v="38.909999999999997"/>
    <n v="9.0500000000000007"/>
    <n v="4.55"/>
    <n v="277"/>
    <x v="0"/>
    <x v="1"/>
    <x v="1"/>
  </r>
  <r>
    <x v="0"/>
    <x v="6"/>
    <x v="3"/>
    <x v="12"/>
    <x v="67"/>
    <n v="375"/>
    <n v="133"/>
    <x v="956"/>
    <n v="60.52"/>
    <n v="110.11"/>
    <n v="15.34"/>
    <n v="61"/>
    <x v="0"/>
    <x v="3"/>
    <x v="1"/>
  </r>
  <r>
    <x v="0"/>
    <x v="11"/>
    <x v="3"/>
    <x v="9"/>
    <x v="95"/>
    <n v="292"/>
    <n v="142"/>
    <x v="957"/>
    <n v="23"/>
    <n v="24.3"/>
    <n v="23.17"/>
    <n v="183"/>
    <x v="1"/>
    <x v="2"/>
    <x v="0"/>
  </r>
  <r>
    <x v="1"/>
    <x v="0"/>
    <x v="0"/>
    <x v="0"/>
    <x v="48"/>
    <n v="220"/>
    <n v="187"/>
    <x v="958"/>
    <n v="53.86"/>
    <n v="9.5"/>
    <n v="-2.7"/>
    <n v="237"/>
    <x v="2"/>
    <x v="2"/>
    <x v="2"/>
  </r>
  <r>
    <x v="1"/>
    <x v="5"/>
    <x v="4"/>
    <x v="7"/>
    <x v="278"/>
    <n v="138"/>
    <n v="52"/>
    <x v="959"/>
    <n v="7.18"/>
    <n v="11.87"/>
    <n v="5.42"/>
    <n v="77"/>
    <x v="1"/>
    <x v="1"/>
    <x v="2"/>
  </r>
  <r>
    <x v="2"/>
    <x v="10"/>
    <x v="2"/>
    <x v="2"/>
    <x v="351"/>
    <n v="361"/>
    <n v="347"/>
    <x v="960"/>
    <n v="86.06"/>
    <n v="3.47"/>
    <n v="4.1399999999999997"/>
    <n v="111"/>
    <x v="2"/>
    <x v="2"/>
    <x v="1"/>
  </r>
  <r>
    <x v="2"/>
    <x v="3"/>
    <x v="4"/>
    <x v="5"/>
    <x v="162"/>
    <n v="189"/>
    <n v="110"/>
    <x v="961"/>
    <n v="30.69"/>
    <n v="22.04"/>
    <n v="-6.07"/>
    <n v="143"/>
    <x v="0"/>
    <x v="0"/>
    <x v="0"/>
  </r>
  <r>
    <x v="1"/>
    <x v="8"/>
    <x v="3"/>
    <x v="9"/>
    <x v="94"/>
    <n v="387"/>
    <n v="134"/>
    <x v="962"/>
    <n v="58.69"/>
    <n v="110.81"/>
    <n v="1.31"/>
    <n v="260"/>
    <x v="1"/>
    <x v="2"/>
    <x v="2"/>
  </r>
  <r>
    <x v="1"/>
    <x v="8"/>
    <x v="3"/>
    <x v="4"/>
    <x v="74"/>
    <n v="375"/>
    <n v="129"/>
    <x v="396"/>
    <n v="17.03"/>
    <n v="32.47"/>
    <n v="2.4500000000000002"/>
    <n v="138"/>
    <x v="1"/>
    <x v="3"/>
    <x v="0"/>
  </r>
  <r>
    <x v="0"/>
    <x v="5"/>
    <x v="2"/>
    <x v="15"/>
    <x v="203"/>
    <n v="394"/>
    <n v="273"/>
    <x v="963"/>
    <n v="52.14"/>
    <n v="23.11"/>
    <n v="-6.16"/>
    <n v="75"/>
    <x v="2"/>
    <x v="3"/>
    <x v="3"/>
  </r>
  <r>
    <x v="1"/>
    <x v="9"/>
    <x v="1"/>
    <x v="1"/>
    <x v="33"/>
    <n v="342"/>
    <n v="224"/>
    <x v="964"/>
    <n v="29.12"/>
    <n v="15.34"/>
    <n v="11.85"/>
    <n v="213"/>
    <x v="1"/>
    <x v="3"/>
    <x v="1"/>
  </r>
  <r>
    <x v="0"/>
    <x v="4"/>
    <x v="0"/>
    <x v="0"/>
    <x v="91"/>
    <n v="500"/>
    <n v="245"/>
    <x v="965"/>
    <n v="101.92"/>
    <n v="106.08"/>
    <n v="-3.89"/>
    <n v="230"/>
    <x v="2"/>
    <x v="1"/>
    <x v="0"/>
  </r>
  <r>
    <x v="1"/>
    <x v="9"/>
    <x v="3"/>
    <x v="9"/>
    <x v="374"/>
    <n v="213"/>
    <n v="195"/>
    <x v="966"/>
    <n v="39.590000000000003"/>
    <n v="3.65"/>
    <n v="6.19"/>
    <n v="69"/>
    <x v="0"/>
    <x v="1"/>
    <x v="1"/>
  </r>
  <r>
    <x v="0"/>
    <x v="7"/>
    <x v="1"/>
    <x v="1"/>
    <x v="365"/>
    <n v="297"/>
    <n v="97"/>
    <x v="967"/>
    <n v="41.03"/>
    <n v="84.6"/>
    <n v="13.01"/>
    <n v="295"/>
    <x v="0"/>
    <x v="3"/>
    <x v="2"/>
  </r>
  <r>
    <x v="0"/>
    <x v="7"/>
    <x v="4"/>
    <x v="6"/>
    <x v="404"/>
    <n v="459"/>
    <n v="182"/>
    <x v="968"/>
    <n v="24.75"/>
    <n v="37.67"/>
    <n v="22.94"/>
    <n v="107"/>
    <x v="0"/>
    <x v="2"/>
    <x v="3"/>
  </r>
  <r>
    <x v="0"/>
    <x v="10"/>
    <x v="0"/>
    <x v="3"/>
    <x v="356"/>
    <n v="302"/>
    <n v="210"/>
    <x v="296"/>
    <n v="31.92"/>
    <n v="13.98"/>
    <n v="6.93"/>
    <n v="163"/>
    <x v="2"/>
    <x v="3"/>
    <x v="3"/>
  </r>
  <r>
    <x v="2"/>
    <x v="4"/>
    <x v="4"/>
    <x v="7"/>
    <x v="188"/>
    <n v="245"/>
    <n v="179"/>
    <x v="969"/>
    <n v="28.82"/>
    <n v="10.63"/>
    <n v="5.81"/>
    <n v="244"/>
    <x v="1"/>
    <x v="1"/>
    <x v="0"/>
  </r>
  <r>
    <x v="2"/>
    <x v="7"/>
    <x v="4"/>
    <x v="6"/>
    <x v="75"/>
    <n v="409"/>
    <n v="204"/>
    <x v="970"/>
    <n v="41"/>
    <n v="41.21"/>
    <n v="16.02"/>
    <n v="269"/>
    <x v="0"/>
    <x v="1"/>
    <x v="0"/>
  </r>
  <r>
    <x v="2"/>
    <x v="0"/>
    <x v="0"/>
    <x v="0"/>
    <x v="284"/>
    <n v="319"/>
    <n v="280"/>
    <x v="971"/>
    <n v="23.52"/>
    <n v="3.28"/>
    <n v="-9.09"/>
    <n v="176"/>
    <x v="2"/>
    <x v="2"/>
    <x v="0"/>
  </r>
  <r>
    <x v="0"/>
    <x v="9"/>
    <x v="4"/>
    <x v="5"/>
    <x v="88"/>
    <n v="164"/>
    <n v="98"/>
    <x v="201"/>
    <n v="13.23"/>
    <n v="8.91"/>
    <n v="21.13"/>
    <n v="111"/>
    <x v="2"/>
    <x v="0"/>
    <x v="3"/>
  </r>
  <r>
    <x v="1"/>
    <x v="2"/>
    <x v="0"/>
    <x v="14"/>
    <x v="116"/>
    <n v="358"/>
    <n v="31"/>
    <x v="972"/>
    <n v="12.18"/>
    <n v="128.51"/>
    <n v="3.72"/>
    <n v="296"/>
    <x v="1"/>
    <x v="2"/>
    <x v="2"/>
  </r>
  <r>
    <x v="0"/>
    <x v="7"/>
    <x v="0"/>
    <x v="14"/>
    <x v="219"/>
    <n v="202"/>
    <n v="96"/>
    <x v="444"/>
    <n v="27.36"/>
    <n v="30.21"/>
    <n v="-1.8"/>
    <n v="165"/>
    <x v="0"/>
    <x v="2"/>
    <x v="3"/>
  </r>
  <r>
    <x v="1"/>
    <x v="1"/>
    <x v="2"/>
    <x v="15"/>
    <x v="228"/>
    <n v="240"/>
    <n v="188"/>
    <x v="973"/>
    <n v="71.06"/>
    <n v="19.66"/>
    <n v="-4.29"/>
    <n v="24"/>
    <x v="0"/>
    <x v="1"/>
    <x v="3"/>
  </r>
  <r>
    <x v="2"/>
    <x v="3"/>
    <x v="4"/>
    <x v="6"/>
    <x v="309"/>
    <n v="202"/>
    <n v="116"/>
    <x v="974"/>
    <n v="40.950000000000003"/>
    <n v="30.36"/>
    <n v="18.96"/>
    <n v="23"/>
    <x v="0"/>
    <x v="1"/>
    <x v="3"/>
  </r>
  <r>
    <x v="0"/>
    <x v="8"/>
    <x v="0"/>
    <x v="0"/>
    <x v="386"/>
    <n v="232"/>
    <n v="91"/>
    <x v="975"/>
    <n v="13.74"/>
    <n v="21.29"/>
    <n v="-8.4700000000000006"/>
    <n v="227"/>
    <x v="1"/>
    <x v="2"/>
    <x v="3"/>
  </r>
  <r>
    <x v="0"/>
    <x v="1"/>
    <x v="3"/>
    <x v="12"/>
    <x v="375"/>
    <n v="408"/>
    <n v="284"/>
    <x v="976"/>
    <n v="130.91999999999999"/>
    <n v="57.16"/>
    <n v="-5.1100000000000003"/>
    <n v="121"/>
    <x v="0"/>
    <x v="0"/>
    <x v="3"/>
  </r>
  <r>
    <x v="1"/>
    <x v="2"/>
    <x v="3"/>
    <x v="9"/>
    <x v="159"/>
    <n v="449"/>
    <n v="287"/>
    <x v="977"/>
    <n v="113.36"/>
    <n v="63.99"/>
    <n v="16.899999999999999"/>
    <n v="274"/>
    <x v="2"/>
    <x v="2"/>
    <x v="1"/>
  </r>
  <r>
    <x v="1"/>
    <x v="2"/>
    <x v="4"/>
    <x v="5"/>
    <x v="297"/>
    <n v="390"/>
    <n v="193"/>
    <x v="978"/>
    <n v="36.67"/>
    <n v="37.43"/>
    <n v="5.72"/>
    <n v="102"/>
    <x v="2"/>
    <x v="1"/>
    <x v="3"/>
  </r>
  <r>
    <x v="2"/>
    <x v="8"/>
    <x v="0"/>
    <x v="0"/>
    <x v="405"/>
    <n v="317"/>
    <n v="85"/>
    <x v="979"/>
    <n v="10.119999999999999"/>
    <n v="27.61"/>
    <n v="19.7"/>
    <n v="234"/>
    <x v="1"/>
    <x v="0"/>
    <x v="3"/>
  </r>
  <r>
    <x v="0"/>
    <x v="5"/>
    <x v="0"/>
    <x v="0"/>
    <x v="285"/>
    <n v="468"/>
    <n v="84"/>
    <x v="980"/>
    <n v="39.65"/>
    <n v="181.25"/>
    <n v="6.93"/>
    <n v="210"/>
    <x v="0"/>
    <x v="3"/>
    <x v="1"/>
  </r>
  <r>
    <x v="2"/>
    <x v="10"/>
    <x v="2"/>
    <x v="2"/>
    <x v="177"/>
    <n v="211"/>
    <n v="70"/>
    <x v="981"/>
    <n v="24.01"/>
    <n v="48.36"/>
    <n v="22.78"/>
    <n v="42"/>
    <x v="0"/>
    <x v="1"/>
    <x v="1"/>
  </r>
  <r>
    <x v="0"/>
    <x v="11"/>
    <x v="1"/>
    <x v="11"/>
    <x v="35"/>
    <n v="498"/>
    <n v="484"/>
    <x v="982"/>
    <n v="130.68"/>
    <n v="3.78"/>
    <n v="19.45"/>
    <n v="180"/>
    <x v="1"/>
    <x v="3"/>
    <x v="2"/>
  </r>
  <r>
    <x v="1"/>
    <x v="3"/>
    <x v="0"/>
    <x v="14"/>
    <x v="406"/>
    <n v="462"/>
    <n v="415"/>
    <x v="983"/>
    <n v="181.35"/>
    <n v="20.54"/>
    <n v="2.3199999999999998"/>
    <n v="186"/>
    <x v="2"/>
    <x v="3"/>
    <x v="0"/>
  </r>
  <r>
    <x v="2"/>
    <x v="3"/>
    <x v="3"/>
    <x v="8"/>
    <x v="356"/>
    <n v="381"/>
    <n v="247"/>
    <x v="984"/>
    <n v="37.54"/>
    <n v="20.37"/>
    <n v="-9.8699999999999992"/>
    <n v="281"/>
    <x v="2"/>
    <x v="0"/>
    <x v="2"/>
  </r>
  <r>
    <x v="0"/>
    <x v="10"/>
    <x v="3"/>
    <x v="12"/>
    <x v="108"/>
    <n v="277"/>
    <n v="153"/>
    <x v="985"/>
    <n v="69.31"/>
    <n v="56.17"/>
    <n v="3.09"/>
    <n v="119"/>
    <x v="0"/>
    <x v="0"/>
    <x v="0"/>
  </r>
  <r>
    <x v="1"/>
    <x v="8"/>
    <x v="1"/>
    <x v="11"/>
    <x v="187"/>
    <n v="213"/>
    <n v="45"/>
    <x v="986"/>
    <n v="12.51"/>
    <n v="46.7"/>
    <n v="15.26"/>
    <n v="184"/>
    <x v="1"/>
    <x v="1"/>
    <x v="2"/>
  </r>
  <r>
    <x v="1"/>
    <x v="7"/>
    <x v="3"/>
    <x v="9"/>
    <x v="309"/>
    <n v="480"/>
    <n v="110"/>
    <x v="987"/>
    <n v="38.83"/>
    <n v="130.61000000000001"/>
    <n v="15.92"/>
    <n v="139"/>
    <x v="1"/>
    <x v="2"/>
    <x v="1"/>
  </r>
  <r>
    <x v="0"/>
    <x v="5"/>
    <x v="1"/>
    <x v="13"/>
    <x v="188"/>
    <n v="476"/>
    <n v="55"/>
    <x v="988"/>
    <n v="8.86"/>
    <n v="67.78"/>
    <n v="13.03"/>
    <n v="144"/>
    <x v="0"/>
    <x v="0"/>
    <x v="3"/>
  </r>
  <r>
    <x v="2"/>
    <x v="0"/>
    <x v="4"/>
    <x v="6"/>
    <x v="127"/>
    <n v="103"/>
    <n v="80"/>
    <x v="989"/>
    <n v="38.64"/>
    <n v="11.11"/>
    <n v="9.57"/>
    <n v="158"/>
    <x v="0"/>
    <x v="2"/>
    <x v="1"/>
  </r>
  <r>
    <x v="1"/>
    <x v="4"/>
    <x v="1"/>
    <x v="11"/>
    <x v="249"/>
    <n v="436"/>
    <n v="269"/>
    <x v="990"/>
    <n v="107.33"/>
    <n v="66.63"/>
    <n v="-8.14"/>
    <n v="197"/>
    <x v="2"/>
    <x v="0"/>
    <x v="1"/>
  </r>
  <r>
    <x v="2"/>
    <x v="4"/>
    <x v="3"/>
    <x v="4"/>
    <x v="225"/>
    <n v="398"/>
    <n v="239"/>
    <x v="991"/>
    <n v="82.69"/>
    <n v="55.01"/>
    <n v="19.61"/>
    <n v="137"/>
    <x v="1"/>
    <x v="1"/>
    <x v="3"/>
  </r>
  <r>
    <x v="1"/>
    <x v="0"/>
    <x v="2"/>
    <x v="10"/>
    <x v="295"/>
    <n v="298"/>
    <n v="71"/>
    <x v="992"/>
    <n v="32.94"/>
    <n v="105.33"/>
    <n v="19.55"/>
    <n v="224"/>
    <x v="0"/>
    <x v="3"/>
    <x v="0"/>
  </r>
  <r>
    <x v="0"/>
    <x v="8"/>
    <x v="0"/>
    <x v="14"/>
    <x v="383"/>
    <n v="368"/>
    <n v="33"/>
    <x v="993"/>
    <n v="6.53"/>
    <n v="66.33"/>
    <n v="-3.27"/>
    <n v="291"/>
    <x v="1"/>
    <x v="3"/>
    <x v="3"/>
  </r>
  <r>
    <x v="2"/>
    <x v="3"/>
    <x v="1"/>
    <x v="16"/>
    <x v="184"/>
    <n v="418"/>
    <n v="182"/>
    <x v="994"/>
    <n v="41.68"/>
    <n v="54.04"/>
    <n v="-3"/>
    <n v="150"/>
    <x v="1"/>
    <x v="1"/>
    <x v="2"/>
  </r>
  <r>
    <x v="1"/>
    <x v="4"/>
    <x v="2"/>
    <x v="15"/>
    <x v="203"/>
    <n v="479"/>
    <n v="374"/>
    <x v="995"/>
    <n v="71.430000000000007"/>
    <n v="20.059999999999999"/>
    <n v="3.41"/>
    <n v="264"/>
    <x v="1"/>
    <x v="1"/>
    <x v="3"/>
  </r>
  <r>
    <x v="1"/>
    <x v="3"/>
    <x v="0"/>
    <x v="3"/>
    <x v="407"/>
    <n v="321"/>
    <n v="285"/>
    <x v="996"/>
    <n v="31.64"/>
    <n v="4"/>
    <n v="-7.71"/>
    <n v="85"/>
    <x v="0"/>
    <x v="2"/>
    <x v="3"/>
  </r>
  <r>
    <x v="2"/>
    <x v="7"/>
    <x v="4"/>
    <x v="7"/>
    <x v="111"/>
    <n v="233"/>
    <n v="127"/>
    <x v="997"/>
    <n v="62.23"/>
    <n v="51.94"/>
    <n v="-1.18"/>
    <n v="236"/>
    <x v="1"/>
    <x v="0"/>
    <x v="1"/>
  </r>
  <r>
    <x v="2"/>
    <x v="2"/>
    <x v="0"/>
    <x v="0"/>
    <x v="28"/>
    <n v="170"/>
    <n v="49"/>
    <x v="998"/>
    <n v="19.940000000000001"/>
    <n v="49.25"/>
    <n v="6.47"/>
    <n v="136"/>
    <x v="2"/>
    <x v="1"/>
    <x v="1"/>
  </r>
  <r>
    <x v="2"/>
    <x v="10"/>
    <x v="0"/>
    <x v="14"/>
    <x v="85"/>
    <n v="155"/>
    <n v="141"/>
    <x v="999"/>
    <n v="24.39"/>
    <n v="2.42"/>
    <n v="-7.22"/>
    <n v="51"/>
    <x v="1"/>
    <x v="2"/>
    <x v="1"/>
  </r>
  <r>
    <x v="2"/>
    <x v="7"/>
    <x v="1"/>
    <x v="13"/>
    <x v="105"/>
    <n v="146"/>
    <n v="117"/>
    <x v="1000"/>
    <n v="47.38"/>
    <n v="11.75"/>
    <n v="7.39"/>
    <n v="280"/>
    <x v="2"/>
    <x v="2"/>
    <x v="1"/>
  </r>
  <r>
    <x v="1"/>
    <x v="3"/>
    <x v="0"/>
    <x v="0"/>
    <x v="308"/>
    <n v="397"/>
    <n v="152"/>
    <x v="1001"/>
    <n v="69.010000000000005"/>
    <n v="111.23"/>
    <n v="4.57"/>
    <n v="94"/>
    <x v="2"/>
    <x v="1"/>
    <x v="3"/>
  </r>
  <r>
    <x v="0"/>
    <x v="6"/>
    <x v="3"/>
    <x v="8"/>
    <x v="89"/>
    <n v="383"/>
    <n v="61"/>
    <x v="1002"/>
    <n v="25.01"/>
    <n v="132.02000000000001"/>
    <n v="-6.07"/>
    <n v="279"/>
    <x v="0"/>
    <x v="0"/>
    <x v="0"/>
  </r>
  <r>
    <x v="2"/>
    <x v="5"/>
    <x v="0"/>
    <x v="0"/>
    <x v="0"/>
    <n v="460"/>
    <n v="168"/>
    <x v="1003"/>
    <n v="8.57"/>
    <n v="14.89"/>
    <n v="15.32"/>
    <n v="82"/>
    <x v="1"/>
    <x v="3"/>
    <x v="2"/>
  </r>
  <r>
    <x v="0"/>
    <x v="2"/>
    <x v="1"/>
    <x v="16"/>
    <x v="398"/>
    <n v="293"/>
    <n v="228"/>
    <x v="1004"/>
    <n v="60.42"/>
    <n v="17.22"/>
    <n v="-9.35"/>
    <n v="173"/>
    <x v="2"/>
    <x v="0"/>
    <x v="1"/>
  </r>
  <r>
    <x v="0"/>
    <x v="1"/>
    <x v="0"/>
    <x v="3"/>
    <x v="308"/>
    <n v="474"/>
    <n v="460"/>
    <x v="1005"/>
    <n v="208.84"/>
    <n v="6.36"/>
    <n v="24.42"/>
    <n v="219"/>
    <x v="2"/>
    <x v="3"/>
    <x v="0"/>
  </r>
  <r>
    <x v="1"/>
    <x v="2"/>
    <x v="1"/>
    <x v="1"/>
    <x v="261"/>
    <n v="251"/>
    <n v="40"/>
    <x v="1006"/>
    <n v="9"/>
    <n v="47.48"/>
    <n v="2.78"/>
    <n v="241"/>
    <x v="0"/>
    <x v="0"/>
    <x v="3"/>
  </r>
  <r>
    <x v="1"/>
    <x v="11"/>
    <x v="3"/>
    <x v="4"/>
    <x v="343"/>
    <n v="117"/>
    <n v="100"/>
    <x v="1007"/>
    <n v="19.399999999999999"/>
    <n v="3.3"/>
    <n v="9.7100000000000009"/>
    <n v="298"/>
    <x v="2"/>
    <x v="0"/>
    <x v="3"/>
  </r>
  <r>
    <x v="0"/>
    <x v="6"/>
    <x v="2"/>
    <x v="2"/>
    <x v="294"/>
    <n v="337"/>
    <n v="167"/>
    <x v="1008"/>
    <n v="9.19"/>
    <n v="9.35"/>
    <n v="15.76"/>
    <n v="248"/>
    <x v="1"/>
    <x v="3"/>
    <x v="2"/>
  </r>
  <r>
    <x v="2"/>
    <x v="9"/>
    <x v="1"/>
    <x v="16"/>
    <x v="265"/>
    <n v="435"/>
    <n v="164"/>
    <x v="1009"/>
    <n v="71.180000000000007"/>
    <n v="117.61"/>
    <n v="-8.99"/>
    <n v="100"/>
    <x v="1"/>
    <x v="3"/>
    <x v="2"/>
  </r>
  <r>
    <x v="2"/>
    <x v="9"/>
    <x v="3"/>
    <x v="4"/>
    <x v="176"/>
    <n v="455"/>
    <n v="230"/>
    <x v="1010"/>
    <n v="74.52"/>
    <n v="72.900000000000006"/>
    <n v="1.88"/>
    <n v="175"/>
    <x v="2"/>
    <x v="1"/>
    <x v="0"/>
  </r>
  <r>
    <x v="2"/>
    <x v="9"/>
    <x v="4"/>
    <x v="5"/>
    <x v="408"/>
    <n v="441"/>
    <n v="355"/>
    <x v="1011"/>
    <n v="89.11"/>
    <n v="21.59"/>
    <n v="22.55"/>
    <n v="240"/>
    <x v="0"/>
    <x v="3"/>
    <x v="0"/>
  </r>
  <r>
    <x v="0"/>
    <x v="1"/>
    <x v="0"/>
    <x v="0"/>
    <x v="329"/>
    <n v="497"/>
    <n v="427"/>
    <x v="1012"/>
    <n v="80.28"/>
    <n v="13.16"/>
    <n v="-7.35"/>
    <n v="87"/>
    <x v="2"/>
    <x v="3"/>
    <x v="0"/>
  </r>
  <r>
    <x v="1"/>
    <x v="5"/>
    <x v="4"/>
    <x v="5"/>
    <x v="409"/>
    <n v="78"/>
    <n v="47"/>
    <x v="1013"/>
    <n v="21.9"/>
    <n v="14.45"/>
    <n v="13.48"/>
    <n v="175"/>
    <x v="2"/>
    <x v="0"/>
    <x v="3"/>
  </r>
  <r>
    <x v="2"/>
    <x v="2"/>
    <x v="0"/>
    <x v="0"/>
    <x v="41"/>
    <n v="54"/>
    <n v="33"/>
    <x v="1014"/>
    <n v="2.67"/>
    <n v="1.7"/>
    <n v="-7.51"/>
    <n v="258"/>
    <x v="2"/>
    <x v="3"/>
    <x v="3"/>
  </r>
  <r>
    <x v="2"/>
    <x v="3"/>
    <x v="3"/>
    <x v="8"/>
    <x v="297"/>
    <n v="301"/>
    <n v="199"/>
    <x v="1015"/>
    <n v="37.81"/>
    <n v="19.38"/>
    <n v="10.41"/>
    <n v="224"/>
    <x v="0"/>
    <x v="0"/>
    <x v="0"/>
  </r>
  <r>
    <x v="2"/>
    <x v="4"/>
    <x v="1"/>
    <x v="13"/>
    <x v="358"/>
    <n v="247"/>
    <n v="137"/>
    <x v="1016"/>
    <n v="48.77"/>
    <n v="39.159999999999997"/>
    <n v="-6.93"/>
    <n v="214"/>
    <x v="0"/>
    <x v="1"/>
    <x v="1"/>
  </r>
  <r>
    <x v="1"/>
    <x v="1"/>
    <x v="1"/>
    <x v="16"/>
    <x v="410"/>
    <n v="98"/>
    <n v="73"/>
    <x v="1017"/>
    <n v="28.18"/>
    <n v="9.65"/>
    <n v="-3.22"/>
    <n v="263"/>
    <x v="1"/>
    <x v="2"/>
    <x v="2"/>
  </r>
  <r>
    <x v="2"/>
    <x v="5"/>
    <x v="1"/>
    <x v="13"/>
    <x v="411"/>
    <n v="390"/>
    <n v="90"/>
    <x v="1018"/>
    <n v="18.45"/>
    <n v="61.5"/>
    <n v="12.27"/>
    <n v="51"/>
    <x v="0"/>
    <x v="1"/>
    <x v="1"/>
  </r>
  <r>
    <x v="1"/>
    <x v="3"/>
    <x v="0"/>
    <x v="14"/>
    <x v="409"/>
    <n v="88"/>
    <n v="38"/>
    <x v="1019"/>
    <n v="17.71"/>
    <n v="23.3"/>
    <n v="12.14"/>
    <n v="300"/>
    <x v="0"/>
    <x v="2"/>
    <x v="3"/>
  </r>
  <r>
    <x v="0"/>
    <x v="7"/>
    <x v="1"/>
    <x v="13"/>
    <x v="273"/>
    <n v="409"/>
    <n v="397"/>
    <x v="721"/>
    <n v="123.47"/>
    <n v="3.73"/>
    <n v="-4.6399999999999997"/>
    <n v="169"/>
    <x v="0"/>
    <x v="3"/>
    <x v="1"/>
  </r>
  <r>
    <x v="2"/>
    <x v="2"/>
    <x v="3"/>
    <x v="8"/>
    <x v="120"/>
    <n v="301"/>
    <n v="35"/>
    <x v="1020"/>
    <n v="17.36"/>
    <n v="131.94"/>
    <n v="4.51"/>
    <n v="218"/>
    <x v="1"/>
    <x v="3"/>
    <x v="0"/>
  </r>
  <r>
    <x v="1"/>
    <x v="10"/>
    <x v="0"/>
    <x v="0"/>
    <x v="80"/>
    <n v="367"/>
    <n v="105"/>
    <x v="1021"/>
    <n v="35.799999999999997"/>
    <n v="89.34"/>
    <n v="5.78"/>
    <n v="245"/>
    <x v="0"/>
    <x v="1"/>
    <x v="2"/>
  </r>
  <r>
    <x v="2"/>
    <x v="1"/>
    <x v="0"/>
    <x v="0"/>
    <x v="323"/>
    <n v="110"/>
    <n v="50"/>
    <x v="1022"/>
    <n v="24.85"/>
    <n v="29.82"/>
    <n v="5.2"/>
    <n v="201"/>
    <x v="0"/>
    <x v="2"/>
    <x v="3"/>
  </r>
  <r>
    <x v="1"/>
    <x v="1"/>
    <x v="3"/>
    <x v="9"/>
    <x v="412"/>
    <n v="201"/>
    <n v="147"/>
    <x v="1023"/>
    <n v="21.32"/>
    <n v="7.83"/>
    <n v="3.52"/>
    <n v="265"/>
    <x v="0"/>
    <x v="2"/>
    <x v="0"/>
  </r>
  <r>
    <x v="2"/>
    <x v="2"/>
    <x v="1"/>
    <x v="13"/>
    <x v="152"/>
    <n v="282"/>
    <n v="41"/>
    <x v="1024"/>
    <n v="12.46"/>
    <n v="73.260000000000005"/>
    <n v="0.27"/>
    <n v="129"/>
    <x v="2"/>
    <x v="1"/>
    <x v="3"/>
  </r>
  <r>
    <x v="1"/>
    <x v="5"/>
    <x v="1"/>
    <x v="11"/>
    <x v="13"/>
    <n v="80"/>
    <n v="58"/>
    <x v="392"/>
    <n v="18.329999999999998"/>
    <n v="6.95"/>
    <n v="5.74"/>
    <n v="163"/>
    <x v="2"/>
    <x v="2"/>
    <x v="3"/>
  </r>
  <r>
    <x v="2"/>
    <x v="4"/>
    <x v="0"/>
    <x v="3"/>
    <x v="282"/>
    <n v="469"/>
    <n v="329"/>
    <x v="1025"/>
    <n v="123.7"/>
    <n v="52.64"/>
    <n v="0.73"/>
    <n v="122"/>
    <x v="1"/>
    <x v="0"/>
    <x v="2"/>
  </r>
  <r>
    <x v="0"/>
    <x v="5"/>
    <x v="2"/>
    <x v="10"/>
    <x v="40"/>
    <n v="494"/>
    <n v="105"/>
    <x v="1026"/>
    <n v="40.01"/>
    <n v="148.21"/>
    <n v="0"/>
    <n v="245"/>
    <x v="2"/>
    <x v="2"/>
    <x v="3"/>
  </r>
  <r>
    <x v="0"/>
    <x v="2"/>
    <x v="0"/>
    <x v="0"/>
    <x v="408"/>
    <n v="377"/>
    <n v="189"/>
    <x v="1027"/>
    <n v="47.44"/>
    <n v="47.19"/>
    <n v="24.13"/>
    <n v="287"/>
    <x v="2"/>
    <x v="0"/>
    <x v="0"/>
  </r>
  <r>
    <x v="1"/>
    <x v="8"/>
    <x v="0"/>
    <x v="3"/>
    <x v="206"/>
    <n v="124"/>
    <n v="95"/>
    <x v="1028"/>
    <n v="33.06"/>
    <n v="10.09"/>
    <n v="4.41"/>
    <n v="247"/>
    <x v="1"/>
    <x v="0"/>
    <x v="1"/>
  </r>
  <r>
    <x v="1"/>
    <x v="0"/>
    <x v="4"/>
    <x v="6"/>
    <x v="254"/>
    <n v="439"/>
    <n v="315"/>
    <x v="1029"/>
    <n v="94.19"/>
    <n v="37.08"/>
    <n v="21.26"/>
    <n v="278"/>
    <x v="0"/>
    <x v="1"/>
    <x v="1"/>
  </r>
  <r>
    <x v="0"/>
    <x v="5"/>
    <x v="4"/>
    <x v="6"/>
    <x v="41"/>
    <n v="74"/>
    <n v="64"/>
    <x v="1030"/>
    <n v="5.18"/>
    <n v="0.81"/>
    <n v="9.41"/>
    <n v="43"/>
    <x v="1"/>
    <x v="0"/>
    <x v="1"/>
  </r>
  <r>
    <x v="1"/>
    <x v="10"/>
    <x v="4"/>
    <x v="6"/>
    <x v="111"/>
    <n v="82"/>
    <n v="59"/>
    <x v="1031"/>
    <n v="28.91"/>
    <n v="11.27"/>
    <n v="0.41"/>
    <n v="66"/>
    <x v="2"/>
    <x v="0"/>
    <x v="3"/>
  </r>
  <r>
    <x v="2"/>
    <x v="1"/>
    <x v="1"/>
    <x v="13"/>
    <x v="346"/>
    <n v="209"/>
    <n v="65"/>
    <x v="1032"/>
    <n v="23.98"/>
    <n v="53.14"/>
    <n v="18.18"/>
    <n v="250"/>
    <x v="2"/>
    <x v="1"/>
    <x v="2"/>
  </r>
  <r>
    <x v="1"/>
    <x v="1"/>
    <x v="2"/>
    <x v="2"/>
    <x v="265"/>
    <n v="308"/>
    <n v="225"/>
    <x v="1033"/>
    <n v="97.65"/>
    <n v="36.020000000000003"/>
    <n v="0.38"/>
    <n v="191"/>
    <x v="0"/>
    <x v="3"/>
    <x v="2"/>
  </r>
  <r>
    <x v="0"/>
    <x v="0"/>
    <x v="4"/>
    <x v="6"/>
    <x v="177"/>
    <n v="488"/>
    <n v="198"/>
    <x v="1034"/>
    <n v="67.91"/>
    <n v="99.47"/>
    <n v="12.05"/>
    <n v="167"/>
    <x v="0"/>
    <x v="0"/>
    <x v="1"/>
  </r>
  <r>
    <x v="2"/>
    <x v="7"/>
    <x v="2"/>
    <x v="2"/>
    <x v="243"/>
    <n v="69"/>
    <n v="49"/>
    <x v="1035"/>
    <n v="3.82"/>
    <n v="1.56"/>
    <n v="23.81"/>
    <n v="243"/>
    <x v="0"/>
    <x v="0"/>
    <x v="3"/>
  </r>
  <r>
    <x v="2"/>
    <x v="9"/>
    <x v="4"/>
    <x v="6"/>
    <x v="280"/>
    <n v="149"/>
    <n v="39"/>
    <x v="522"/>
    <n v="11.74"/>
    <n v="33.11"/>
    <n v="-5.55"/>
    <n v="125"/>
    <x v="1"/>
    <x v="1"/>
    <x v="1"/>
  </r>
  <r>
    <x v="1"/>
    <x v="8"/>
    <x v="4"/>
    <x v="7"/>
    <x v="413"/>
    <n v="409"/>
    <n v="157"/>
    <x v="1036"/>
    <n v="18.37"/>
    <n v="29.48"/>
    <n v="4"/>
    <n v="235"/>
    <x v="0"/>
    <x v="2"/>
    <x v="1"/>
  </r>
  <r>
    <x v="2"/>
    <x v="0"/>
    <x v="2"/>
    <x v="2"/>
    <x v="33"/>
    <n v="190"/>
    <n v="157"/>
    <x v="1037"/>
    <n v="20.41"/>
    <n v="4.29"/>
    <n v="6.87"/>
    <n v="110"/>
    <x v="0"/>
    <x v="1"/>
    <x v="3"/>
  </r>
  <r>
    <x v="2"/>
    <x v="7"/>
    <x v="1"/>
    <x v="13"/>
    <x v="192"/>
    <n v="71"/>
    <n v="58"/>
    <x v="1038"/>
    <n v="11.14"/>
    <n v="2.5"/>
    <n v="10.28"/>
    <n v="141"/>
    <x v="2"/>
    <x v="0"/>
    <x v="0"/>
  </r>
  <r>
    <x v="0"/>
    <x v="8"/>
    <x v="4"/>
    <x v="5"/>
    <x v="204"/>
    <n v="360"/>
    <n v="67"/>
    <x v="1039"/>
    <n v="11.19"/>
    <n v="48.93"/>
    <n v="14.04"/>
    <n v="267"/>
    <x v="0"/>
    <x v="2"/>
    <x v="2"/>
  </r>
  <r>
    <x v="1"/>
    <x v="4"/>
    <x v="2"/>
    <x v="2"/>
    <x v="224"/>
    <n v="160"/>
    <n v="66"/>
    <x v="1040"/>
    <n v="17.559999999999999"/>
    <n v="25"/>
    <n v="-5.3"/>
    <n v="47"/>
    <x v="2"/>
    <x v="2"/>
    <x v="3"/>
  </r>
  <r>
    <x v="2"/>
    <x v="3"/>
    <x v="4"/>
    <x v="6"/>
    <x v="80"/>
    <n v="56"/>
    <n v="32"/>
    <x v="1041"/>
    <n v="10.91"/>
    <n v="8.18"/>
    <n v="22.81"/>
    <n v="274"/>
    <x v="1"/>
    <x v="1"/>
    <x v="3"/>
  </r>
  <r>
    <x v="0"/>
    <x v="5"/>
    <x v="2"/>
    <x v="15"/>
    <x v="76"/>
    <n v="459"/>
    <n v="430"/>
    <x v="1042"/>
    <n v="99.76"/>
    <n v="6.73"/>
    <n v="-0.18"/>
    <n v="63"/>
    <x v="1"/>
    <x v="1"/>
    <x v="2"/>
  </r>
  <r>
    <x v="1"/>
    <x v="6"/>
    <x v="0"/>
    <x v="3"/>
    <x v="414"/>
    <n v="257"/>
    <n v="128"/>
    <x v="1043"/>
    <n v="7.68"/>
    <n v="7.74"/>
    <n v="22.77"/>
    <n v="289"/>
    <x v="2"/>
    <x v="0"/>
    <x v="2"/>
  </r>
  <r>
    <x v="1"/>
    <x v="10"/>
    <x v="0"/>
    <x v="3"/>
    <x v="347"/>
    <n v="308"/>
    <n v="259"/>
    <x v="1044"/>
    <n v="44.55"/>
    <n v="8.43"/>
    <n v="-6.85"/>
    <n v="97"/>
    <x v="2"/>
    <x v="2"/>
    <x v="2"/>
  </r>
  <r>
    <x v="1"/>
    <x v="9"/>
    <x v="3"/>
    <x v="8"/>
    <x v="96"/>
    <n v="273"/>
    <n v="142"/>
    <x v="1045"/>
    <n v="63.9"/>
    <n v="58.95"/>
    <n v="-9.23"/>
    <n v="42"/>
    <x v="0"/>
    <x v="2"/>
    <x v="2"/>
  </r>
  <r>
    <x v="1"/>
    <x v="10"/>
    <x v="0"/>
    <x v="0"/>
    <x v="200"/>
    <n v="160"/>
    <n v="127"/>
    <x v="1046"/>
    <n v="31.37"/>
    <n v="8.15"/>
    <n v="19.63"/>
    <n v="199"/>
    <x v="2"/>
    <x v="3"/>
    <x v="1"/>
  </r>
  <r>
    <x v="0"/>
    <x v="5"/>
    <x v="3"/>
    <x v="8"/>
    <x v="32"/>
    <n v="408"/>
    <n v="331"/>
    <x v="1047"/>
    <n v="150.94"/>
    <n v="35.11"/>
    <n v="7.1"/>
    <n v="214"/>
    <x v="2"/>
    <x v="0"/>
    <x v="2"/>
  </r>
  <r>
    <x v="0"/>
    <x v="11"/>
    <x v="0"/>
    <x v="0"/>
    <x v="171"/>
    <n v="467"/>
    <n v="154"/>
    <x v="1048"/>
    <n v="24.64"/>
    <n v="50.08"/>
    <n v="-7.8"/>
    <n v="133"/>
    <x v="1"/>
    <x v="2"/>
    <x v="2"/>
  </r>
  <r>
    <x v="1"/>
    <x v="1"/>
    <x v="2"/>
    <x v="2"/>
    <x v="169"/>
    <n v="121"/>
    <n v="54"/>
    <x v="1049"/>
    <n v="12.42"/>
    <n v="15.41"/>
    <n v="17.93"/>
    <n v="157"/>
    <x v="0"/>
    <x v="2"/>
    <x v="3"/>
  </r>
  <r>
    <x v="0"/>
    <x v="9"/>
    <x v="1"/>
    <x v="13"/>
    <x v="97"/>
    <n v="227"/>
    <n v="57"/>
    <x v="1050"/>
    <n v="16.53"/>
    <n v="49.3"/>
    <n v="10.46"/>
    <n v="203"/>
    <x v="1"/>
    <x v="3"/>
    <x v="1"/>
  </r>
  <r>
    <x v="2"/>
    <x v="9"/>
    <x v="3"/>
    <x v="9"/>
    <x v="325"/>
    <n v="349"/>
    <n v="170"/>
    <x v="1051"/>
    <n v="83.98"/>
    <n v="88.43"/>
    <n v="-3.58"/>
    <n v="237"/>
    <x v="0"/>
    <x v="3"/>
    <x v="3"/>
  </r>
  <r>
    <x v="0"/>
    <x v="3"/>
    <x v="3"/>
    <x v="4"/>
    <x v="199"/>
    <n v="247"/>
    <n v="44"/>
    <x v="627"/>
    <n v="12.58"/>
    <n v="58.06"/>
    <n v="19.690000000000001"/>
    <n v="200"/>
    <x v="1"/>
    <x v="3"/>
    <x v="3"/>
  </r>
  <r>
    <x v="0"/>
    <x v="5"/>
    <x v="3"/>
    <x v="8"/>
    <x v="196"/>
    <n v="53"/>
    <n v="42"/>
    <x v="1052"/>
    <n v="3.57"/>
    <n v="0.94"/>
    <n v="24.04"/>
    <n v="107"/>
    <x v="2"/>
    <x v="3"/>
    <x v="2"/>
  </r>
  <r>
    <x v="0"/>
    <x v="11"/>
    <x v="0"/>
    <x v="14"/>
    <x v="270"/>
    <n v="206"/>
    <n v="151"/>
    <x v="1053"/>
    <n v="37.75"/>
    <n v="13.75"/>
    <n v="-8.0299999999999994"/>
    <n v="146"/>
    <x v="1"/>
    <x v="0"/>
    <x v="2"/>
  </r>
  <r>
    <x v="0"/>
    <x v="1"/>
    <x v="0"/>
    <x v="0"/>
    <x v="96"/>
    <n v="169"/>
    <n v="139"/>
    <x v="1054"/>
    <n v="62.55"/>
    <n v="13.5"/>
    <n v="1.9"/>
    <n v="49"/>
    <x v="2"/>
    <x v="0"/>
    <x v="1"/>
  </r>
  <r>
    <x v="0"/>
    <x v="6"/>
    <x v="2"/>
    <x v="15"/>
    <x v="136"/>
    <n v="122"/>
    <n v="77"/>
    <x v="1055"/>
    <n v="7.32"/>
    <n v="4.2699999999999996"/>
    <n v="18.63"/>
    <n v="278"/>
    <x v="0"/>
    <x v="3"/>
    <x v="1"/>
  </r>
  <r>
    <x v="1"/>
    <x v="9"/>
    <x v="2"/>
    <x v="15"/>
    <x v="415"/>
    <n v="168"/>
    <n v="65"/>
    <x v="1056"/>
    <n v="22.1"/>
    <n v="35.020000000000003"/>
    <n v="17.38"/>
    <n v="78"/>
    <x v="0"/>
    <x v="1"/>
    <x v="3"/>
  </r>
  <r>
    <x v="0"/>
    <x v="6"/>
    <x v="1"/>
    <x v="16"/>
    <x v="22"/>
    <n v="415"/>
    <n v="129"/>
    <x v="1057"/>
    <n v="17.670000000000002"/>
    <n v="39.18"/>
    <n v="24.11"/>
    <n v="80"/>
    <x v="2"/>
    <x v="0"/>
    <x v="1"/>
  </r>
  <r>
    <x v="0"/>
    <x v="7"/>
    <x v="2"/>
    <x v="15"/>
    <x v="142"/>
    <n v="50"/>
    <n v="33"/>
    <x v="1058"/>
    <n v="1.75"/>
    <n v="0.9"/>
    <n v="-1.66"/>
    <n v="254"/>
    <x v="1"/>
    <x v="2"/>
    <x v="1"/>
  </r>
  <r>
    <x v="0"/>
    <x v="4"/>
    <x v="1"/>
    <x v="11"/>
    <x v="212"/>
    <n v="185"/>
    <n v="113"/>
    <x v="1059"/>
    <n v="48.02"/>
    <n v="30.6"/>
    <n v="14.06"/>
    <n v="123"/>
    <x v="2"/>
    <x v="2"/>
    <x v="1"/>
  </r>
  <r>
    <x v="0"/>
    <x v="9"/>
    <x v="4"/>
    <x v="6"/>
    <x v="227"/>
    <n v="280"/>
    <n v="161"/>
    <x v="1060"/>
    <n v="75.67"/>
    <n v="55.93"/>
    <n v="1.93"/>
    <n v="150"/>
    <x v="2"/>
    <x v="1"/>
    <x v="3"/>
  </r>
  <r>
    <x v="0"/>
    <x v="7"/>
    <x v="1"/>
    <x v="11"/>
    <x v="69"/>
    <n v="195"/>
    <n v="104"/>
    <x v="536"/>
    <n v="5.2"/>
    <n v="4.55"/>
    <n v="14.06"/>
    <n v="213"/>
    <x v="1"/>
    <x v="0"/>
    <x v="3"/>
  </r>
  <r>
    <x v="0"/>
    <x v="2"/>
    <x v="4"/>
    <x v="5"/>
    <x v="16"/>
    <n v="397"/>
    <n v="185"/>
    <x v="1061"/>
    <n v="18.5"/>
    <n v="21.2"/>
    <n v="21.3"/>
    <n v="154"/>
    <x v="2"/>
    <x v="1"/>
    <x v="0"/>
  </r>
  <r>
    <x v="2"/>
    <x v="2"/>
    <x v="2"/>
    <x v="10"/>
    <x v="30"/>
    <n v="212"/>
    <n v="134"/>
    <x v="446"/>
    <n v="67"/>
    <n v="39"/>
    <n v="4.99"/>
    <n v="299"/>
    <x v="1"/>
    <x v="3"/>
    <x v="2"/>
  </r>
  <r>
    <x v="2"/>
    <x v="2"/>
    <x v="2"/>
    <x v="10"/>
    <x v="325"/>
    <n v="246"/>
    <n v="74"/>
    <x v="1062"/>
    <n v="36.56"/>
    <n v="84.97"/>
    <n v="3"/>
    <n v="24"/>
    <x v="1"/>
    <x v="2"/>
    <x v="0"/>
  </r>
  <r>
    <x v="0"/>
    <x v="2"/>
    <x v="1"/>
    <x v="16"/>
    <x v="408"/>
    <n v="111"/>
    <n v="82"/>
    <x v="1063"/>
    <n v="20.58"/>
    <n v="7.28"/>
    <n v="7.27"/>
    <n v="43"/>
    <x v="1"/>
    <x v="0"/>
    <x v="2"/>
  </r>
  <r>
    <x v="0"/>
    <x v="0"/>
    <x v="2"/>
    <x v="2"/>
    <x v="53"/>
    <n v="275"/>
    <n v="265"/>
    <x v="1064"/>
    <n v="60.42"/>
    <n v="2.2799999999999998"/>
    <n v="9.51"/>
    <n v="158"/>
    <x v="2"/>
    <x v="3"/>
    <x v="3"/>
  </r>
  <r>
    <x v="0"/>
    <x v="2"/>
    <x v="4"/>
    <x v="6"/>
    <x v="381"/>
    <n v="55"/>
    <n v="44"/>
    <x v="1065"/>
    <n v="9.77"/>
    <n v="2.44"/>
    <n v="18.79"/>
    <n v="245"/>
    <x v="0"/>
    <x v="3"/>
    <x v="0"/>
  </r>
  <r>
    <x v="2"/>
    <x v="7"/>
    <x v="0"/>
    <x v="14"/>
    <x v="393"/>
    <n v="304"/>
    <n v="264"/>
    <x v="1066"/>
    <n v="35.380000000000003"/>
    <n v="5.36"/>
    <n v="21.69"/>
    <n v="213"/>
    <x v="2"/>
    <x v="3"/>
    <x v="0"/>
  </r>
  <r>
    <x v="2"/>
    <x v="11"/>
    <x v="4"/>
    <x v="5"/>
    <x v="26"/>
    <n v="56"/>
    <n v="36"/>
    <x v="1067"/>
    <n v="10.62"/>
    <n v="5.9"/>
    <n v="-4"/>
    <n v="46"/>
    <x v="2"/>
    <x v="3"/>
    <x v="0"/>
  </r>
  <r>
    <x v="1"/>
    <x v="6"/>
    <x v="1"/>
    <x v="1"/>
    <x v="16"/>
    <n v="79"/>
    <n v="50"/>
    <x v="1068"/>
    <n v="5"/>
    <n v="2.9"/>
    <n v="14.8"/>
    <n v="179"/>
    <x v="0"/>
    <x v="0"/>
    <x v="3"/>
  </r>
  <r>
    <x v="2"/>
    <x v="2"/>
    <x v="0"/>
    <x v="14"/>
    <x v="79"/>
    <n v="476"/>
    <n v="204"/>
    <x v="1069"/>
    <n v="66.91"/>
    <n v="89.22"/>
    <n v="24.47"/>
    <n v="218"/>
    <x v="0"/>
    <x v="1"/>
    <x v="3"/>
  </r>
  <r>
    <x v="2"/>
    <x v="11"/>
    <x v="1"/>
    <x v="1"/>
    <x v="240"/>
    <n v="215"/>
    <n v="85"/>
    <x v="753"/>
    <n v="22.44"/>
    <n v="34.32"/>
    <n v="13.7"/>
    <n v="237"/>
    <x v="0"/>
    <x v="1"/>
    <x v="3"/>
  </r>
  <r>
    <x v="2"/>
    <x v="8"/>
    <x v="0"/>
    <x v="0"/>
    <x v="83"/>
    <n v="433"/>
    <n v="77"/>
    <x v="1070"/>
    <n v="35.340000000000003"/>
    <n v="163.4"/>
    <n v="24.79"/>
    <n v="278"/>
    <x v="2"/>
    <x v="0"/>
    <x v="0"/>
  </r>
  <r>
    <x v="1"/>
    <x v="5"/>
    <x v="4"/>
    <x v="6"/>
    <x v="117"/>
    <n v="478"/>
    <n v="91"/>
    <x v="1071"/>
    <n v="43.77"/>
    <n v="186.15"/>
    <n v="-4.8600000000000003"/>
    <n v="108"/>
    <x v="1"/>
    <x v="1"/>
    <x v="0"/>
  </r>
  <r>
    <x v="1"/>
    <x v="6"/>
    <x v="2"/>
    <x v="10"/>
    <x v="173"/>
    <n v="103"/>
    <n v="30"/>
    <x v="1072"/>
    <n v="3.99"/>
    <n v="9.7100000000000009"/>
    <n v="21.28"/>
    <n v="277"/>
    <x v="2"/>
    <x v="2"/>
    <x v="0"/>
  </r>
  <r>
    <x v="2"/>
    <x v="1"/>
    <x v="4"/>
    <x v="7"/>
    <x v="233"/>
    <n v="422"/>
    <n v="229"/>
    <x v="1073"/>
    <n v="56.1"/>
    <n v="47.29"/>
    <n v="-0.68"/>
    <n v="293"/>
    <x v="1"/>
    <x v="3"/>
    <x v="1"/>
  </r>
  <r>
    <x v="1"/>
    <x v="7"/>
    <x v="1"/>
    <x v="16"/>
    <x v="288"/>
    <n v="316"/>
    <n v="94"/>
    <x v="1074"/>
    <n v="13.16"/>
    <n v="31.08"/>
    <n v="11.23"/>
    <n v="52"/>
    <x v="1"/>
    <x v="3"/>
    <x v="1"/>
  </r>
  <r>
    <x v="0"/>
    <x v="11"/>
    <x v="2"/>
    <x v="2"/>
    <x v="326"/>
    <n v="200"/>
    <n v="187"/>
    <x v="1075"/>
    <n v="41.33"/>
    <n v="2.87"/>
    <n v="-7.91"/>
    <n v="273"/>
    <x v="2"/>
    <x v="3"/>
    <x v="3"/>
  </r>
  <r>
    <x v="1"/>
    <x v="11"/>
    <x v="3"/>
    <x v="4"/>
    <x v="78"/>
    <n v="401"/>
    <n v="265"/>
    <x v="1076"/>
    <n v="86.66"/>
    <n v="44.47"/>
    <n v="-4.93"/>
    <n v="220"/>
    <x v="2"/>
    <x v="0"/>
    <x v="3"/>
  </r>
  <r>
    <x v="0"/>
    <x v="5"/>
    <x v="4"/>
    <x v="6"/>
    <x v="101"/>
    <n v="204"/>
    <n v="167"/>
    <x v="1077"/>
    <n v="47.93"/>
    <n v="10.62"/>
    <n v="19.27"/>
    <n v="293"/>
    <x v="0"/>
    <x v="3"/>
    <x v="3"/>
  </r>
  <r>
    <x v="2"/>
    <x v="11"/>
    <x v="0"/>
    <x v="3"/>
    <x v="80"/>
    <n v="344"/>
    <n v="311"/>
    <x v="1078"/>
    <n v="106.05"/>
    <n v="11.25"/>
    <n v="13.91"/>
    <n v="206"/>
    <x v="1"/>
    <x v="1"/>
    <x v="3"/>
  </r>
  <r>
    <x v="0"/>
    <x v="5"/>
    <x v="1"/>
    <x v="16"/>
    <x v="169"/>
    <n v="261"/>
    <n v="80"/>
    <x v="1079"/>
    <n v="18.399999999999999"/>
    <n v="41.63"/>
    <n v="10.09"/>
    <n v="80"/>
    <x v="1"/>
    <x v="0"/>
    <x v="3"/>
  </r>
  <r>
    <x v="1"/>
    <x v="10"/>
    <x v="0"/>
    <x v="3"/>
    <x v="416"/>
    <n v="450"/>
    <n v="50"/>
    <x v="1080"/>
    <n v="9.35"/>
    <n v="74.8"/>
    <n v="-1.81"/>
    <n v="115"/>
    <x v="2"/>
    <x v="2"/>
    <x v="3"/>
  </r>
  <r>
    <x v="1"/>
    <x v="4"/>
    <x v="2"/>
    <x v="15"/>
    <x v="293"/>
    <n v="410"/>
    <n v="318"/>
    <x v="1081"/>
    <n v="134.83000000000001"/>
    <n v="39.01"/>
    <n v="15.02"/>
    <n v="81"/>
    <x v="0"/>
    <x v="2"/>
    <x v="1"/>
  </r>
  <r>
    <x v="1"/>
    <x v="6"/>
    <x v="2"/>
    <x v="10"/>
    <x v="96"/>
    <n v="423"/>
    <n v="364"/>
    <x v="1082"/>
    <n v="163.80000000000001"/>
    <n v="26.55"/>
    <n v="21.32"/>
    <n v="263"/>
    <x v="0"/>
    <x v="3"/>
    <x v="0"/>
  </r>
  <r>
    <x v="2"/>
    <x v="10"/>
    <x v="1"/>
    <x v="11"/>
    <x v="19"/>
    <n v="406"/>
    <n v="288"/>
    <x v="1083"/>
    <n v="22.75"/>
    <n v="9.32"/>
    <n v="10.55"/>
    <n v="107"/>
    <x v="2"/>
    <x v="3"/>
    <x v="0"/>
  </r>
  <r>
    <x v="2"/>
    <x v="7"/>
    <x v="2"/>
    <x v="2"/>
    <x v="394"/>
    <n v="454"/>
    <n v="160"/>
    <x v="1084"/>
    <n v="17.12"/>
    <n v="31.46"/>
    <n v="7.91"/>
    <n v="109"/>
    <x v="1"/>
    <x v="2"/>
    <x v="3"/>
  </r>
  <r>
    <x v="2"/>
    <x v="11"/>
    <x v="1"/>
    <x v="11"/>
    <x v="394"/>
    <n v="450"/>
    <n v="157"/>
    <x v="1085"/>
    <n v="16.8"/>
    <n v="31.35"/>
    <n v="24.01"/>
    <n v="138"/>
    <x v="0"/>
    <x v="3"/>
    <x v="3"/>
  </r>
  <r>
    <x v="2"/>
    <x v="1"/>
    <x v="1"/>
    <x v="11"/>
    <x v="417"/>
    <n v="474"/>
    <n v="360"/>
    <x v="1086"/>
    <n v="105.12"/>
    <n v="33.29"/>
    <n v="-4.22"/>
    <n v="144"/>
    <x v="1"/>
    <x v="3"/>
    <x v="2"/>
  </r>
  <r>
    <x v="2"/>
    <x v="2"/>
    <x v="1"/>
    <x v="16"/>
    <x v="378"/>
    <n v="284"/>
    <n v="141"/>
    <x v="1087"/>
    <n v="46.81"/>
    <n v="47.48"/>
    <n v="-6.52"/>
    <n v="45"/>
    <x v="1"/>
    <x v="0"/>
    <x v="2"/>
  </r>
  <r>
    <x v="0"/>
    <x v="1"/>
    <x v="1"/>
    <x v="11"/>
    <x v="230"/>
    <n v="417"/>
    <n v="59"/>
    <x v="1088"/>
    <n v="19.18"/>
    <n v="116.35"/>
    <n v="22.36"/>
    <n v="199"/>
    <x v="1"/>
    <x v="2"/>
    <x v="2"/>
  </r>
  <r>
    <x v="1"/>
    <x v="2"/>
    <x v="4"/>
    <x v="6"/>
    <x v="199"/>
    <n v="271"/>
    <n v="152"/>
    <x v="1089"/>
    <n v="43.47"/>
    <n v="34.03"/>
    <n v="9.33"/>
    <n v="25"/>
    <x v="0"/>
    <x v="1"/>
    <x v="1"/>
  </r>
  <r>
    <x v="2"/>
    <x v="10"/>
    <x v="1"/>
    <x v="1"/>
    <x v="151"/>
    <n v="353"/>
    <n v="306"/>
    <x v="1090"/>
    <n v="123.32"/>
    <n v="18.940000000000001"/>
    <n v="14.91"/>
    <n v="127"/>
    <x v="1"/>
    <x v="3"/>
    <x v="0"/>
  </r>
  <r>
    <x v="1"/>
    <x v="6"/>
    <x v="0"/>
    <x v="0"/>
    <x v="402"/>
    <n v="183"/>
    <n v="69"/>
    <x v="1091"/>
    <n v="21.11"/>
    <n v="34.880000000000003"/>
    <n v="-2.68"/>
    <n v="226"/>
    <x v="2"/>
    <x v="1"/>
    <x v="1"/>
  </r>
  <r>
    <x v="2"/>
    <x v="4"/>
    <x v="0"/>
    <x v="0"/>
    <x v="415"/>
    <n v="171"/>
    <n v="49"/>
    <x v="1092"/>
    <n v="16.66"/>
    <n v="41.48"/>
    <n v="19.899999999999999"/>
    <n v="44"/>
    <x v="0"/>
    <x v="1"/>
    <x v="0"/>
  </r>
  <r>
    <x v="2"/>
    <x v="2"/>
    <x v="0"/>
    <x v="3"/>
    <x v="79"/>
    <n v="215"/>
    <n v="180"/>
    <x v="1093"/>
    <n v="59.04"/>
    <n v="11.48"/>
    <n v="2.0499999999999998"/>
    <n v="212"/>
    <x v="2"/>
    <x v="3"/>
    <x v="2"/>
  </r>
  <r>
    <x v="1"/>
    <x v="5"/>
    <x v="0"/>
    <x v="14"/>
    <x v="305"/>
    <n v="353"/>
    <n v="274"/>
    <x v="1094"/>
    <n v="66.03"/>
    <n v="19.04"/>
    <n v="15.34"/>
    <n v="299"/>
    <x v="0"/>
    <x v="0"/>
    <x v="0"/>
  </r>
  <r>
    <x v="1"/>
    <x v="2"/>
    <x v="3"/>
    <x v="12"/>
    <x v="354"/>
    <n v="206"/>
    <n v="146"/>
    <x v="1095"/>
    <n v="37.520000000000003"/>
    <n v="15.42"/>
    <n v="17.77"/>
    <n v="234"/>
    <x v="2"/>
    <x v="3"/>
    <x v="0"/>
  </r>
  <r>
    <x v="1"/>
    <x v="11"/>
    <x v="3"/>
    <x v="9"/>
    <x v="110"/>
    <n v="317"/>
    <n v="273"/>
    <x v="1096"/>
    <n v="92"/>
    <n v="14.83"/>
    <n v="17.47"/>
    <n v="189"/>
    <x v="0"/>
    <x v="0"/>
    <x v="1"/>
  </r>
  <r>
    <x v="1"/>
    <x v="11"/>
    <x v="4"/>
    <x v="6"/>
    <x v="283"/>
    <n v="455"/>
    <n v="290"/>
    <x v="1097"/>
    <n v="91.93"/>
    <n v="52.31"/>
    <n v="23.27"/>
    <n v="33"/>
    <x v="0"/>
    <x v="2"/>
    <x v="2"/>
  </r>
  <r>
    <x v="0"/>
    <x v="10"/>
    <x v="3"/>
    <x v="12"/>
    <x v="418"/>
    <n v="312"/>
    <n v="99"/>
    <x v="1098"/>
    <n v="46.83"/>
    <n v="100.75"/>
    <n v="10.15"/>
    <n v="204"/>
    <x v="2"/>
    <x v="0"/>
    <x v="1"/>
  </r>
  <r>
    <x v="0"/>
    <x v="8"/>
    <x v="3"/>
    <x v="12"/>
    <x v="197"/>
    <n v="215"/>
    <n v="179"/>
    <x v="1099"/>
    <n v="70.17"/>
    <n v="14.11"/>
    <n v="15.74"/>
    <n v="102"/>
    <x v="1"/>
    <x v="3"/>
    <x v="2"/>
  </r>
  <r>
    <x v="0"/>
    <x v="2"/>
    <x v="3"/>
    <x v="12"/>
    <x v="40"/>
    <n v="140"/>
    <n v="49"/>
    <x v="1100"/>
    <n v="18.670000000000002"/>
    <n v="34.67"/>
    <n v="16.88"/>
    <n v="158"/>
    <x v="2"/>
    <x v="0"/>
    <x v="3"/>
  </r>
  <r>
    <x v="1"/>
    <x v="9"/>
    <x v="3"/>
    <x v="12"/>
    <x v="167"/>
    <n v="276"/>
    <n v="116"/>
    <x v="107"/>
    <n v="55.1"/>
    <n v="76"/>
    <n v="7.31"/>
    <n v="163"/>
    <x v="1"/>
    <x v="3"/>
    <x v="2"/>
  </r>
  <r>
    <x v="0"/>
    <x v="3"/>
    <x v="4"/>
    <x v="5"/>
    <x v="230"/>
    <n v="491"/>
    <n v="446"/>
    <x v="129"/>
    <n v="144.94999999999999"/>
    <n v="14.62"/>
    <n v="5.1100000000000003"/>
    <n v="50"/>
    <x v="0"/>
    <x v="1"/>
    <x v="3"/>
  </r>
  <r>
    <x v="0"/>
    <x v="11"/>
    <x v="2"/>
    <x v="2"/>
    <x v="215"/>
    <n v="151"/>
    <n v="69"/>
    <x v="1101"/>
    <n v="4.21"/>
    <n v="5"/>
    <n v="-7.01"/>
    <n v="286"/>
    <x v="2"/>
    <x v="2"/>
    <x v="0"/>
  </r>
  <r>
    <x v="0"/>
    <x v="1"/>
    <x v="0"/>
    <x v="14"/>
    <x v="165"/>
    <n v="456"/>
    <n v="237"/>
    <x v="1102"/>
    <n v="78.45"/>
    <n v="72.489999999999995"/>
    <n v="11.65"/>
    <n v="88"/>
    <x v="1"/>
    <x v="3"/>
    <x v="3"/>
  </r>
  <r>
    <x v="2"/>
    <x v="0"/>
    <x v="1"/>
    <x v="11"/>
    <x v="419"/>
    <n v="215"/>
    <n v="187"/>
    <x v="1103"/>
    <n v="77.98"/>
    <n v="11.68"/>
    <n v="4.74"/>
    <n v="96"/>
    <x v="1"/>
    <x v="3"/>
    <x v="1"/>
  </r>
  <r>
    <x v="0"/>
    <x v="3"/>
    <x v="3"/>
    <x v="9"/>
    <x v="287"/>
    <n v="396"/>
    <n v="203"/>
    <x v="1104"/>
    <n v="16.850000000000001"/>
    <n v="16.02"/>
    <n v="-0.23"/>
    <n v="101"/>
    <x v="1"/>
    <x v="1"/>
    <x v="1"/>
  </r>
  <r>
    <x v="2"/>
    <x v="4"/>
    <x v="3"/>
    <x v="4"/>
    <x v="306"/>
    <n v="278"/>
    <n v="132"/>
    <x v="1105"/>
    <n v="47.26"/>
    <n v="52.27"/>
    <n v="0.6"/>
    <n v="186"/>
    <x v="1"/>
    <x v="0"/>
    <x v="2"/>
  </r>
  <r>
    <x v="1"/>
    <x v="0"/>
    <x v="4"/>
    <x v="6"/>
    <x v="127"/>
    <n v="371"/>
    <n v="204"/>
    <x v="1106"/>
    <n v="98.53"/>
    <n v="80.66"/>
    <n v="7.0000000000000007E-2"/>
    <n v="32"/>
    <x v="2"/>
    <x v="0"/>
    <x v="3"/>
  </r>
  <r>
    <x v="2"/>
    <x v="2"/>
    <x v="1"/>
    <x v="16"/>
    <x v="33"/>
    <n v="452"/>
    <n v="220"/>
    <x v="1107"/>
    <n v="28.6"/>
    <n v="30.16"/>
    <n v="12.97"/>
    <n v="213"/>
    <x v="0"/>
    <x v="0"/>
    <x v="0"/>
  </r>
  <r>
    <x v="1"/>
    <x v="9"/>
    <x v="2"/>
    <x v="10"/>
    <x v="319"/>
    <n v="153"/>
    <n v="114"/>
    <x v="1108"/>
    <n v="50.62"/>
    <n v="17.32"/>
    <n v="5.4"/>
    <n v="280"/>
    <x v="2"/>
    <x v="0"/>
    <x v="3"/>
  </r>
  <r>
    <x v="2"/>
    <x v="10"/>
    <x v="0"/>
    <x v="14"/>
    <x v="408"/>
    <n v="169"/>
    <n v="47"/>
    <x v="1109"/>
    <n v="11.8"/>
    <n v="30.62"/>
    <n v="-9.09"/>
    <n v="150"/>
    <x v="1"/>
    <x v="1"/>
    <x v="1"/>
  </r>
  <r>
    <x v="0"/>
    <x v="4"/>
    <x v="2"/>
    <x v="2"/>
    <x v="318"/>
    <n v="390"/>
    <n v="221"/>
    <x v="1110"/>
    <n v="91.27"/>
    <n v="69.8"/>
    <n v="-8.76"/>
    <n v="117"/>
    <x v="2"/>
    <x v="1"/>
    <x v="2"/>
  </r>
  <r>
    <x v="2"/>
    <x v="3"/>
    <x v="0"/>
    <x v="0"/>
    <x v="151"/>
    <n v="109"/>
    <n v="80"/>
    <x v="1111"/>
    <n v="32.24"/>
    <n v="11.69"/>
    <n v="11.38"/>
    <n v="295"/>
    <x v="1"/>
    <x v="2"/>
    <x v="2"/>
  </r>
  <r>
    <x v="2"/>
    <x v="5"/>
    <x v="2"/>
    <x v="2"/>
    <x v="420"/>
    <n v="362"/>
    <n v="39"/>
    <x v="1112"/>
    <n v="18.88"/>
    <n v="156.33000000000001"/>
    <n v="16.11"/>
    <n v="79"/>
    <x v="2"/>
    <x v="2"/>
    <x v="0"/>
  </r>
  <r>
    <x v="1"/>
    <x v="8"/>
    <x v="3"/>
    <x v="12"/>
    <x v="19"/>
    <n v="270"/>
    <n v="138"/>
    <x v="1113"/>
    <n v="10.9"/>
    <n v="10.43"/>
    <n v="13.71"/>
    <n v="96"/>
    <x v="1"/>
    <x v="0"/>
    <x v="3"/>
  </r>
  <r>
    <x v="0"/>
    <x v="4"/>
    <x v="0"/>
    <x v="14"/>
    <x v="152"/>
    <n v="206"/>
    <n v="177"/>
    <x v="1114"/>
    <n v="53.81"/>
    <n v="8.82"/>
    <n v="15.33"/>
    <n v="136"/>
    <x v="2"/>
    <x v="3"/>
    <x v="3"/>
  </r>
  <r>
    <x v="1"/>
    <x v="11"/>
    <x v="0"/>
    <x v="14"/>
    <x v="48"/>
    <n v="472"/>
    <n v="291"/>
    <x v="1115"/>
    <n v="83.81"/>
    <n v="52.13"/>
    <n v="-2.93"/>
    <n v="56"/>
    <x v="2"/>
    <x v="0"/>
    <x v="3"/>
  </r>
  <r>
    <x v="0"/>
    <x v="8"/>
    <x v="3"/>
    <x v="9"/>
    <x v="316"/>
    <n v="276"/>
    <n v="157"/>
    <x v="1116"/>
    <n v="70.489999999999995"/>
    <n v="53.43"/>
    <n v="17.09"/>
    <n v="275"/>
    <x v="0"/>
    <x v="2"/>
    <x v="3"/>
  </r>
  <r>
    <x v="2"/>
    <x v="3"/>
    <x v="0"/>
    <x v="3"/>
    <x v="261"/>
    <n v="227"/>
    <n v="198"/>
    <x v="1117"/>
    <n v="44.55"/>
    <n v="6.53"/>
    <n v="23.44"/>
    <n v="31"/>
    <x v="0"/>
    <x v="2"/>
    <x v="0"/>
  </r>
  <r>
    <x v="1"/>
    <x v="1"/>
    <x v="1"/>
    <x v="16"/>
    <x v="321"/>
    <n v="332"/>
    <n v="126"/>
    <x v="1118"/>
    <n v="32.130000000000003"/>
    <n v="52.53"/>
    <n v="12.14"/>
    <n v="142"/>
    <x v="1"/>
    <x v="0"/>
    <x v="2"/>
  </r>
  <r>
    <x v="1"/>
    <x v="5"/>
    <x v="1"/>
    <x v="13"/>
    <x v="231"/>
    <n v="151"/>
    <n v="117"/>
    <x v="1119"/>
    <n v="13.81"/>
    <n v="4.01"/>
    <n v="12.09"/>
    <n v="120"/>
    <x v="1"/>
    <x v="2"/>
    <x v="2"/>
  </r>
  <r>
    <x v="0"/>
    <x v="5"/>
    <x v="0"/>
    <x v="0"/>
    <x v="375"/>
    <n v="155"/>
    <n v="42"/>
    <x v="1120"/>
    <n v="19.36"/>
    <n v="52.09"/>
    <n v="8.34"/>
    <n v="56"/>
    <x v="1"/>
    <x v="0"/>
    <x v="1"/>
  </r>
  <r>
    <x v="2"/>
    <x v="9"/>
    <x v="3"/>
    <x v="12"/>
    <x v="197"/>
    <n v="493"/>
    <n v="142"/>
    <x v="1121"/>
    <n v="55.66"/>
    <n v="137.59"/>
    <n v="-6.6"/>
    <n v="232"/>
    <x v="2"/>
    <x v="2"/>
    <x v="3"/>
  </r>
  <r>
    <x v="0"/>
    <x v="10"/>
    <x v="4"/>
    <x v="5"/>
    <x v="304"/>
    <n v="218"/>
    <n v="128"/>
    <x v="1122"/>
    <n v="28.93"/>
    <n v="20.34"/>
    <n v="20.440000000000001"/>
    <n v="36"/>
    <x v="2"/>
    <x v="2"/>
    <x v="1"/>
  </r>
  <r>
    <x v="2"/>
    <x v="0"/>
    <x v="4"/>
    <x v="6"/>
    <x v="169"/>
    <n v="229"/>
    <n v="113"/>
    <x v="8"/>
    <n v="25.99"/>
    <n v="26.68"/>
    <n v="-9.5500000000000007"/>
    <n v="251"/>
    <x v="1"/>
    <x v="2"/>
    <x v="2"/>
  </r>
  <r>
    <x v="2"/>
    <x v="6"/>
    <x v="0"/>
    <x v="0"/>
    <x v="268"/>
    <n v="285"/>
    <n v="49"/>
    <x v="1123"/>
    <n v="2.79"/>
    <n v="13.45"/>
    <n v="-5.73"/>
    <n v="161"/>
    <x v="2"/>
    <x v="2"/>
    <x v="3"/>
  </r>
  <r>
    <x v="0"/>
    <x v="7"/>
    <x v="1"/>
    <x v="11"/>
    <x v="405"/>
    <n v="398"/>
    <n v="201"/>
    <x v="1124"/>
    <n v="23.92"/>
    <n v="23.44"/>
    <n v="14.25"/>
    <n v="39"/>
    <x v="2"/>
    <x v="0"/>
    <x v="2"/>
  </r>
  <r>
    <x v="0"/>
    <x v="8"/>
    <x v="4"/>
    <x v="5"/>
    <x v="73"/>
    <n v="64"/>
    <n v="43"/>
    <x v="1125"/>
    <n v="13.89"/>
    <n v="6.78"/>
    <n v="7.01"/>
    <n v="278"/>
    <x v="0"/>
    <x v="0"/>
    <x v="1"/>
  </r>
  <r>
    <x v="0"/>
    <x v="4"/>
    <x v="0"/>
    <x v="0"/>
    <x v="409"/>
    <n v="119"/>
    <n v="83"/>
    <x v="1126"/>
    <n v="38.68"/>
    <n v="16.78"/>
    <n v="10.26"/>
    <n v="230"/>
    <x v="2"/>
    <x v="2"/>
    <x v="0"/>
  </r>
  <r>
    <x v="1"/>
    <x v="2"/>
    <x v="4"/>
    <x v="7"/>
    <x v="98"/>
    <n v="208"/>
    <n v="88"/>
    <x v="1127"/>
    <n v="18.57"/>
    <n v="25.32"/>
    <n v="11.57"/>
    <n v="292"/>
    <x v="1"/>
    <x v="3"/>
    <x v="3"/>
  </r>
  <r>
    <x v="1"/>
    <x v="10"/>
    <x v="3"/>
    <x v="4"/>
    <x v="79"/>
    <n v="365"/>
    <n v="102"/>
    <x v="1128"/>
    <n v="33.46"/>
    <n v="86.26"/>
    <n v="-1.54"/>
    <n v="277"/>
    <x v="2"/>
    <x v="1"/>
    <x v="0"/>
  </r>
  <r>
    <x v="1"/>
    <x v="3"/>
    <x v="0"/>
    <x v="0"/>
    <x v="389"/>
    <n v="344"/>
    <n v="312"/>
    <x v="1129"/>
    <n v="85.8"/>
    <n v="8.8000000000000007"/>
    <n v="-4.16"/>
    <n v="294"/>
    <x v="1"/>
    <x v="1"/>
    <x v="0"/>
  </r>
  <r>
    <x v="1"/>
    <x v="3"/>
    <x v="4"/>
    <x v="5"/>
    <x v="371"/>
    <n v="216"/>
    <n v="59"/>
    <x v="1130"/>
    <n v="26.43"/>
    <n v="70.34"/>
    <n v="-0.32"/>
    <n v="47"/>
    <x v="0"/>
    <x v="3"/>
    <x v="3"/>
  </r>
  <r>
    <x v="0"/>
    <x v="2"/>
    <x v="4"/>
    <x v="6"/>
    <x v="392"/>
    <n v="295"/>
    <n v="117"/>
    <x v="1131"/>
    <n v="7.61"/>
    <n v="11.57"/>
    <n v="3.6"/>
    <n v="204"/>
    <x v="0"/>
    <x v="1"/>
    <x v="0"/>
  </r>
  <r>
    <x v="2"/>
    <x v="1"/>
    <x v="1"/>
    <x v="16"/>
    <x v="59"/>
    <n v="106"/>
    <n v="63"/>
    <x v="1132"/>
    <n v="3.28"/>
    <n v="2.2400000000000002"/>
    <n v="2.68"/>
    <n v="202"/>
    <x v="0"/>
    <x v="0"/>
    <x v="1"/>
  </r>
  <r>
    <x v="1"/>
    <x v="0"/>
    <x v="2"/>
    <x v="2"/>
    <x v="170"/>
    <n v="283"/>
    <n v="224"/>
    <x v="1133"/>
    <n v="60.93"/>
    <n v="16.05"/>
    <n v="-8.94"/>
    <n v="175"/>
    <x v="1"/>
    <x v="0"/>
    <x v="2"/>
  </r>
  <r>
    <x v="1"/>
    <x v="0"/>
    <x v="2"/>
    <x v="10"/>
    <x v="294"/>
    <n v="264"/>
    <n v="143"/>
    <x v="1134"/>
    <n v="7.87"/>
    <n v="6.65"/>
    <n v="-9.85"/>
    <n v="151"/>
    <x v="0"/>
    <x v="3"/>
    <x v="1"/>
  </r>
  <r>
    <x v="0"/>
    <x v="5"/>
    <x v="2"/>
    <x v="2"/>
    <x v="383"/>
    <n v="286"/>
    <n v="159"/>
    <x v="1135"/>
    <n v="31.48"/>
    <n v="25.15"/>
    <n v="-0.87"/>
    <n v="180"/>
    <x v="1"/>
    <x v="1"/>
    <x v="2"/>
  </r>
  <r>
    <x v="1"/>
    <x v="11"/>
    <x v="1"/>
    <x v="13"/>
    <x v="380"/>
    <n v="128"/>
    <n v="82"/>
    <x v="1136"/>
    <n v="7.87"/>
    <n v="4.42"/>
    <n v="24.95"/>
    <n v="47"/>
    <x v="2"/>
    <x v="2"/>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s v="Karnataka"/>
    <n v="15013.679999999995"/>
  </r>
  <r>
    <s v="Delhi"/>
    <n v="14933.759999999995"/>
  </r>
  <r>
    <s v="Tamil nadu"/>
    <n v="14933.759999999995"/>
  </r>
  <r>
    <s v="Rajasthan"/>
    <n v="14933.75999999999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s v="Organic Spices"/>
    <s v="Turmeric Powder"/>
    <n v="51"/>
    <n v="301"/>
    <n v="129"/>
    <n v="15.35"/>
    <n v="6.58"/>
    <n v="8.77"/>
    <n v="-7.88"/>
    <n v="30"/>
    <s v="Medium"/>
    <s v="High Demand"/>
    <s v="Increase Stock"/>
    <s v="Maharashtra"/>
  </r>
  <r>
    <x v="0"/>
    <x v="1"/>
    <s v="Organic Grocery"/>
    <s v="Dals"/>
    <n v="370"/>
    <n v="216"/>
    <n v="38"/>
    <n v="79.92"/>
    <n v="14.06"/>
    <n v="65.86"/>
    <n v="5.82"/>
    <n v="26"/>
    <s v="Medium"/>
    <s v="Supply Delay"/>
    <s v="Find Alternate Supplier"/>
    <s v="Maharashtra"/>
  </r>
  <r>
    <x v="1"/>
    <x v="1"/>
    <s v="Organic Oils"/>
    <s v="Coconut Oil"/>
    <n v="82"/>
    <n v="451"/>
    <n v="162"/>
    <n v="36.979999999999997"/>
    <n v="13.28"/>
    <n v="23.7"/>
    <n v="5.88"/>
    <n v="176"/>
    <s v="High"/>
    <s v="High Demand"/>
    <s v="Increase Stock"/>
    <s v="Gujarat"/>
  </r>
  <r>
    <x v="1"/>
    <x v="2"/>
    <s v="Organic Spices"/>
    <s v="Red Chilli Powder"/>
    <n v="467"/>
    <n v="165"/>
    <n v="112"/>
    <n v="77.06"/>
    <n v="52.3"/>
    <n v="24.75"/>
    <n v="0.88"/>
    <n v="55"/>
    <s v="Medium"/>
    <s v="Low Stock"/>
    <s v="Restock"/>
    <s v="Tamil Nadu"/>
  </r>
  <r>
    <x v="2"/>
    <x v="3"/>
    <s v="Organic Dairy"/>
    <s v="Paneer"/>
    <n v="404"/>
    <n v="161"/>
    <n v="77"/>
    <n v="65.040000000000006"/>
    <n v="31.11"/>
    <n v="33.94"/>
    <n v="21.52"/>
    <n v="43"/>
    <s v="Medium"/>
    <s v="Low Stock"/>
    <s v="Restock"/>
    <s v="Maharashtra"/>
  </r>
  <r>
    <x v="0"/>
    <x v="1"/>
    <s v="Organic Superfoods"/>
    <s v="Ashwagandha"/>
    <n v="62"/>
    <n v="164"/>
    <n v="85"/>
    <n v="10.17"/>
    <n v="5.27"/>
    <n v="4.9000000000000004"/>
    <n v="24.36"/>
    <n v="148"/>
    <s v="Low"/>
    <s v="None"/>
    <s v="Maintain"/>
    <s v="Tamil Nadu"/>
  </r>
  <r>
    <x v="0"/>
    <x v="4"/>
    <s v="Organic Superfoods"/>
    <s v="Amla Powder"/>
    <n v="142"/>
    <n v="352"/>
    <n v="178"/>
    <n v="49.98"/>
    <n v="25.28"/>
    <n v="24.71"/>
    <n v="17.3"/>
    <n v="73"/>
    <s v="High"/>
    <s v="Supply Delay"/>
    <s v="Find Alternate Supplier"/>
    <s v="Karnataka"/>
  </r>
  <r>
    <x v="2"/>
    <x v="5"/>
    <s v="Organic Grocery"/>
    <s v="Dals"/>
    <n v="377"/>
    <n v="421"/>
    <n v="397"/>
    <n v="158.72"/>
    <n v="149.66999999999999"/>
    <n v="9.0500000000000007"/>
    <n v="0.2"/>
    <n v="261"/>
    <s v="Low"/>
    <s v="High Demand"/>
    <s v="Increase Stock"/>
    <s v="Delhi"/>
  </r>
  <r>
    <x v="1"/>
    <x v="3"/>
    <s v="Organic Superfoods"/>
    <s v="Chia Seeds"/>
    <n v="171"/>
    <n v="308"/>
    <n v="245"/>
    <n v="52.67"/>
    <n v="41.9"/>
    <n v="10.77"/>
    <n v="23.07"/>
    <n v="103"/>
    <s v="Medium"/>
    <s v="High Demand"/>
    <s v="Increase Stock"/>
    <s v="Rajasthan"/>
  </r>
  <r>
    <x v="2"/>
    <x v="3"/>
    <s v="Organic Grocery"/>
    <s v="Dals"/>
    <n v="214"/>
    <n v="360"/>
    <n v="261"/>
    <n v="77.040000000000006"/>
    <n v="55.85"/>
    <n v="21.19"/>
    <n v="1.84"/>
    <n v="285"/>
    <s v="High"/>
    <s v="High Demand"/>
    <s v="Increase Stock"/>
    <s v="Gujarat"/>
  </r>
  <r>
    <x v="2"/>
    <x v="6"/>
    <s v="Organic Superfoods"/>
    <s v="Amla Powder"/>
    <n v="72"/>
    <n v="416"/>
    <n v="177"/>
    <n v="29.95"/>
    <n v="12.74"/>
    <n v="17.21"/>
    <n v="23.85"/>
    <n v="211"/>
    <s v="Medium"/>
    <s v="Supply Delay"/>
    <s v="Find Alternate Supplier"/>
    <s v="Karnataka"/>
  </r>
  <r>
    <x v="0"/>
    <x v="7"/>
    <s v="Organic Spices"/>
    <s v="Red Chilli Powder"/>
    <n v="157"/>
    <n v="323"/>
    <n v="105"/>
    <n v="50.71"/>
    <n v="16.48"/>
    <n v="34.229999999999997"/>
    <n v="22.05"/>
    <n v="63"/>
    <s v="High"/>
    <s v="None"/>
    <s v="Maintain"/>
    <s v="Maharashtra"/>
  </r>
  <r>
    <x v="0"/>
    <x v="8"/>
    <s v="Organic Dairy"/>
    <s v="Ghee"/>
    <n v="116"/>
    <n v="384"/>
    <n v="225"/>
    <n v="44.54"/>
    <n v="26.1"/>
    <n v="18.440000000000001"/>
    <n v="22.33"/>
    <n v="25"/>
    <s v="Low"/>
    <s v="Supply Delay"/>
    <s v="Find Alternate Supplier"/>
    <s v="Maharashtra"/>
  </r>
  <r>
    <x v="2"/>
    <x v="7"/>
    <s v="Organic Spices"/>
    <s v="Red Chilli Powder"/>
    <n v="316"/>
    <n v="338"/>
    <n v="288"/>
    <n v="106.81"/>
    <n v="91.01"/>
    <n v="15.8"/>
    <n v="19.100000000000001"/>
    <n v="55"/>
    <s v="High"/>
    <s v="None"/>
    <s v="Maintain"/>
    <s v="Karnataka"/>
  </r>
  <r>
    <x v="0"/>
    <x v="9"/>
    <s v="Organic Dairy"/>
    <s v="Curd"/>
    <n v="421"/>
    <n v="351"/>
    <n v="278"/>
    <n v="147.77000000000001"/>
    <n v="117.04"/>
    <n v="30.73"/>
    <n v="-6.46"/>
    <n v="75"/>
    <s v="Medium"/>
    <s v="Supply Delay"/>
    <s v="Find Alternate Supplier"/>
    <s v="Karnataka"/>
  </r>
  <r>
    <x v="2"/>
    <x v="4"/>
    <s v="Organic Oils"/>
    <s v="Coconut Oil"/>
    <n v="334"/>
    <n v="126"/>
    <n v="81"/>
    <n v="42.08"/>
    <n v="27.05"/>
    <n v="15.03"/>
    <n v="-1.94"/>
    <n v="192"/>
    <s v="Medium"/>
    <s v="High Demand"/>
    <s v="Increase Stock"/>
    <s v="Maharashtra"/>
  </r>
  <r>
    <x v="2"/>
    <x v="1"/>
    <s v="Organic Spices"/>
    <s v="Red Chilli Powder"/>
    <n v="100"/>
    <n v="324"/>
    <n v="284"/>
    <n v="32.4"/>
    <n v="28.4"/>
    <n v="4"/>
    <n v="11.38"/>
    <n v="34"/>
    <s v="Low"/>
    <s v="None"/>
    <s v="Maintain"/>
    <s v="Gujarat"/>
  </r>
  <r>
    <x v="0"/>
    <x v="4"/>
    <s v="Organic Spices"/>
    <s v="Turmeric Powder"/>
    <n v="142"/>
    <n v="406"/>
    <n v="284"/>
    <n v="57.65"/>
    <n v="40.33"/>
    <n v="17.32"/>
    <n v="-0.98"/>
    <n v="47"/>
    <s v="Low"/>
    <s v="High Demand"/>
    <s v="Increase Stock"/>
    <s v="Maharashtra"/>
  </r>
  <r>
    <x v="2"/>
    <x v="10"/>
    <s v="Organic Dairy"/>
    <s v="Ghee"/>
    <n v="234"/>
    <n v="247"/>
    <n v="30"/>
    <n v="57.8"/>
    <n v="7.02"/>
    <n v="50.78"/>
    <n v="4.5"/>
    <n v="78"/>
    <s v="Medium"/>
    <s v="None"/>
    <s v="Maintain"/>
    <s v="Maharashtra"/>
  </r>
  <r>
    <x v="0"/>
    <x v="0"/>
    <s v="Organic Dairy"/>
    <s v="Paneer"/>
    <n v="373"/>
    <n v="447"/>
    <n v="410"/>
    <n v="166.73"/>
    <n v="152.93"/>
    <n v="13.8"/>
    <n v="15.64"/>
    <n v="47"/>
    <s v="Medium"/>
    <s v="Low Stock"/>
    <s v="Restock"/>
    <s v="Tamil Nadu"/>
  </r>
  <r>
    <x v="1"/>
    <x v="5"/>
    <s v="Organic Dairy"/>
    <s v="Paneer"/>
    <n v="79"/>
    <n v="327"/>
    <n v="196"/>
    <n v="25.83"/>
    <n v="15.48"/>
    <n v="10.35"/>
    <n v="12.63"/>
    <n v="233"/>
    <s v="Medium"/>
    <s v="Supply Delay"/>
    <s v="Find Alternate Supplier"/>
    <s v="Rajasthan"/>
  </r>
  <r>
    <x v="2"/>
    <x v="5"/>
    <s v="Organic Oils"/>
    <s v="Sunflower Oil"/>
    <n v="195"/>
    <n v="182"/>
    <n v="151"/>
    <n v="35.49"/>
    <n v="29.45"/>
    <n v="6.05"/>
    <n v="1.66"/>
    <n v="79"/>
    <s v="Low"/>
    <s v="Supply Delay"/>
    <s v="Find Alternate Supplier"/>
    <s v="Tamil Nadu"/>
  </r>
  <r>
    <x v="0"/>
    <x v="1"/>
    <s v="Organic Superfoods"/>
    <s v="Chia Seeds"/>
    <n v="131"/>
    <n v="486"/>
    <n v="308"/>
    <n v="63.67"/>
    <n v="40.35"/>
    <n v="23.32"/>
    <n v="23.51"/>
    <n v="74"/>
    <s v="Medium"/>
    <s v="Supply Delay"/>
    <s v="Find Alternate Supplier"/>
    <s v="Maharashtra"/>
  </r>
  <r>
    <x v="1"/>
    <x v="9"/>
    <s v="Organic Grocery"/>
    <s v="Pulses"/>
    <n v="137"/>
    <n v="88"/>
    <n v="38"/>
    <n v="12.06"/>
    <n v="5.21"/>
    <n v="6.85"/>
    <n v="22.85"/>
    <n v="152"/>
    <s v="Low"/>
    <s v="Low Stock"/>
    <s v="Restock"/>
    <s v="Delhi"/>
  </r>
  <r>
    <x v="1"/>
    <x v="6"/>
    <s v="Organic Superfoods"/>
    <s v="Chia Seeds"/>
    <n v="315"/>
    <n v="101"/>
    <n v="59"/>
    <n v="31.82"/>
    <n v="18.59"/>
    <n v="13.23"/>
    <n v="1.42"/>
    <n v="74"/>
    <s v="Low"/>
    <s v="None"/>
    <s v="Maintain"/>
    <s v="Delhi"/>
  </r>
  <r>
    <x v="2"/>
    <x v="7"/>
    <s v="Organic Superfoods"/>
    <s v="Chia Seeds"/>
    <n v="175"/>
    <n v="368"/>
    <n v="61"/>
    <n v="64.400000000000006"/>
    <n v="10.68"/>
    <n v="53.73"/>
    <n v="11.59"/>
    <n v="121"/>
    <s v="High"/>
    <s v="Low Stock"/>
    <s v="Restock"/>
    <s v="Rajasthan"/>
  </r>
  <r>
    <x v="2"/>
    <x v="3"/>
    <s v="Organic Dairy"/>
    <s v="Milk"/>
    <n v="364"/>
    <n v="496"/>
    <n v="387"/>
    <n v="180.54"/>
    <n v="140.87"/>
    <n v="39.68"/>
    <n v="-4.28"/>
    <n v="169"/>
    <s v="Medium"/>
    <s v="High Demand"/>
    <s v="Increase Stock"/>
    <s v="Karnataka"/>
  </r>
  <r>
    <x v="2"/>
    <x v="2"/>
    <s v="Organic Grocery"/>
    <s v="Wheat Flour"/>
    <n v="316"/>
    <n v="299"/>
    <n v="139"/>
    <n v="94.48"/>
    <n v="43.92"/>
    <n v="50.56"/>
    <n v="6.58"/>
    <n v="56"/>
    <s v="Medium"/>
    <s v="Supply Delay"/>
    <s v="Find Alternate Supplier"/>
    <s v="Delhi"/>
  </r>
  <r>
    <x v="2"/>
    <x v="8"/>
    <s v="Organic Spices"/>
    <s v="Red Chilli Powder"/>
    <n v="295"/>
    <n v="310"/>
    <n v="94"/>
    <n v="91.45"/>
    <n v="27.73"/>
    <n v="63.72"/>
    <n v="-6.44"/>
    <n v="238"/>
    <s v="Low"/>
    <s v="Low Stock"/>
    <s v="Restock"/>
    <s v="Karnataka"/>
  </r>
  <r>
    <x v="0"/>
    <x v="5"/>
    <s v="Organic Spices"/>
    <s v="Black Pepper"/>
    <n v="235"/>
    <n v="343"/>
    <n v="176"/>
    <n v="80.61"/>
    <n v="41.36"/>
    <n v="39.25"/>
    <n v="8.48"/>
    <n v="50"/>
    <s v="High"/>
    <s v="None"/>
    <s v="Maintain"/>
    <s v="Karnataka"/>
  </r>
  <r>
    <x v="2"/>
    <x v="1"/>
    <s v="Organic Oils"/>
    <s v="Coconut Oil"/>
    <n v="407"/>
    <n v="310"/>
    <n v="159"/>
    <n v="126.17"/>
    <n v="64.709999999999994"/>
    <n v="61.46"/>
    <n v="4.25"/>
    <n v="216"/>
    <s v="High"/>
    <s v="Supply Delay"/>
    <s v="Find Alternate Supplier"/>
    <s v="Tamil Nadu"/>
  </r>
  <r>
    <x v="0"/>
    <x v="9"/>
    <s v="Organic Dairy"/>
    <s v="Ghee"/>
    <n v="312"/>
    <n v="476"/>
    <n v="227"/>
    <n v="148.51"/>
    <n v="70.819999999999993"/>
    <n v="77.69"/>
    <n v="6.57"/>
    <n v="50"/>
    <s v="Low"/>
    <s v="Supply Delay"/>
    <s v="Find Alternate Supplier"/>
    <s v="Tamil Nadu"/>
  </r>
  <r>
    <x v="1"/>
    <x v="1"/>
    <s v="Organic Grocery"/>
    <s v="Dals"/>
    <n v="500"/>
    <n v="429"/>
    <n v="93"/>
    <n v="214.5"/>
    <n v="46.5"/>
    <n v="168"/>
    <n v="9.66"/>
    <n v="28"/>
    <s v="High"/>
    <s v="Low Stock"/>
    <s v="Restock"/>
    <s v="Delhi"/>
  </r>
  <r>
    <x v="1"/>
    <x v="8"/>
    <s v="Organic Superfoods"/>
    <s v="Ashwagandha"/>
    <n v="218"/>
    <n v="436"/>
    <n v="201"/>
    <n v="95.05"/>
    <n v="43.82"/>
    <n v="51.23"/>
    <n v="2.25"/>
    <n v="144"/>
    <s v="Low"/>
    <s v="None"/>
    <s v="Maintain"/>
    <s v="Rajasthan"/>
  </r>
  <r>
    <x v="0"/>
    <x v="11"/>
    <s v="Organic Superfoods"/>
    <s v="Ashwagandha"/>
    <n v="195"/>
    <n v="386"/>
    <n v="176"/>
    <n v="75.27"/>
    <n v="34.32"/>
    <n v="40.950000000000003"/>
    <n v="-0.83"/>
    <n v="206"/>
    <s v="Low"/>
    <s v="High Demand"/>
    <s v="Increase Stock"/>
    <s v="Gujarat"/>
  </r>
  <r>
    <x v="1"/>
    <x v="4"/>
    <s v="Organic Oils"/>
    <s v="Coconut Oil"/>
    <n v="456"/>
    <n v="403"/>
    <n v="258"/>
    <n v="183.77"/>
    <n v="117.65"/>
    <n v="66.12"/>
    <n v="6.13"/>
    <n v="189"/>
    <s v="Low"/>
    <s v="None"/>
    <s v="Maintain"/>
    <s v="Maharashtra"/>
  </r>
  <r>
    <x v="2"/>
    <x v="7"/>
    <s v="Organic Oils"/>
    <s v="Coconut Oil"/>
    <n v="130"/>
    <n v="449"/>
    <n v="290"/>
    <n v="58.37"/>
    <n v="37.700000000000003"/>
    <n v="20.67"/>
    <n v="17.62"/>
    <n v="136"/>
    <s v="Low"/>
    <s v="Supply Delay"/>
    <s v="Find Alternate Supplier"/>
    <s v="Delhi"/>
  </r>
  <r>
    <x v="0"/>
    <x v="1"/>
    <s v="Organic Superfoods"/>
    <s v="Amla Powder"/>
    <n v="204"/>
    <n v="84"/>
    <n v="58"/>
    <n v="17.14"/>
    <n v="11.83"/>
    <n v="5.3"/>
    <n v="2.5099999999999998"/>
    <n v="251"/>
    <s v="Medium"/>
    <s v="Low Stock"/>
    <s v="Restock"/>
    <s v="Karnataka"/>
  </r>
  <r>
    <x v="2"/>
    <x v="6"/>
    <s v="Organic Superfoods"/>
    <s v="Ashwagandha"/>
    <n v="270"/>
    <n v="70"/>
    <n v="48"/>
    <n v="18.899999999999999"/>
    <n v="12.96"/>
    <n v="5.94"/>
    <n v="22.65"/>
    <n v="65"/>
    <s v="Medium"/>
    <s v="High Demand"/>
    <s v="Increase Stock"/>
    <s v="Maharashtra"/>
  </r>
  <r>
    <x v="0"/>
    <x v="4"/>
    <s v="Organic Spices"/>
    <s v="Red Chilli Powder"/>
    <n v="289"/>
    <n v="67"/>
    <n v="47"/>
    <n v="19.36"/>
    <n v="13.58"/>
    <n v="5.78"/>
    <n v="2.75"/>
    <n v="161"/>
    <s v="Medium"/>
    <s v="Supply Delay"/>
    <s v="Find Alternate Supplier"/>
    <s v="Maharashtra"/>
  </r>
  <r>
    <x v="2"/>
    <x v="0"/>
    <s v="Organic Dairy"/>
    <s v="Milk"/>
    <n v="252"/>
    <n v="164"/>
    <n v="108"/>
    <n v="41.33"/>
    <n v="27.22"/>
    <n v="14.11"/>
    <n v="15.12"/>
    <n v="238"/>
    <s v="High"/>
    <s v="Low Stock"/>
    <s v="Restock"/>
    <s v="Gujarat"/>
  </r>
  <r>
    <x v="0"/>
    <x v="10"/>
    <s v="Organic Superfoods"/>
    <s v="Amla Powder"/>
    <n v="123"/>
    <n v="111"/>
    <n v="79"/>
    <n v="13.65"/>
    <n v="9.7200000000000006"/>
    <n v="3.94"/>
    <n v="18.8"/>
    <n v="35"/>
    <s v="Medium"/>
    <s v="None"/>
    <s v="Maintain"/>
    <s v="Tamil Nadu"/>
  </r>
  <r>
    <x v="2"/>
    <x v="1"/>
    <s v="Organic Dairy"/>
    <s v="Curd"/>
    <n v="262"/>
    <n v="384"/>
    <n v="218"/>
    <n v="100.61"/>
    <n v="57.12"/>
    <n v="43.49"/>
    <n v="17.579999999999998"/>
    <n v="126"/>
    <s v="High"/>
    <s v="Low Stock"/>
    <s v="Restock"/>
    <s v="Maharashtra"/>
  </r>
  <r>
    <x v="2"/>
    <x v="5"/>
    <s v="Organic Grocery"/>
    <s v="Dals"/>
    <n v="381"/>
    <n v="160"/>
    <n v="110"/>
    <n v="60.96"/>
    <n v="41.91"/>
    <n v="19.05"/>
    <n v="21.65"/>
    <n v="106"/>
    <s v="Low"/>
    <s v="High Demand"/>
    <s v="Increase Stock"/>
    <s v="Rajasthan"/>
  </r>
  <r>
    <x v="0"/>
    <x v="9"/>
    <s v="Organic Grocery"/>
    <s v="Dals"/>
    <n v="81"/>
    <n v="397"/>
    <n v="270"/>
    <n v="32.159999999999997"/>
    <n v="21.87"/>
    <n v="10.29"/>
    <n v="14.56"/>
    <n v="152"/>
    <s v="Low"/>
    <s v="None"/>
    <s v="Maintain"/>
    <s v="Tamil Nadu"/>
  </r>
  <r>
    <x v="2"/>
    <x v="6"/>
    <s v="Organic Oils"/>
    <s v="Sunflower Oil"/>
    <n v="249"/>
    <n v="210"/>
    <n v="56"/>
    <n v="52.29"/>
    <n v="13.94"/>
    <n v="38.35"/>
    <n v="4.66"/>
    <n v="78"/>
    <s v="Low"/>
    <s v="High Demand"/>
    <s v="Increase Stock"/>
    <s v="Maharashtra"/>
  </r>
  <r>
    <x v="0"/>
    <x v="2"/>
    <s v="Organic Spices"/>
    <s v="Red Chilli Powder"/>
    <n v="262"/>
    <n v="251"/>
    <n v="178"/>
    <n v="65.760000000000005"/>
    <n v="46.64"/>
    <n v="19.13"/>
    <n v="9.39"/>
    <n v="178"/>
    <s v="Medium"/>
    <s v="High Demand"/>
    <s v="Increase Stock"/>
    <s v="Gujarat"/>
  </r>
  <r>
    <x v="2"/>
    <x v="5"/>
    <s v="Organic Oils"/>
    <s v="Coconut Oil"/>
    <n v="377"/>
    <n v="368"/>
    <n v="99"/>
    <n v="138.74"/>
    <n v="37.32"/>
    <n v="101.41"/>
    <n v="8.56"/>
    <n v="106"/>
    <s v="Low"/>
    <s v="High Demand"/>
    <s v="Increase Stock"/>
    <s v="Rajasthan"/>
  </r>
  <r>
    <x v="2"/>
    <x v="5"/>
    <s v="Organic Dairy"/>
    <s v="Ghee"/>
    <n v="436"/>
    <n v="410"/>
    <n v="104"/>
    <n v="178.76"/>
    <n v="45.34"/>
    <n v="133.41999999999999"/>
    <n v="-8.83"/>
    <n v="169"/>
    <s v="Medium"/>
    <s v="Supply Delay"/>
    <s v="Find Alternate Supplier"/>
    <s v="Karnataka"/>
  </r>
  <r>
    <x v="0"/>
    <x v="4"/>
    <s v="Organic Spices"/>
    <s v="Turmeric Powder"/>
    <n v="216"/>
    <n v="111"/>
    <n v="64"/>
    <n v="23.98"/>
    <n v="13.82"/>
    <n v="10.15"/>
    <n v="14.54"/>
    <n v="62"/>
    <s v="Low"/>
    <s v="None"/>
    <s v="Maintain"/>
    <s v="Tamil Nadu"/>
  </r>
  <r>
    <x v="2"/>
    <x v="5"/>
    <s v="Organic Grocery"/>
    <s v="Wheat Flour"/>
    <n v="303"/>
    <n v="198"/>
    <n v="51"/>
    <n v="59.99"/>
    <n v="15.45"/>
    <n v="44.54"/>
    <n v="-0.27"/>
    <n v="60"/>
    <s v="Low"/>
    <s v="Supply Delay"/>
    <s v="Find Alternate Supplier"/>
    <s v="Tamil Nadu"/>
  </r>
  <r>
    <x v="1"/>
    <x v="0"/>
    <s v="Organic Grocery"/>
    <s v="Wheat Flour"/>
    <n v="74"/>
    <n v="113"/>
    <n v="86"/>
    <n v="8.36"/>
    <n v="6.36"/>
    <n v="2"/>
    <n v="10.08"/>
    <n v="191"/>
    <s v="Medium"/>
    <s v="High Demand"/>
    <s v="Increase Stock"/>
    <s v="Tamil Nadu"/>
  </r>
  <r>
    <x v="1"/>
    <x v="11"/>
    <s v="Organic Spices"/>
    <s v="Red Chilli Powder"/>
    <n v="88"/>
    <n v="355"/>
    <n v="145"/>
    <n v="31.24"/>
    <n v="12.76"/>
    <n v="18.48"/>
    <n v="-6.35"/>
    <n v="246"/>
    <s v="Medium"/>
    <s v="None"/>
    <s v="Maintain"/>
    <s v="Karnataka"/>
  </r>
  <r>
    <x v="0"/>
    <x v="4"/>
    <s v="Organic Oils"/>
    <s v="Groundnut Oil"/>
    <n v="288"/>
    <n v="97"/>
    <n v="71"/>
    <n v="27.94"/>
    <n v="20.45"/>
    <n v="7.49"/>
    <n v="5.32"/>
    <n v="230"/>
    <s v="Medium"/>
    <s v="Low Stock"/>
    <s v="Restock"/>
    <s v="Tamil Nadu"/>
  </r>
  <r>
    <x v="2"/>
    <x v="4"/>
    <s v="Organic Oils"/>
    <s v="Sunflower Oil"/>
    <n v="295"/>
    <n v="457"/>
    <n v="300"/>
    <n v="134.81"/>
    <n v="88.5"/>
    <n v="46.31"/>
    <n v="0.34"/>
    <n v="74"/>
    <s v="Low"/>
    <s v="Supply Delay"/>
    <s v="Find Alternate Supplier"/>
    <s v="Delhi"/>
  </r>
  <r>
    <x v="0"/>
    <x v="0"/>
    <s v="Organic Dairy"/>
    <s v="Paneer"/>
    <n v="407"/>
    <n v="58"/>
    <n v="32"/>
    <n v="23.61"/>
    <n v="13.02"/>
    <n v="10.58"/>
    <n v="-4.0599999999999996"/>
    <n v="118"/>
    <s v="High"/>
    <s v="Supply Delay"/>
    <s v="Find Alternate Supplier"/>
    <s v="Rajasthan"/>
  </r>
  <r>
    <x v="0"/>
    <x v="3"/>
    <s v="Organic Grocery"/>
    <s v="Dals"/>
    <n v="183"/>
    <n v="480"/>
    <n v="62"/>
    <n v="87.84"/>
    <n v="11.35"/>
    <n v="76.489999999999995"/>
    <n v="-2.1800000000000002"/>
    <n v="53"/>
    <s v="Medium"/>
    <s v="High Demand"/>
    <s v="Increase Stock"/>
    <s v="Gujarat"/>
  </r>
  <r>
    <x v="1"/>
    <x v="10"/>
    <s v="Organic Superfoods"/>
    <s v="Chia Seeds"/>
    <n v="242"/>
    <n v="393"/>
    <n v="102"/>
    <n v="95.11"/>
    <n v="24.68"/>
    <n v="70.42"/>
    <n v="24.27"/>
    <n v="273"/>
    <s v="Low"/>
    <s v="None"/>
    <s v="Maintain"/>
    <s v="Rajasthan"/>
  </r>
  <r>
    <x v="0"/>
    <x v="6"/>
    <s v="Organic Spices"/>
    <s v="Red Chilli Powder"/>
    <n v="398"/>
    <n v="82"/>
    <n v="60"/>
    <n v="32.64"/>
    <n v="23.88"/>
    <n v="8.76"/>
    <n v="15.54"/>
    <n v="136"/>
    <s v="High"/>
    <s v="High Demand"/>
    <s v="Increase Stock"/>
    <s v="Gujarat"/>
  </r>
  <r>
    <x v="2"/>
    <x v="6"/>
    <s v="Organic Grocery"/>
    <s v="Rice"/>
    <n v="180"/>
    <n v="124"/>
    <n v="46"/>
    <n v="22.32"/>
    <n v="8.2799999999999994"/>
    <n v="14.04"/>
    <n v="0.61"/>
    <n v="21"/>
    <s v="High"/>
    <s v="None"/>
    <s v="Maintain"/>
    <s v="Gujarat"/>
  </r>
  <r>
    <x v="2"/>
    <x v="11"/>
    <s v="Organic Oils"/>
    <s v="Sunflower Oil"/>
    <n v="228"/>
    <n v="113"/>
    <n v="36"/>
    <n v="25.76"/>
    <n v="8.2100000000000009"/>
    <n v="17.559999999999999"/>
    <n v="12.94"/>
    <n v="291"/>
    <s v="Medium"/>
    <s v="Low Stock"/>
    <s v="Restock"/>
    <s v="Maharashtra"/>
  </r>
  <r>
    <x v="1"/>
    <x v="3"/>
    <s v="Organic Oils"/>
    <s v="Coconut Oil"/>
    <n v="359"/>
    <n v="467"/>
    <n v="111"/>
    <n v="167.65"/>
    <n v="39.85"/>
    <n v="127.8"/>
    <n v="22.65"/>
    <n v="220"/>
    <s v="Medium"/>
    <s v="None"/>
    <s v="Maintain"/>
    <s v="Rajasthan"/>
  </r>
  <r>
    <x v="2"/>
    <x v="4"/>
    <s v="Organic Grocery"/>
    <s v="Dals"/>
    <n v="239"/>
    <n v="472"/>
    <n v="358"/>
    <n v="112.81"/>
    <n v="85.56"/>
    <n v="27.25"/>
    <n v="5.8"/>
    <n v="137"/>
    <s v="Medium"/>
    <s v="High Demand"/>
    <s v="Increase Stock"/>
    <s v="Karnataka"/>
  </r>
  <r>
    <x v="2"/>
    <x v="5"/>
    <s v="Organic Spices"/>
    <s v="Red Chilli Powder"/>
    <n v="361"/>
    <n v="143"/>
    <n v="32"/>
    <n v="51.62"/>
    <n v="11.55"/>
    <n v="40.07"/>
    <n v="4.6399999999999997"/>
    <n v="139"/>
    <s v="Medium"/>
    <s v="Low Stock"/>
    <s v="Restock"/>
    <s v="Maharashtra"/>
  </r>
  <r>
    <x v="2"/>
    <x v="8"/>
    <s v="Organic Superfoods"/>
    <s v="Chia Seeds"/>
    <n v="204"/>
    <n v="230"/>
    <n v="123"/>
    <n v="46.92"/>
    <n v="25.09"/>
    <n v="21.83"/>
    <n v="20.170000000000002"/>
    <n v="52"/>
    <s v="Medium"/>
    <s v="High Demand"/>
    <s v="Increase Stock"/>
    <s v="Karnataka"/>
  </r>
  <r>
    <x v="0"/>
    <x v="10"/>
    <s v="Organic Spices"/>
    <s v="Black Pepper"/>
    <n v="193"/>
    <n v="180"/>
    <n v="134"/>
    <n v="34.74"/>
    <n v="25.86"/>
    <n v="8.8800000000000008"/>
    <n v="1.37"/>
    <n v="191"/>
    <s v="Low"/>
    <s v="Low Stock"/>
    <s v="Restock"/>
    <s v="Tamil Nadu"/>
  </r>
  <r>
    <x v="0"/>
    <x v="9"/>
    <s v="Organic Grocery"/>
    <s v="Wheat Flour"/>
    <n v="277"/>
    <n v="440"/>
    <n v="307"/>
    <n v="121.88"/>
    <n v="85.04"/>
    <n v="36.840000000000003"/>
    <n v="1.91"/>
    <n v="188"/>
    <s v="Medium"/>
    <s v="High Demand"/>
    <s v="Increase Stock"/>
    <s v="Maharashtra"/>
  </r>
  <r>
    <x v="1"/>
    <x v="2"/>
    <s v="Organic Dairy"/>
    <s v="Milk"/>
    <n v="52"/>
    <n v="67"/>
    <n v="39"/>
    <n v="3.48"/>
    <n v="2.0299999999999998"/>
    <n v="1.46"/>
    <n v="1.21"/>
    <n v="59"/>
    <s v="High"/>
    <s v="None"/>
    <s v="Maintain"/>
    <s v="Rajasthan"/>
  </r>
  <r>
    <x v="0"/>
    <x v="11"/>
    <s v="Organic Superfoods"/>
    <s v="Ashwagandha"/>
    <n v="422"/>
    <n v="431"/>
    <n v="178"/>
    <n v="181.88"/>
    <n v="75.12"/>
    <n v="106.77"/>
    <n v="23.27"/>
    <n v="131"/>
    <s v="Low"/>
    <s v="Supply Delay"/>
    <s v="Find Alternate Supplier"/>
    <s v="Delhi"/>
  </r>
  <r>
    <x v="2"/>
    <x v="2"/>
    <s v="Organic Oils"/>
    <s v="Groundnut Oil"/>
    <n v="488"/>
    <n v="59"/>
    <n v="43"/>
    <n v="28.79"/>
    <n v="20.98"/>
    <n v="7.81"/>
    <n v="-1.67"/>
    <n v="107"/>
    <s v="Low"/>
    <s v="Low Stock"/>
    <s v="Restock"/>
    <s v="Tamil Nadu"/>
  </r>
  <r>
    <x v="2"/>
    <x v="10"/>
    <s v="Organic Grocery"/>
    <s v="Wheat Flour"/>
    <n v="363"/>
    <n v="101"/>
    <n v="35"/>
    <n v="36.659999999999997"/>
    <n v="12.71"/>
    <n v="23.96"/>
    <n v="15.69"/>
    <n v="67"/>
    <s v="Low"/>
    <s v="None"/>
    <s v="Maintain"/>
    <s v="Rajasthan"/>
  </r>
  <r>
    <x v="2"/>
    <x v="8"/>
    <s v="Organic Spices"/>
    <s v="Turmeric Powder"/>
    <n v="320"/>
    <n v="212"/>
    <n v="153"/>
    <n v="67.84"/>
    <n v="48.96"/>
    <n v="18.88"/>
    <n v="-3.41"/>
    <n v="171"/>
    <s v="Low"/>
    <s v="Supply Delay"/>
    <s v="Find Alternate Supplier"/>
    <s v="Maharashtra"/>
  </r>
  <r>
    <x v="0"/>
    <x v="1"/>
    <s v="Organic Grocery"/>
    <s v="Dals"/>
    <n v="181"/>
    <n v="391"/>
    <n v="295"/>
    <n v="70.77"/>
    <n v="53.4"/>
    <n v="17.38"/>
    <n v="14.28"/>
    <n v="46"/>
    <s v="High"/>
    <s v="Supply Delay"/>
    <s v="Find Alternate Supplier"/>
    <s v="Tamil Nadu"/>
  </r>
  <r>
    <x v="2"/>
    <x v="6"/>
    <s v="Organic Dairy"/>
    <s v="Milk"/>
    <n v="391"/>
    <n v="314"/>
    <n v="98"/>
    <n v="122.77"/>
    <n v="38.32"/>
    <n v="84.46"/>
    <n v="7.41"/>
    <n v="111"/>
    <s v="Medium"/>
    <s v="Supply Delay"/>
    <s v="Find Alternate Supplier"/>
    <s v="Rajasthan"/>
  </r>
  <r>
    <x v="1"/>
    <x v="3"/>
    <s v="Organic Grocery"/>
    <s v="Wheat Flour"/>
    <n v="244"/>
    <n v="109"/>
    <n v="39"/>
    <n v="26.6"/>
    <n v="9.52"/>
    <n v="17.079999999999998"/>
    <n v="-4.42"/>
    <n v="109"/>
    <s v="Medium"/>
    <s v="Supply Delay"/>
    <s v="Find Alternate Supplier"/>
    <s v="Delhi"/>
  </r>
  <r>
    <x v="0"/>
    <x v="0"/>
    <s v="Organic Dairy"/>
    <s v="Ghee"/>
    <n v="455"/>
    <n v="291"/>
    <n v="103"/>
    <n v="132.41"/>
    <n v="46.87"/>
    <n v="85.54"/>
    <n v="22.42"/>
    <n v="67"/>
    <s v="Low"/>
    <s v="None"/>
    <s v="Maintain"/>
    <s v="Tamil Nadu"/>
  </r>
  <r>
    <x v="1"/>
    <x v="4"/>
    <s v="Organic Oils"/>
    <s v="Sunflower Oil"/>
    <n v="189"/>
    <n v="166"/>
    <n v="90"/>
    <n v="31.37"/>
    <n v="17.010000000000002"/>
    <n v="14.36"/>
    <n v="-9.01"/>
    <n v="67"/>
    <s v="High"/>
    <s v="Supply Delay"/>
    <s v="Find Alternate Supplier"/>
    <s v="Delhi"/>
  </r>
  <r>
    <x v="2"/>
    <x v="11"/>
    <s v="Organic Dairy"/>
    <s v="Milk"/>
    <n v="50"/>
    <n v="149"/>
    <n v="49"/>
    <n v="7.45"/>
    <n v="2.4500000000000002"/>
    <n v="5"/>
    <n v="19.91"/>
    <n v="230"/>
    <s v="Medium"/>
    <s v="Supply Delay"/>
    <s v="Find Alternate Supplier"/>
    <s v="Tamil Nadu"/>
  </r>
  <r>
    <x v="2"/>
    <x v="9"/>
    <s v="Organic Spices"/>
    <s v="Black Pepper"/>
    <n v="380"/>
    <n v="447"/>
    <n v="159"/>
    <n v="169.86"/>
    <n v="60.42"/>
    <n v="109.44"/>
    <n v="8.11"/>
    <n v="197"/>
    <s v="High"/>
    <s v="High Demand"/>
    <s v="Increase Stock"/>
    <s v="Maharashtra"/>
  </r>
  <r>
    <x v="0"/>
    <x v="5"/>
    <s v="Organic Grocery"/>
    <s v="Pulses"/>
    <n v="126"/>
    <n v="327"/>
    <n v="68"/>
    <n v="41.2"/>
    <n v="8.57"/>
    <n v="32.630000000000003"/>
    <n v="3.09"/>
    <n v="278"/>
    <s v="Medium"/>
    <s v="Low Stock"/>
    <s v="Restock"/>
    <s v="Rajasthan"/>
  </r>
  <r>
    <x v="1"/>
    <x v="3"/>
    <s v="Organic Spices"/>
    <s v="Black Pepper"/>
    <n v="228"/>
    <n v="120"/>
    <n v="92"/>
    <n v="27.36"/>
    <n v="20.98"/>
    <n v="6.38"/>
    <n v="-5.7"/>
    <n v="173"/>
    <s v="Medium"/>
    <s v="High Demand"/>
    <s v="Increase Stock"/>
    <s v="Delhi"/>
  </r>
  <r>
    <x v="0"/>
    <x v="1"/>
    <s v="Organic Grocery"/>
    <s v="Wheat Flour"/>
    <n v="411"/>
    <n v="238"/>
    <n v="177"/>
    <n v="97.82"/>
    <n v="72.75"/>
    <n v="25.07"/>
    <n v="14.96"/>
    <n v="99"/>
    <s v="Medium"/>
    <s v="Supply Delay"/>
    <s v="Find Alternate Supplier"/>
    <s v="Rajasthan"/>
  </r>
  <r>
    <x v="0"/>
    <x v="7"/>
    <s v="Organic Oils"/>
    <s v="Sunflower Oil"/>
    <n v="312"/>
    <n v="117"/>
    <n v="60"/>
    <n v="36.5"/>
    <n v="18.72"/>
    <n v="17.78"/>
    <n v="-9.2100000000000009"/>
    <n v="156"/>
    <s v="High"/>
    <s v="Supply Delay"/>
    <s v="Find Alternate Supplier"/>
    <s v="Gujarat"/>
  </r>
  <r>
    <x v="1"/>
    <x v="3"/>
    <s v="Organic Superfoods"/>
    <s v="Ashwagandha"/>
    <n v="323"/>
    <n v="201"/>
    <n v="189"/>
    <n v="64.92"/>
    <n v="61.05"/>
    <n v="3.88"/>
    <n v="-1.6"/>
    <n v="218"/>
    <s v="Low"/>
    <s v="None"/>
    <s v="Maintain"/>
    <s v="Delhi"/>
  </r>
  <r>
    <x v="2"/>
    <x v="8"/>
    <s v="Organic Oils"/>
    <s v="Coconut Oil"/>
    <n v="132"/>
    <n v="457"/>
    <n v="226"/>
    <n v="60.32"/>
    <n v="29.83"/>
    <n v="30.49"/>
    <n v="3.9"/>
    <n v="138"/>
    <s v="Low"/>
    <s v="None"/>
    <s v="Maintain"/>
    <s v="Delhi"/>
  </r>
  <r>
    <x v="2"/>
    <x v="8"/>
    <s v="Organic Grocery"/>
    <s v="Pulses"/>
    <n v="201"/>
    <n v="146"/>
    <n v="64"/>
    <n v="29.35"/>
    <n v="12.86"/>
    <n v="16.48"/>
    <n v="3.72"/>
    <n v="69"/>
    <s v="Medium"/>
    <s v="High Demand"/>
    <s v="Increase Stock"/>
    <s v="Delhi"/>
  </r>
  <r>
    <x v="0"/>
    <x v="1"/>
    <s v="Organic Superfoods"/>
    <s v="Ashwagandha"/>
    <n v="232"/>
    <n v="84"/>
    <n v="67"/>
    <n v="19.489999999999998"/>
    <n v="15.54"/>
    <n v="3.94"/>
    <n v="10.9"/>
    <n v="297"/>
    <s v="Low"/>
    <s v="None"/>
    <s v="Maintain"/>
    <s v="Rajasthan"/>
  </r>
  <r>
    <x v="1"/>
    <x v="2"/>
    <s v="Organic Spices"/>
    <s v="Red Chilli Powder"/>
    <n v="91"/>
    <n v="287"/>
    <n v="243"/>
    <n v="26.12"/>
    <n v="22.11"/>
    <n v="4"/>
    <n v="-6.86"/>
    <n v="197"/>
    <s v="Medium"/>
    <s v="Supply Delay"/>
    <s v="Find Alternate Supplier"/>
    <s v="Rajasthan"/>
  </r>
  <r>
    <x v="0"/>
    <x v="3"/>
    <s v="Organic Grocery"/>
    <s v="Pulses"/>
    <n v="72"/>
    <n v="342"/>
    <n v="169"/>
    <n v="24.62"/>
    <n v="12.17"/>
    <n v="12.46"/>
    <n v="-0.02"/>
    <n v="108"/>
    <s v="Low"/>
    <s v="Supply Delay"/>
    <s v="Find Alternate Supplier"/>
    <s v="Karnataka"/>
  </r>
  <r>
    <x v="2"/>
    <x v="2"/>
    <s v="Organic Grocery"/>
    <s v="Wheat Flour"/>
    <n v="81"/>
    <n v="269"/>
    <n v="66"/>
    <n v="21.79"/>
    <n v="5.35"/>
    <n v="16.440000000000001"/>
    <n v="-4.6500000000000004"/>
    <n v="175"/>
    <s v="Low"/>
    <s v="None"/>
    <s v="Maintain"/>
    <s v="Karnataka"/>
  </r>
  <r>
    <x v="2"/>
    <x v="10"/>
    <s v="Organic Superfoods"/>
    <s v="Chia Seeds"/>
    <n v="327"/>
    <n v="90"/>
    <n v="72"/>
    <n v="29.43"/>
    <n v="23.54"/>
    <n v="5.89"/>
    <n v="-4.0999999999999996"/>
    <n v="90"/>
    <s v="Medium"/>
    <s v="Supply Delay"/>
    <s v="Find Alternate Supplier"/>
    <s v="Maharashtra"/>
  </r>
  <r>
    <x v="0"/>
    <x v="9"/>
    <s v="Organic Dairy"/>
    <s v="Milk"/>
    <n v="328"/>
    <n v="92"/>
    <n v="46"/>
    <n v="30.18"/>
    <n v="15.09"/>
    <n v="15.09"/>
    <n v="5.16"/>
    <n v="22"/>
    <s v="Medium"/>
    <s v="High Demand"/>
    <s v="Increase Stock"/>
    <s v="Tamil Nadu"/>
  </r>
  <r>
    <x v="2"/>
    <x v="7"/>
    <s v="Organic Grocery"/>
    <s v="Wheat Flour"/>
    <n v="341"/>
    <n v="115"/>
    <n v="60"/>
    <n v="39.22"/>
    <n v="20.46"/>
    <n v="18.760000000000002"/>
    <n v="-3.83"/>
    <n v="274"/>
    <s v="Medium"/>
    <s v="None"/>
    <s v="Maintain"/>
    <s v="Karnataka"/>
  </r>
  <r>
    <x v="1"/>
    <x v="8"/>
    <s v="Organic Grocery"/>
    <s v="Wheat Flour"/>
    <n v="471"/>
    <n v="186"/>
    <n v="119"/>
    <n v="87.61"/>
    <n v="56.05"/>
    <n v="31.56"/>
    <n v="16.71"/>
    <n v="197"/>
    <s v="High"/>
    <s v="Supply Delay"/>
    <s v="Find Alternate Supplier"/>
    <s v="Gujarat"/>
  </r>
  <r>
    <x v="2"/>
    <x v="5"/>
    <s v="Organic Grocery"/>
    <s v="Wheat Flour"/>
    <n v="482"/>
    <n v="169"/>
    <n v="32"/>
    <n v="81.459999999999994"/>
    <n v="15.42"/>
    <n v="66.03"/>
    <n v="-9.16"/>
    <n v="50"/>
    <s v="Low"/>
    <s v="Supply Delay"/>
    <s v="Find Alternate Supplier"/>
    <s v="Karnataka"/>
  </r>
  <r>
    <x v="1"/>
    <x v="3"/>
    <s v="Organic Spices"/>
    <s v="Turmeric Powder"/>
    <n v="459"/>
    <n v="95"/>
    <n v="37"/>
    <n v="43.6"/>
    <n v="16.98"/>
    <n v="26.62"/>
    <n v="-2.5299999999999998"/>
    <n v="71"/>
    <s v="Low"/>
    <s v="Supply Delay"/>
    <s v="Find Alternate Supplier"/>
    <s v="Delhi"/>
  </r>
  <r>
    <x v="0"/>
    <x v="7"/>
    <s v="Organic Grocery"/>
    <s v="Pulses"/>
    <n v="184"/>
    <n v="299"/>
    <n v="142"/>
    <n v="55.02"/>
    <n v="26.13"/>
    <n v="28.89"/>
    <n v="8.0500000000000007"/>
    <n v="22"/>
    <s v="High"/>
    <s v="Supply Delay"/>
    <s v="Find Alternate Supplier"/>
    <s v="Maharashtra"/>
  </r>
  <r>
    <x v="2"/>
    <x v="2"/>
    <s v="Organic Grocery"/>
    <s v="Rice"/>
    <n v="173"/>
    <n v="310"/>
    <n v="213"/>
    <n v="53.63"/>
    <n v="36.85"/>
    <n v="16.78"/>
    <n v="12.13"/>
    <n v="176"/>
    <s v="Low"/>
    <s v="High Demand"/>
    <s v="Increase Stock"/>
    <s v="Maharashtra"/>
  </r>
  <r>
    <x v="2"/>
    <x v="7"/>
    <s v="Organic Superfoods"/>
    <s v="Amla Powder"/>
    <n v="157"/>
    <n v="367"/>
    <n v="294"/>
    <n v="57.62"/>
    <n v="46.16"/>
    <n v="11.46"/>
    <n v="12.95"/>
    <n v="201"/>
    <s v="High"/>
    <s v="None"/>
    <s v="Maintain"/>
    <s v="Delhi"/>
  </r>
  <r>
    <x v="0"/>
    <x v="5"/>
    <s v="Organic Oils"/>
    <s v="Coconut Oil"/>
    <n v="295"/>
    <n v="55"/>
    <n v="42"/>
    <n v="16.23"/>
    <n v="12.39"/>
    <n v="3.84"/>
    <n v="22.78"/>
    <n v="125"/>
    <s v="Medium"/>
    <s v="High Demand"/>
    <s v="Increase Stock"/>
    <s v="Delhi"/>
  </r>
  <r>
    <x v="1"/>
    <x v="4"/>
    <s v="Organic Spices"/>
    <s v="Red Chilli Powder"/>
    <n v="303"/>
    <n v="88"/>
    <n v="48"/>
    <n v="26.66"/>
    <n v="14.54"/>
    <n v="12.12"/>
    <n v="24.22"/>
    <n v="25"/>
    <s v="Low"/>
    <s v="None"/>
    <s v="Maintain"/>
    <s v="Delhi"/>
  </r>
  <r>
    <x v="1"/>
    <x v="5"/>
    <s v="Organic Oils"/>
    <s v="Groundnut Oil"/>
    <n v="418"/>
    <n v="253"/>
    <n v="139"/>
    <n v="105.75"/>
    <n v="58.1"/>
    <n v="47.65"/>
    <n v="11.03"/>
    <n v="25"/>
    <s v="Medium"/>
    <s v="Supply Delay"/>
    <s v="Find Alternate Supplier"/>
    <s v="Maharashtra"/>
  </r>
  <r>
    <x v="1"/>
    <x v="5"/>
    <s v="Organic Oils"/>
    <s v="Coconut Oil"/>
    <n v="364"/>
    <n v="361"/>
    <n v="228"/>
    <n v="131.4"/>
    <n v="82.99"/>
    <n v="48.41"/>
    <n v="4.0599999999999996"/>
    <n v="134"/>
    <s v="Medium"/>
    <s v="Low Stock"/>
    <s v="Restock"/>
    <s v="Maharashtra"/>
  </r>
  <r>
    <x v="1"/>
    <x v="11"/>
    <s v="Organic Superfoods"/>
    <s v="Chia Seeds"/>
    <n v="485"/>
    <n v="381"/>
    <n v="356"/>
    <n v="184.78"/>
    <n v="172.66"/>
    <n v="12.12"/>
    <n v="19.73"/>
    <n v="240"/>
    <s v="Low"/>
    <s v="None"/>
    <s v="Maintain"/>
    <s v="Karnataka"/>
  </r>
  <r>
    <x v="0"/>
    <x v="7"/>
    <s v="Organic Grocery"/>
    <s v="Rice"/>
    <n v="370"/>
    <n v="397"/>
    <n v="205"/>
    <n v="146.88999999999999"/>
    <n v="75.849999999999994"/>
    <n v="71.040000000000006"/>
    <n v="-7.83"/>
    <n v="232"/>
    <s v="Medium"/>
    <s v="None"/>
    <s v="Maintain"/>
    <s v="Delhi"/>
  </r>
  <r>
    <x v="1"/>
    <x v="5"/>
    <s v="Organic Grocery"/>
    <s v="Pulses"/>
    <n v="135"/>
    <n v="395"/>
    <n v="168"/>
    <n v="53.33"/>
    <n v="22.68"/>
    <n v="30.65"/>
    <n v="18.59"/>
    <n v="123"/>
    <s v="High"/>
    <s v="High Demand"/>
    <s v="Increase Stock"/>
    <s v="Rajasthan"/>
  </r>
  <r>
    <x v="1"/>
    <x v="10"/>
    <s v="Organic Dairy"/>
    <s v="Milk"/>
    <n v="410"/>
    <n v="128"/>
    <n v="113"/>
    <n v="52.48"/>
    <n v="46.33"/>
    <n v="6.15"/>
    <n v="-0.17"/>
    <n v="157"/>
    <s v="Low"/>
    <s v="None"/>
    <s v="Maintain"/>
    <s v="Gujarat"/>
  </r>
  <r>
    <x v="2"/>
    <x v="1"/>
    <s v="Organic Oils"/>
    <s v="Groundnut Oil"/>
    <n v="345"/>
    <n v="380"/>
    <n v="119"/>
    <n v="131.1"/>
    <n v="41.05"/>
    <n v="90.04"/>
    <n v="14.74"/>
    <n v="116"/>
    <s v="Medium"/>
    <s v="Low Stock"/>
    <s v="Restock"/>
    <s v="Gujarat"/>
  </r>
  <r>
    <x v="0"/>
    <x v="9"/>
    <s v="Organic Oils"/>
    <s v="Groundnut Oil"/>
    <n v="436"/>
    <n v="224"/>
    <n v="194"/>
    <n v="97.66"/>
    <n v="84.58"/>
    <n v="13.08"/>
    <n v="-4.99"/>
    <n v="232"/>
    <s v="Medium"/>
    <s v="None"/>
    <s v="Maintain"/>
    <s v="Maharashtra"/>
  </r>
  <r>
    <x v="1"/>
    <x v="2"/>
    <s v="Organic Oils"/>
    <s v="Groundnut Oil"/>
    <n v="485"/>
    <n v="201"/>
    <n v="182"/>
    <n v="97.48"/>
    <n v="88.27"/>
    <n v="9.2200000000000006"/>
    <n v="-3.03"/>
    <n v="107"/>
    <s v="Low"/>
    <s v="Supply Delay"/>
    <s v="Find Alternate Supplier"/>
    <s v="Tamil Nadu"/>
  </r>
  <r>
    <x v="0"/>
    <x v="7"/>
    <s v="Organic Oils"/>
    <s v="Coconut Oil"/>
    <n v="416"/>
    <n v="202"/>
    <n v="79"/>
    <n v="84.03"/>
    <n v="32.86"/>
    <n v="51.17"/>
    <n v="21.01"/>
    <n v="69"/>
    <s v="High"/>
    <s v="None"/>
    <s v="Maintain"/>
    <s v="Maharashtra"/>
  </r>
  <r>
    <x v="0"/>
    <x v="6"/>
    <s v="Organic Dairy"/>
    <s v="Ghee"/>
    <n v="200"/>
    <n v="73"/>
    <n v="50"/>
    <n v="14.6"/>
    <n v="10"/>
    <n v="4.5999999999999996"/>
    <n v="-9.48"/>
    <n v="106"/>
    <s v="High"/>
    <s v="Supply Delay"/>
    <s v="Find Alternate Supplier"/>
    <s v="Gujarat"/>
  </r>
  <r>
    <x v="0"/>
    <x v="9"/>
    <s v="Organic Dairy"/>
    <s v="Ghee"/>
    <n v="367"/>
    <n v="96"/>
    <n v="51"/>
    <n v="35.229999999999997"/>
    <n v="18.72"/>
    <n v="16.52"/>
    <n v="7.02"/>
    <n v="55"/>
    <s v="Medium"/>
    <s v="Supply Delay"/>
    <s v="Find Alternate Supplier"/>
    <s v="Rajasthan"/>
  </r>
  <r>
    <x v="1"/>
    <x v="1"/>
    <s v="Organic Spices"/>
    <s v="Black Pepper"/>
    <n v="438"/>
    <n v="164"/>
    <n v="92"/>
    <n v="71.83"/>
    <n v="40.299999999999997"/>
    <n v="31.54"/>
    <n v="8.57"/>
    <n v="204"/>
    <s v="Medium"/>
    <s v="High Demand"/>
    <s v="Increase Stock"/>
    <s v="Delhi"/>
  </r>
  <r>
    <x v="0"/>
    <x v="11"/>
    <s v="Organic Spices"/>
    <s v="Turmeric Powder"/>
    <n v="204"/>
    <n v="339"/>
    <n v="220"/>
    <n v="69.16"/>
    <n v="44.88"/>
    <n v="24.28"/>
    <n v="8.57"/>
    <n v="97"/>
    <s v="Low"/>
    <s v="High Demand"/>
    <s v="Increase Stock"/>
    <s v="Gujarat"/>
  </r>
  <r>
    <x v="2"/>
    <x v="8"/>
    <s v="Organic Grocery"/>
    <s v="Pulses"/>
    <n v="162"/>
    <n v="67"/>
    <n v="35"/>
    <n v="10.85"/>
    <n v="5.67"/>
    <n v="5.18"/>
    <n v="11.04"/>
    <n v="85"/>
    <s v="High"/>
    <s v="Low Stock"/>
    <s v="Restock"/>
    <s v="Gujarat"/>
  </r>
  <r>
    <x v="1"/>
    <x v="1"/>
    <s v="Organic Spices"/>
    <s v="Red Chilli Powder"/>
    <n v="450"/>
    <n v="348"/>
    <n v="42"/>
    <n v="156.6"/>
    <n v="18.899999999999999"/>
    <n v="137.69999999999999"/>
    <n v="24.84"/>
    <n v="279"/>
    <s v="High"/>
    <s v="High Demand"/>
    <s v="Increase Stock"/>
    <s v="Tamil Nadu"/>
  </r>
  <r>
    <x v="2"/>
    <x v="11"/>
    <s v="Organic Superfoods"/>
    <s v="Amla Powder"/>
    <n v="290"/>
    <n v="470"/>
    <n v="222"/>
    <n v="136.30000000000001"/>
    <n v="64.38"/>
    <n v="71.92"/>
    <n v="17.75"/>
    <n v="216"/>
    <s v="Low"/>
    <s v="None"/>
    <s v="Maintain"/>
    <s v="Tamil Nadu"/>
  </r>
  <r>
    <x v="1"/>
    <x v="10"/>
    <s v="Organic Grocery"/>
    <s v="Dals"/>
    <n v="211"/>
    <n v="350"/>
    <n v="79"/>
    <n v="73.849999999999994"/>
    <n v="16.670000000000002"/>
    <n v="57.18"/>
    <n v="16.079999999999998"/>
    <n v="124"/>
    <s v="High"/>
    <s v="Supply Delay"/>
    <s v="Find Alternate Supplier"/>
    <s v="Karnataka"/>
  </r>
  <r>
    <x v="2"/>
    <x v="4"/>
    <s v="Organic Superfoods"/>
    <s v="Ashwagandha"/>
    <n v="109"/>
    <n v="116"/>
    <n v="45"/>
    <n v="12.64"/>
    <n v="4.91"/>
    <n v="7.74"/>
    <n v="21.8"/>
    <n v="103"/>
    <s v="Medium"/>
    <s v="Low Stock"/>
    <s v="Restock"/>
    <s v="Maharashtra"/>
  </r>
  <r>
    <x v="2"/>
    <x v="0"/>
    <s v="Organic Spices"/>
    <s v="Turmeric Powder"/>
    <n v="500"/>
    <n v="308"/>
    <n v="37"/>
    <n v="154"/>
    <n v="18.5"/>
    <n v="135.5"/>
    <n v="-6.55"/>
    <n v="157"/>
    <s v="Medium"/>
    <s v="Supply Delay"/>
    <s v="Find Alternate Supplier"/>
    <s v="Tamil Nadu"/>
  </r>
  <r>
    <x v="0"/>
    <x v="0"/>
    <s v="Organic Superfoods"/>
    <s v="Amla Powder"/>
    <n v="50"/>
    <n v="371"/>
    <n v="285"/>
    <n v="18.55"/>
    <n v="14.25"/>
    <n v="4.3"/>
    <n v="18.46"/>
    <n v="214"/>
    <s v="Medium"/>
    <s v="None"/>
    <s v="Maintain"/>
    <s v="Rajasthan"/>
  </r>
  <r>
    <x v="0"/>
    <x v="9"/>
    <s v="Organic Grocery"/>
    <s v="Dals"/>
    <n v="281"/>
    <n v="495"/>
    <n v="213"/>
    <n v="139.09"/>
    <n v="59.85"/>
    <n v="79.239999999999995"/>
    <n v="-5.84"/>
    <n v="40"/>
    <s v="Medium"/>
    <s v="High Demand"/>
    <s v="Increase Stock"/>
    <s v="Delhi"/>
  </r>
  <r>
    <x v="0"/>
    <x v="9"/>
    <s v="Organic Spices"/>
    <s v="Red Chilli Powder"/>
    <n v="287"/>
    <n v="130"/>
    <n v="70"/>
    <n v="37.31"/>
    <n v="20.09"/>
    <n v="17.22"/>
    <n v="7.46"/>
    <n v="282"/>
    <s v="Medium"/>
    <s v="None"/>
    <s v="Maintain"/>
    <s v="Delhi"/>
  </r>
  <r>
    <x v="0"/>
    <x v="10"/>
    <s v="Organic Superfoods"/>
    <s v="Amla Powder"/>
    <n v="460"/>
    <n v="78"/>
    <n v="41"/>
    <n v="35.880000000000003"/>
    <n v="18.86"/>
    <n v="17.02"/>
    <n v="5.73"/>
    <n v="298"/>
    <s v="Medium"/>
    <s v="High Demand"/>
    <s v="Increase Stock"/>
    <s v="Tamil Nadu"/>
  </r>
  <r>
    <x v="2"/>
    <x v="7"/>
    <s v="Organic Superfoods"/>
    <s v="Amla Powder"/>
    <n v="334"/>
    <n v="84"/>
    <n v="64"/>
    <n v="28.06"/>
    <n v="21.38"/>
    <n v="6.68"/>
    <n v="-5.1100000000000003"/>
    <n v="208"/>
    <s v="High"/>
    <s v="Low Stock"/>
    <s v="Restock"/>
    <s v="Gujarat"/>
  </r>
  <r>
    <x v="1"/>
    <x v="11"/>
    <s v="Organic Grocery"/>
    <s v="Rice"/>
    <n v="313"/>
    <n v="81"/>
    <n v="62"/>
    <n v="25.35"/>
    <n v="19.41"/>
    <n v="5.95"/>
    <n v="-9.76"/>
    <n v="182"/>
    <s v="High"/>
    <s v="High Demand"/>
    <s v="Increase Stock"/>
    <s v="Rajasthan"/>
  </r>
  <r>
    <x v="2"/>
    <x v="3"/>
    <s v="Organic Dairy"/>
    <s v="Ghee"/>
    <n v="89"/>
    <n v="222"/>
    <n v="176"/>
    <n v="19.760000000000002"/>
    <n v="15.66"/>
    <n v="4.09"/>
    <n v="9.7100000000000009"/>
    <n v="214"/>
    <s v="Medium"/>
    <s v="Low Stock"/>
    <s v="Restock"/>
    <s v="Delhi"/>
  </r>
  <r>
    <x v="0"/>
    <x v="5"/>
    <s v="Organic Grocery"/>
    <s v="Pulses"/>
    <n v="488"/>
    <n v="440"/>
    <n v="407"/>
    <n v="214.72"/>
    <n v="198.62"/>
    <n v="16.100000000000001"/>
    <n v="2.37"/>
    <n v="277"/>
    <s v="Medium"/>
    <s v="High Demand"/>
    <s v="Increase Stock"/>
    <s v="Gujarat"/>
  </r>
  <r>
    <x v="0"/>
    <x v="1"/>
    <s v="Organic Dairy"/>
    <s v="Curd"/>
    <n v="405"/>
    <n v="394"/>
    <n v="299"/>
    <n v="159.57"/>
    <n v="121.09"/>
    <n v="38.47"/>
    <n v="-5.83"/>
    <n v="141"/>
    <s v="High"/>
    <s v="None"/>
    <s v="Maintain"/>
    <s v="Gujarat"/>
  </r>
  <r>
    <x v="1"/>
    <x v="8"/>
    <s v="Organic Grocery"/>
    <s v="Rice"/>
    <n v="249"/>
    <n v="195"/>
    <n v="174"/>
    <n v="48.55"/>
    <n v="43.33"/>
    <n v="5.23"/>
    <n v="18.84"/>
    <n v="241"/>
    <s v="Medium"/>
    <s v="Low Stock"/>
    <s v="Restock"/>
    <s v="Delhi"/>
  </r>
  <r>
    <x v="2"/>
    <x v="4"/>
    <s v="Organic Grocery"/>
    <s v="Pulses"/>
    <n v="207"/>
    <n v="224"/>
    <n v="86"/>
    <n v="46.37"/>
    <n v="17.8"/>
    <n v="28.57"/>
    <n v="17.95"/>
    <n v="104"/>
    <s v="Low"/>
    <s v="Low Stock"/>
    <s v="Restock"/>
    <s v="Maharashtra"/>
  </r>
  <r>
    <x v="0"/>
    <x v="11"/>
    <s v="Organic Dairy"/>
    <s v="Ghee"/>
    <n v="258"/>
    <n v="242"/>
    <n v="220"/>
    <n v="62.44"/>
    <n v="56.76"/>
    <n v="5.68"/>
    <n v="14.12"/>
    <n v="54"/>
    <s v="Medium"/>
    <s v="Supply Delay"/>
    <s v="Find Alternate Supplier"/>
    <s v="Delhi"/>
  </r>
  <r>
    <x v="0"/>
    <x v="8"/>
    <s v="Organic Superfoods"/>
    <s v="Amla Powder"/>
    <n v="453"/>
    <n v="418"/>
    <n v="92"/>
    <n v="189.35"/>
    <n v="41.68"/>
    <n v="147.68"/>
    <n v="20.71"/>
    <n v="125"/>
    <s v="High"/>
    <s v="Low Stock"/>
    <s v="Restock"/>
    <s v="Delhi"/>
  </r>
  <r>
    <x v="0"/>
    <x v="7"/>
    <s v="Organic Oils"/>
    <s v="Coconut Oil"/>
    <n v="173"/>
    <n v="273"/>
    <n v="171"/>
    <n v="47.23"/>
    <n v="29.58"/>
    <n v="17.649999999999999"/>
    <n v="-7.4"/>
    <n v="219"/>
    <s v="Low"/>
    <s v="Low Stock"/>
    <s v="Restock"/>
    <s v="Tamil Nadu"/>
  </r>
  <r>
    <x v="1"/>
    <x v="1"/>
    <s v="Organic Superfoods"/>
    <s v="Chia Seeds"/>
    <n v="236"/>
    <n v="71"/>
    <n v="49"/>
    <n v="16.760000000000002"/>
    <n v="11.56"/>
    <n v="5.19"/>
    <n v="-4.95"/>
    <n v="144"/>
    <s v="Low"/>
    <s v="Low Stock"/>
    <s v="Restock"/>
    <s v="Delhi"/>
  </r>
  <r>
    <x v="2"/>
    <x v="5"/>
    <s v="Organic Dairy"/>
    <s v="Curd"/>
    <n v="201"/>
    <n v="494"/>
    <n v="271"/>
    <n v="99.29"/>
    <n v="54.47"/>
    <n v="44.82"/>
    <n v="11.27"/>
    <n v="53"/>
    <s v="Medium"/>
    <s v="High Demand"/>
    <s v="Increase Stock"/>
    <s v="Rajasthan"/>
  </r>
  <r>
    <x v="0"/>
    <x v="1"/>
    <s v="Organic Spices"/>
    <s v="Black Pepper"/>
    <n v="337"/>
    <n v="235"/>
    <n v="195"/>
    <n v="79.19"/>
    <n v="65.72"/>
    <n v="13.48"/>
    <n v="-6.27"/>
    <n v="114"/>
    <s v="Low"/>
    <s v="High Demand"/>
    <s v="Increase Stock"/>
    <s v="Rajasthan"/>
  </r>
  <r>
    <x v="0"/>
    <x v="7"/>
    <s v="Organic Oils"/>
    <s v="Coconut Oil"/>
    <n v="490"/>
    <n v="375"/>
    <n v="147"/>
    <n v="183.75"/>
    <n v="72.03"/>
    <n v="111.72"/>
    <n v="10.039999999999999"/>
    <n v="81"/>
    <s v="Medium"/>
    <s v="None"/>
    <s v="Maintain"/>
    <s v="Maharashtra"/>
  </r>
  <r>
    <x v="2"/>
    <x v="9"/>
    <s v="Organic Grocery"/>
    <s v="Rice"/>
    <n v="185"/>
    <n v="155"/>
    <n v="102"/>
    <n v="28.68"/>
    <n v="18.87"/>
    <n v="9.8000000000000007"/>
    <n v="-3.18"/>
    <n v="275"/>
    <s v="High"/>
    <s v="None"/>
    <s v="Maintain"/>
    <s v="Rajasthan"/>
  </r>
  <r>
    <x v="1"/>
    <x v="9"/>
    <s v="Organic Superfoods"/>
    <s v="Chia Seeds"/>
    <n v="261"/>
    <n v="96"/>
    <n v="43"/>
    <n v="25.06"/>
    <n v="11.22"/>
    <n v="13.83"/>
    <n v="1.68"/>
    <n v="111"/>
    <s v="Medium"/>
    <s v="High Demand"/>
    <s v="Increase Stock"/>
    <s v="Rajasthan"/>
  </r>
  <r>
    <x v="1"/>
    <x v="10"/>
    <s v="Organic Grocery"/>
    <s v="Pulses"/>
    <n v="326"/>
    <n v="418"/>
    <n v="333"/>
    <n v="136.27000000000001"/>
    <n v="108.56"/>
    <n v="27.71"/>
    <n v="-0.2"/>
    <n v="184"/>
    <s v="Medium"/>
    <s v="Supply Delay"/>
    <s v="Find Alternate Supplier"/>
    <s v="Gujarat"/>
  </r>
  <r>
    <x v="2"/>
    <x v="4"/>
    <s v="Organic Spices"/>
    <s v="Turmeric Powder"/>
    <n v="477"/>
    <n v="396"/>
    <n v="57"/>
    <n v="188.89"/>
    <n v="27.19"/>
    <n v="161.69999999999999"/>
    <n v="1.7"/>
    <n v="89"/>
    <s v="Medium"/>
    <s v="High Demand"/>
    <s v="Increase Stock"/>
    <s v="Karnataka"/>
  </r>
  <r>
    <x v="0"/>
    <x v="6"/>
    <s v="Organic Grocery"/>
    <s v="Rice"/>
    <n v="393"/>
    <n v="100"/>
    <n v="86"/>
    <n v="39.299999999999997"/>
    <n v="33.799999999999997"/>
    <n v="5.5"/>
    <n v="10.99"/>
    <n v="37"/>
    <s v="High"/>
    <s v="Supply Delay"/>
    <s v="Find Alternate Supplier"/>
    <s v="Tamil Nadu"/>
  </r>
  <r>
    <x v="2"/>
    <x v="3"/>
    <s v="Organic Superfoods"/>
    <s v="Chia Seeds"/>
    <n v="481"/>
    <n v="305"/>
    <n v="227"/>
    <n v="146.71"/>
    <n v="109.19"/>
    <n v="37.520000000000003"/>
    <n v="10.74"/>
    <n v="268"/>
    <s v="Medium"/>
    <s v="Supply Delay"/>
    <s v="Find Alternate Supplier"/>
    <s v="Tamil Nadu"/>
  </r>
  <r>
    <x v="2"/>
    <x v="11"/>
    <s v="Organic Dairy"/>
    <s v="Milk"/>
    <n v="296"/>
    <n v="417"/>
    <n v="103"/>
    <n v="123.43"/>
    <n v="30.49"/>
    <n v="92.94"/>
    <n v="2.21"/>
    <n v="34"/>
    <s v="Medium"/>
    <s v="High Demand"/>
    <s v="Increase Stock"/>
    <s v="Gujarat"/>
  </r>
  <r>
    <x v="1"/>
    <x v="2"/>
    <s v="Organic Grocery"/>
    <s v="Wheat Flour"/>
    <n v="263"/>
    <n v="250"/>
    <n v="119"/>
    <n v="65.75"/>
    <n v="31.3"/>
    <n v="34.450000000000003"/>
    <n v="9.82"/>
    <n v="247"/>
    <s v="High"/>
    <s v="High Demand"/>
    <s v="Increase Stock"/>
    <s v="Delhi"/>
  </r>
  <r>
    <x v="2"/>
    <x v="11"/>
    <s v="Organic Dairy"/>
    <s v="Curd"/>
    <n v="496"/>
    <n v="144"/>
    <n v="111"/>
    <n v="71.42"/>
    <n v="55.06"/>
    <n v="16.37"/>
    <n v="14.92"/>
    <n v="105"/>
    <s v="Low"/>
    <s v="Low Stock"/>
    <s v="Restock"/>
    <s v="Delhi"/>
  </r>
  <r>
    <x v="0"/>
    <x v="7"/>
    <s v="Organic Oils"/>
    <s v="Groundnut Oil"/>
    <n v="408"/>
    <n v="144"/>
    <n v="37"/>
    <n v="58.75"/>
    <n v="15.1"/>
    <n v="43.66"/>
    <n v="6.76"/>
    <n v="247"/>
    <s v="Medium"/>
    <s v="High Demand"/>
    <s v="Increase Stock"/>
    <s v="Delhi"/>
  </r>
  <r>
    <x v="1"/>
    <x v="11"/>
    <s v="Organic Spices"/>
    <s v="Turmeric Powder"/>
    <n v="479"/>
    <n v="495"/>
    <n v="205"/>
    <n v="237.1"/>
    <n v="98.19"/>
    <n v="138.91"/>
    <n v="13.95"/>
    <n v="291"/>
    <s v="High"/>
    <s v="High Demand"/>
    <s v="Increase Stock"/>
    <s v="Rajasthan"/>
  </r>
  <r>
    <x v="2"/>
    <x v="2"/>
    <s v="Organic Superfoods"/>
    <s v="Chia Seeds"/>
    <n v="321"/>
    <n v="113"/>
    <n v="73"/>
    <n v="36.270000000000003"/>
    <n v="23.43"/>
    <n v="12.84"/>
    <n v="-5.0999999999999996"/>
    <n v="238"/>
    <s v="Low"/>
    <s v="Low Stock"/>
    <s v="Restock"/>
    <s v="Tamil Nadu"/>
  </r>
  <r>
    <x v="0"/>
    <x v="2"/>
    <s v="Organic Grocery"/>
    <s v="Rice"/>
    <n v="63"/>
    <n v="315"/>
    <n v="241"/>
    <n v="19.84"/>
    <n v="15.18"/>
    <n v="4.66"/>
    <n v="19.72"/>
    <n v="230"/>
    <s v="Low"/>
    <s v="High Demand"/>
    <s v="Increase Stock"/>
    <s v="Maharashtra"/>
  </r>
  <r>
    <x v="0"/>
    <x v="9"/>
    <s v="Organic Superfoods"/>
    <s v="Ashwagandha"/>
    <n v="64"/>
    <n v="256"/>
    <n v="68"/>
    <n v="16.38"/>
    <n v="4.3499999999999996"/>
    <n v="12.03"/>
    <n v="19.21"/>
    <n v="189"/>
    <s v="High"/>
    <s v="Supply Delay"/>
    <s v="Find Alternate Supplier"/>
    <s v="Delhi"/>
  </r>
  <r>
    <x v="0"/>
    <x v="9"/>
    <s v="Organic Spices"/>
    <s v="Red Chilli Powder"/>
    <n v="271"/>
    <n v="229"/>
    <n v="147"/>
    <n v="62.06"/>
    <n v="39.840000000000003"/>
    <n v="22.22"/>
    <n v="16.87"/>
    <n v="136"/>
    <s v="Low"/>
    <s v="Low Stock"/>
    <s v="Restock"/>
    <s v="Karnataka"/>
  </r>
  <r>
    <x v="0"/>
    <x v="3"/>
    <s v="Organic Spices"/>
    <s v="Red Chilli Powder"/>
    <n v="132"/>
    <n v="481"/>
    <n v="178"/>
    <n v="63.49"/>
    <n v="23.5"/>
    <n v="40"/>
    <n v="8.23"/>
    <n v="164"/>
    <s v="Medium"/>
    <s v="Supply Delay"/>
    <s v="Find Alternate Supplier"/>
    <s v="Tamil Nadu"/>
  </r>
  <r>
    <x v="0"/>
    <x v="0"/>
    <s v="Organic Spices"/>
    <s v="Turmeric Powder"/>
    <n v="483"/>
    <n v="331"/>
    <n v="149"/>
    <n v="159.87"/>
    <n v="71.97"/>
    <n v="87.91"/>
    <n v="14.54"/>
    <n v="73"/>
    <s v="High"/>
    <s v="High Demand"/>
    <s v="Increase Stock"/>
    <s v="Gujarat"/>
  </r>
  <r>
    <x v="0"/>
    <x v="5"/>
    <s v="Organic Superfoods"/>
    <s v="Ashwagandha"/>
    <n v="82"/>
    <n v="158"/>
    <n v="101"/>
    <n v="12.96"/>
    <n v="8.2799999999999994"/>
    <n v="4.67"/>
    <n v="-1.89"/>
    <n v="288"/>
    <s v="Medium"/>
    <s v="None"/>
    <s v="Maintain"/>
    <s v="Karnataka"/>
  </r>
  <r>
    <x v="0"/>
    <x v="7"/>
    <s v="Organic Superfoods"/>
    <s v="Chia Seeds"/>
    <n v="360"/>
    <n v="85"/>
    <n v="71"/>
    <n v="30.6"/>
    <n v="25.56"/>
    <n v="5.04"/>
    <n v="8.9"/>
    <n v="28"/>
    <s v="Low"/>
    <s v="Low Stock"/>
    <s v="Restock"/>
    <s v="Gujarat"/>
  </r>
  <r>
    <x v="2"/>
    <x v="3"/>
    <s v="Organic Superfoods"/>
    <s v="Ashwagandha"/>
    <n v="100"/>
    <n v="486"/>
    <n v="254"/>
    <n v="48.6"/>
    <n v="25.4"/>
    <n v="23.2"/>
    <n v="23.42"/>
    <n v="270"/>
    <s v="Low"/>
    <s v="High Demand"/>
    <s v="Increase Stock"/>
    <s v="Tamil Nadu"/>
  </r>
  <r>
    <x v="2"/>
    <x v="8"/>
    <s v="Organic Grocery"/>
    <s v="Wheat Flour"/>
    <n v="345"/>
    <n v="186"/>
    <n v="37"/>
    <n v="64.17"/>
    <n v="12.77"/>
    <n v="51.41"/>
    <n v="10.34"/>
    <n v="187"/>
    <s v="Low"/>
    <s v="None"/>
    <s v="Maintain"/>
    <s v="Maharashtra"/>
  </r>
  <r>
    <x v="2"/>
    <x v="7"/>
    <s v="Organic Spices"/>
    <s v="Turmeric Powder"/>
    <n v="177"/>
    <n v="193"/>
    <n v="182"/>
    <n v="34.159999999999997"/>
    <n v="32.21"/>
    <n v="1.95"/>
    <n v="13.07"/>
    <n v="186"/>
    <s v="High"/>
    <s v="None"/>
    <s v="Maintain"/>
    <s v="Delhi"/>
  </r>
  <r>
    <x v="2"/>
    <x v="1"/>
    <s v="Organic Grocery"/>
    <s v="Dals"/>
    <n v="419"/>
    <n v="449"/>
    <n v="160"/>
    <n v="188.13"/>
    <n v="67.040000000000006"/>
    <n v="121.09"/>
    <n v="11.12"/>
    <n v="192"/>
    <s v="Medium"/>
    <s v="Low Stock"/>
    <s v="Restock"/>
    <s v="Rajasthan"/>
  </r>
  <r>
    <x v="0"/>
    <x v="3"/>
    <s v="Organic Grocery"/>
    <s v="Dals"/>
    <n v="282"/>
    <n v="263"/>
    <n v="205"/>
    <n v="74.17"/>
    <n v="57.81"/>
    <n v="16.36"/>
    <n v="2.6"/>
    <n v="239"/>
    <s v="High"/>
    <s v="Low Stock"/>
    <s v="Restock"/>
    <s v="Karnataka"/>
  </r>
  <r>
    <x v="1"/>
    <x v="1"/>
    <s v="Organic Spices"/>
    <s v="Black Pepper"/>
    <n v="162"/>
    <n v="302"/>
    <n v="288"/>
    <n v="48.92"/>
    <n v="46.66"/>
    <n v="2.27"/>
    <n v="17.48"/>
    <n v="290"/>
    <s v="High"/>
    <s v="None"/>
    <s v="Maintain"/>
    <s v="Karnataka"/>
  </r>
  <r>
    <x v="2"/>
    <x v="5"/>
    <s v="Organic Grocery"/>
    <s v="Wheat Flour"/>
    <n v="175"/>
    <n v="378"/>
    <n v="268"/>
    <n v="66.150000000000006"/>
    <n v="46.9"/>
    <n v="19.25"/>
    <n v="16.649999999999999"/>
    <n v="140"/>
    <s v="High"/>
    <s v="None"/>
    <s v="Maintain"/>
    <s v="Tamil Nadu"/>
  </r>
  <r>
    <x v="2"/>
    <x v="11"/>
    <s v="Organic Grocery"/>
    <s v="Wheat Flour"/>
    <n v="186"/>
    <n v="207"/>
    <n v="65"/>
    <n v="38.5"/>
    <n v="12.09"/>
    <n v="26.41"/>
    <n v="-2.54"/>
    <n v="162"/>
    <s v="Low"/>
    <s v="None"/>
    <s v="Maintain"/>
    <s v="Delhi"/>
  </r>
  <r>
    <x v="0"/>
    <x v="8"/>
    <s v="Organic Dairy"/>
    <s v="Ghee"/>
    <n v="308"/>
    <n v="394"/>
    <n v="348"/>
    <n v="121.35"/>
    <n v="107.18"/>
    <n v="14.17"/>
    <n v="20.29"/>
    <n v="65"/>
    <s v="High"/>
    <s v="Supply Delay"/>
    <s v="Find Alternate Supplier"/>
    <s v="Gujarat"/>
  </r>
  <r>
    <x v="1"/>
    <x v="2"/>
    <s v="Organic Grocery"/>
    <s v="Dals"/>
    <n v="256"/>
    <n v="266"/>
    <n v="208"/>
    <n v="68.099999999999994"/>
    <n v="53.25"/>
    <n v="14.85"/>
    <n v="12.12"/>
    <n v="150"/>
    <s v="Medium"/>
    <s v="None"/>
    <s v="Maintain"/>
    <s v="Gujarat"/>
  </r>
  <r>
    <x v="1"/>
    <x v="0"/>
    <s v="Organic Grocery"/>
    <s v="Pulses"/>
    <n v="109"/>
    <n v="166"/>
    <n v="57"/>
    <n v="18.09"/>
    <n v="6.21"/>
    <n v="11.88"/>
    <n v="-6"/>
    <n v="104"/>
    <s v="Medium"/>
    <s v="Supply Delay"/>
    <s v="Find Alternate Supplier"/>
    <s v="Karnataka"/>
  </r>
  <r>
    <x v="1"/>
    <x v="3"/>
    <s v="Organic Grocery"/>
    <s v="Pulses"/>
    <n v="445"/>
    <n v="211"/>
    <n v="100"/>
    <n v="93.89"/>
    <n v="44.5"/>
    <n v="49.39"/>
    <n v="20.73"/>
    <n v="110"/>
    <s v="Low"/>
    <s v="None"/>
    <s v="Maintain"/>
    <s v="Maharashtra"/>
  </r>
  <r>
    <x v="0"/>
    <x v="4"/>
    <s v="Organic Dairy"/>
    <s v="Paneer"/>
    <n v="359"/>
    <n v="69"/>
    <n v="45"/>
    <n v="24.77"/>
    <n v="16.16"/>
    <n v="8.6199999999999992"/>
    <n v="19.350000000000001"/>
    <n v="23"/>
    <s v="Medium"/>
    <s v="Supply Delay"/>
    <s v="Find Alternate Supplier"/>
    <s v="Delhi"/>
  </r>
  <r>
    <x v="1"/>
    <x v="0"/>
    <s v="Organic Oils"/>
    <s v="Coconut Oil"/>
    <n v="445"/>
    <n v="207"/>
    <n v="127"/>
    <n v="92.11"/>
    <n v="56.52"/>
    <n v="35.6"/>
    <n v="14.14"/>
    <n v="247"/>
    <s v="Low"/>
    <s v="Low Stock"/>
    <s v="Restock"/>
    <s v="Maharashtra"/>
  </r>
  <r>
    <x v="1"/>
    <x v="6"/>
    <s v="Organic Dairy"/>
    <s v="Ghee"/>
    <n v="95"/>
    <n v="187"/>
    <n v="80"/>
    <n v="17.77"/>
    <n v="7.6"/>
    <n v="10.17"/>
    <n v="10.88"/>
    <n v="283"/>
    <s v="High"/>
    <s v="High Demand"/>
    <s v="Increase Stock"/>
    <s v="Tamil Nadu"/>
  </r>
  <r>
    <x v="0"/>
    <x v="8"/>
    <s v="Organic Spices"/>
    <s v="Red Chilli Powder"/>
    <n v="169"/>
    <n v="419"/>
    <n v="48"/>
    <n v="70.81"/>
    <n v="8.11"/>
    <n v="62.7"/>
    <n v="0.65"/>
    <n v="144"/>
    <s v="Low"/>
    <s v="None"/>
    <s v="Maintain"/>
    <s v="Karnataka"/>
  </r>
  <r>
    <x v="2"/>
    <x v="10"/>
    <s v="Organic Superfoods"/>
    <s v="Chia Seeds"/>
    <n v="379"/>
    <n v="406"/>
    <n v="387"/>
    <n v="153.87"/>
    <n v="146.66999999999999"/>
    <n v="7.2"/>
    <n v="11"/>
    <n v="264"/>
    <s v="High"/>
    <s v="None"/>
    <s v="Maintain"/>
    <s v="Tamil Nadu"/>
  </r>
  <r>
    <x v="1"/>
    <x v="2"/>
    <s v="Organic Oils"/>
    <s v="Groundnut Oil"/>
    <n v="263"/>
    <n v="113"/>
    <n v="96"/>
    <n v="29.72"/>
    <n v="25.25"/>
    <n v="4.47"/>
    <n v="9.7799999999999994"/>
    <n v="168"/>
    <s v="Low"/>
    <s v="Low Stock"/>
    <s v="Restock"/>
    <s v="Rajasthan"/>
  </r>
  <r>
    <x v="1"/>
    <x v="0"/>
    <s v="Organic Oils"/>
    <s v="Groundnut Oil"/>
    <n v="352"/>
    <n v="339"/>
    <n v="61"/>
    <n v="119.33"/>
    <n v="21.47"/>
    <n v="97.86"/>
    <n v="23.75"/>
    <n v="82"/>
    <s v="High"/>
    <s v="Low Stock"/>
    <s v="Restock"/>
    <s v="Maharashtra"/>
  </r>
  <r>
    <x v="2"/>
    <x v="2"/>
    <s v="Organic Spices"/>
    <s v="Red Chilli Powder"/>
    <n v="469"/>
    <n v="237"/>
    <n v="110"/>
    <n v="111.15"/>
    <n v="51.59"/>
    <n v="59.56"/>
    <n v="19.05"/>
    <n v="101"/>
    <s v="Medium"/>
    <s v="Low Stock"/>
    <s v="Restock"/>
    <s v="Maharashtra"/>
  </r>
  <r>
    <x v="2"/>
    <x v="5"/>
    <s v="Organic Oils"/>
    <s v="Groundnut Oil"/>
    <n v="177"/>
    <n v="174"/>
    <n v="81"/>
    <n v="30.8"/>
    <n v="14.34"/>
    <n v="16.46"/>
    <n v="9.9499999999999993"/>
    <n v="255"/>
    <s v="Low"/>
    <s v="None"/>
    <s v="Maintain"/>
    <s v="Gujarat"/>
  </r>
  <r>
    <x v="2"/>
    <x v="3"/>
    <s v="Organic Spices"/>
    <s v="Turmeric Powder"/>
    <n v="197"/>
    <n v="143"/>
    <n v="133"/>
    <n v="28.17"/>
    <n v="26.2"/>
    <n v="1.97"/>
    <n v="11.82"/>
    <n v="66"/>
    <s v="Low"/>
    <s v="High Demand"/>
    <s v="Increase Stock"/>
    <s v="Karnataka"/>
  </r>
  <r>
    <x v="0"/>
    <x v="11"/>
    <s v="Organic Spices"/>
    <s v="Black Pepper"/>
    <n v="53"/>
    <n v="321"/>
    <n v="95"/>
    <n v="17.010000000000002"/>
    <n v="5.04"/>
    <n v="11.98"/>
    <n v="0.74"/>
    <n v="259"/>
    <s v="Medium"/>
    <s v="Supply Delay"/>
    <s v="Find Alternate Supplier"/>
    <s v="Maharashtra"/>
  </r>
  <r>
    <x v="1"/>
    <x v="10"/>
    <s v="Organic Grocery"/>
    <s v="Pulses"/>
    <n v="72"/>
    <n v="353"/>
    <n v="135"/>
    <n v="25.42"/>
    <n v="9.7200000000000006"/>
    <n v="15.7"/>
    <n v="2.17"/>
    <n v="50"/>
    <s v="Medium"/>
    <s v="None"/>
    <s v="Maintain"/>
    <s v="Karnataka"/>
  </r>
  <r>
    <x v="0"/>
    <x v="11"/>
    <s v="Organic Oils"/>
    <s v="Groundnut Oil"/>
    <n v="322"/>
    <n v="388"/>
    <n v="359"/>
    <n v="124.94"/>
    <n v="115.6"/>
    <n v="9.34"/>
    <n v="22.6"/>
    <n v="46"/>
    <s v="Medium"/>
    <s v="None"/>
    <s v="Maintain"/>
    <s v="Rajasthan"/>
  </r>
  <r>
    <x v="1"/>
    <x v="11"/>
    <s v="Organic Grocery"/>
    <s v="Dals"/>
    <n v="401"/>
    <n v="381"/>
    <n v="191"/>
    <n v="152.78"/>
    <n v="76.59"/>
    <n v="76.19"/>
    <n v="5.79"/>
    <n v="86"/>
    <s v="Low"/>
    <s v="High Demand"/>
    <s v="Increase Stock"/>
    <s v="Karnataka"/>
  </r>
  <r>
    <x v="2"/>
    <x v="8"/>
    <s v="Organic Oils"/>
    <s v="Groundnut Oil"/>
    <n v="493"/>
    <n v="460"/>
    <n v="254"/>
    <n v="226.78"/>
    <n v="125.22"/>
    <n v="101.56"/>
    <n v="3.23"/>
    <n v="37"/>
    <s v="Low"/>
    <s v="Low Stock"/>
    <s v="Restock"/>
    <s v="Delhi"/>
  </r>
  <r>
    <x v="2"/>
    <x v="8"/>
    <s v="Organic Dairy"/>
    <s v="Curd"/>
    <n v="261"/>
    <n v="179"/>
    <n v="157"/>
    <n v="46.72"/>
    <n v="40.98"/>
    <n v="5.74"/>
    <n v="10.29"/>
    <n v="275"/>
    <s v="Low"/>
    <s v="High Demand"/>
    <s v="Increase Stock"/>
    <s v="Gujarat"/>
  </r>
  <r>
    <x v="2"/>
    <x v="0"/>
    <s v="Organic Dairy"/>
    <s v="Milk"/>
    <n v="435"/>
    <n v="372"/>
    <n v="84"/>
    <n v="161.82"/>
    <n v="36.54"/>
    <n v="125.28"/>
    <n v="20.04"/>
    <n v="240"/>
    <s v="Medium"/>
    <s v="Low Stock"/>
    <s v="Restock"/>
    <s v="Tamil Nadu"/>
  </r>
  <r>
    <x v="2"/>
    <x v="11"/>
    <s v="Organic Dairy"/>
    <s v="Ghee"/>
    <n v="202"/>
    <n v="479"/>
    <n v="303"/>
    <n v="96.76"/>
    <n v="61.21"/>
    <n v="35.549999999999997"/>
    <n v="7.91"/>
    <n v="126"/>
    <s v="Medium"/>
    <s v="Low Stock"/>
    <s v="Restock"/>
    <s v="Maharashtra"/>
  </r>
  <r>
    <x v="1"/>
    <x v="2"/>
    <s v="Organic Spices"/>
    <s v="Red Chilli Powder"/>
    <n v="355"/>
    <n v="50"/>
    <n v="30"/>
    <n v="17.75"/>
    <n v="10.65"/>
    <n v="7.1"/>
    <n v="3.58"/>
    <n v="195"/>
    <s v="High"/>
    <s v="Low Stock"/>
    <s v="Restock"/>
    <s v="Maharashtra"/>
  </r>
  <r>
    <x v="2"/>
    <x v="2"/>
    <s v="Organic Oils"/>
    <s v="Groundnut Oil"/>
    <n v="128"/>
    <n v="327"/>
    <n v="199"/>
    <n v="41.86"/>
    <n v="25.47"/>
    <n v="16.38"/>
    <n v="21.84"/>
    <n v="50"/>
    <s v="Low"/>
    <s v="None"/>
    <s v="Maintain"/>
    <s v="Tamil Nadu"/>
  </r>
  <r>
    <x v="2"/>
    <x v="2"/>
    <s v="Organic Grocery"/>
    <s v="Wheat Flour"/>
    <n v="450"/>
    <n v="272"/>
    <n v="58"/>
    <n v="122.4"/>
    <n v="26.1"/>
    <n v="96.3"/>
    <n v="-4.04"/>
    <n v="146"/>
    <s v="Low"/>
    <s v="None"/>
    <s v="Maintain"/>
    <s v="Delhi"/>
  </r>
  <r>
    <x v="0"/>
    <x v="0"/>
    <s v="Organic Oils"/>
    <s v="Sunflower Oil"/>
    <n v="396"/>
    <n v="313"/>
    <n v="238"/>
    <n v="123.95"/>
    <n v="94.25"/>
    <n v="29.7"/>
    <n v="-5.21"/>
    <n v="86"/>
    <s v="Medium"/>
    <s v="High Demand"/>
    <s v="Increase Stock"/>
    <s v="Maharashtra"/>
  </r>
  <r>
    <x v="0"/>
    <x v="2"/>
    <s v="Organic Spices"/>
    <s v="Black Pepper"/>
    <n v="403"/>
    <n v="131"/>
    <n v="33"/>
    <n v="52.79"/>
    <n v="13.3"/>
    <n v="39.49"/>
    <n v="-8.4499999999999993"/>
    <n v="100"/>
    <s v="Medium"/>
    <s v="Supply Delay"/>
    <s v="Find Alternate Supplier"/>
    <s v="Delhi"/>
  </r>
  <r>
    <x v="1"/>
    <x v="9"/>
    <s v="Organic Dairy"/>
    <s v="Paneer"/>
    <n v="304"/>
    <n v="62"/>
    <n v="51"/>
    <n v="18.850000000000001"/>
    <n v="15.5"/>
    <n v="3.34"/>
    <n v="10.039999999999999"/>
    <n v="33"/>
    <s v="High"/>
    <s v="Supply Delay"/>
    <s v="Find Alternate Supplier"/>
    <s v="Delhi"/>
  </r>
  <r>
    <x v="2"/>
    <x v="8"/>
    <s v="Organic Grocery"/>
    <s v="Pulses"/>
    <n v="148"/>
    <n v="64"/>
    <n v="50"/>
    <n v="9.4700000000000006"/>
    <n v="7.4"/>
    <n v="2.0699999999999998"/>
    <n v="-9.81"/>
    <n v="104"/>
    <s v="Low"/>
    <s v="High Demand"/>
    <s v="Increase Stock"/>
    <s v="Delhi"/>
  </r>
  <r>
    <x v="1"/>
    <x v="10"/>
    <s v="Organic Grocery"/>
    <s v="Rice"/>
    <n v="432"/>
    <n v="205"/>
    <n v="87"/>
    <n v="88.56"/>
    <n v="37.58"/>
    <n v="50.98"/>
    <n v="-5.88"/>
    <n v="81"/>
    <s v="High"/>
    <s v="Supply Delay"/>
    <s v="Find Alternate Supplier"/>
    <s v="Rajasthan"/>
  </r>
  <r>
    <x v="2"/>
    <x v="6"/>
    <s v="Organic Spices"/>
    <s v="Red Chilli Powder"/>
    <n v="388"/>
    <n v="349"/>
    <n v="69"/>
    <n v="135.41"/>
    <n v="26.77"/>
    <n v="108.64"/>
    <n v="13.93"/>
    <n v="149"/>
    <s v="High"/>
    <s v="Supply Delay"/>
    <s v="Find Alternate Supplier"/>
    <s v="Rajasthan"/>
  </r>
  <r>
    <x v="1"/>
    <x v="0"/>
    <s v="Organic Superfoods"/>
    <s v="Amla Powder"/>
    <n v="435"/>
    <n v="192"/>
    <n v="106"/>
    <n v="83.52"/>
    <n v="46.11"/>
    <n v="37.409999999999997"/>
    <n v="0.92"/>
    <n v="147"/>
    <s v="Low"/>
    <s v="Low Stock"/>
    <s v="Restock"/>
    <s v="Delhi"/>
  </r>
  <r>
    <x v="2"/>
    <x v="11"/>
    <s v="Organic Grocery"/>
    <s v="Dals"/>
    <n v="63"/>
    <n v="424"/>
    <n v="384"/>
    <n v="26.71"/>
    <n v="24.19"/>
    <n v="2.52"/>
    <n v="20.91"/>
    <n v="272"/>
    <s v="Medium"/>
    <s v="Supply Delay"/>
    <s v="Find Alternate Supplier"/>
    <s v="Delhi"/>
  </r>
  <r>
    <x v="1"/>
    <x v="2"/>
    <s v="Organic Superfoods"/>
    <s v="Chia Seeds"/>
    <n v="478"/>
    <n v="469"/>
    <n v="289"/>
    <n v="224.18"/>
    <n v="138.13999999999999"/>
    <n v="86.04"/>
    <n v="13.2"/>
    <n v="243"/>
    <s v="Low"/>
    <s v="None"/>
    <s v="Maintain"/>
    <s v="Tamil Nadu"/>
  </r>
  <r>
    <x v="1"/>
    <x v="9"/>
    <s v="Organic Oils"/>
    <s v="Sunflower Oil"/>
    <n v="415"/>
    <n v="113"/>
    <n v="30"/>
    <n v="46.9"/>
    <n v="12.45"/>
    <n v="34.450000000000003"/>
    <n v="15.93"/>
    <n v="154"/>
    <s v="High"/>
    <s v="Low Stock"/>
    <s v="Restock"/>
    <s v="Maharashtra"/>
  </r>
  <r>
    <x v="2"/>
    <x v="3"/>
    <s v="Organic Dairy"/>
    <s v="Milk"/>
    <n v="164"/>
    <n v="135"/>
    <n v="98"/>
    <n v="22.14"/>
    <n v="16.07"/>
    <n v="6.07"/>
    <n v="0.82"/>
    <n v="127"/>
    <s v="Medium"/>
    <s v="Supply Delay"/>
    <s v="Find Alternate Supplier"/>
    <s v="Maharashtra"/>
  </r>
  <r>
    <x v="1"/>
    <x v="8"/>
    <s v="Organic Oils"/>
    <s v="Groundnut Oil"/>
    <n v="395"/>
    <n v="165"/>
    <n v="31"/>
    <n v="65.17"/>
    <n v="12.24"/>
    <n v="52.93"/>
    <n v="15.37"/>
    <n v="75"/>
    <s v="High"/>
    <s v="Supply Delay"/>
    <s v="Find Alternate Supplier"/>
    <s v="Gujarat"/>
  </r>
  <r>
    <x v="2"/>
    <x v="6"/>
    <s v="Organic Superfoods"/>
    <s v="Amla Powder"/>
    <n v="73"/>
    <n v="479"/>
    <n v="122"/>
    <n v="34.97"/>
    <n v="8.91"/>
    <n v="26.06"/>
    <n v="-7.41"/>
    <n v="167"/>
    <s v="High"/>
    <s v="Low Stock"/>
    <s v="Restock"/>
    <s v="Rajasthan"/>
  </r>
  <r>
    <x v="0"/>
    <x v="10"/>
    <s v="Organic Spices"/>
    <s v="Black Pepper"/>
    <n v="280"/>
    <n v="404"/>
    <n v="52"/>
    <n v="113.12"/>
    <n v="14.56"/>
    <n v="98.56"/>
    <n v="-8.8699999999999992"/>
    <n v="106"/>
    <s v="Low"/>
    <s v="None"/>
    <s v="Maintain"/>
    <s v="Delhi"/>
  </r>
  <r>
    <x v="2"/>
    <x v="11"/>
    <s v="Organic Superfoods"/>
    <s v="Ashwagandha"/>
    <n v="279"/>
    <n v="486"/>
    <n v="205"/>
    <n v="135.59"/>
    <n v="57.2"/>
    <n v="78.400000000000006"/>
    <n v="-1.8"/>
    <n v="42"/>
    <s v="Medium"/>
    <s v="Supply Delay"/>
    <s v="Find Alternate Supplier"/>
    <s v="Tamil Nadu"/>
  </r>
  <r>
    <x v="0"/>
    <x v="7"/>
    <s v="Organic Grocery"/>
    <s v="Wheat Flour"/>
    <n v="97"/>
    <n v="348"/>
    <n v="94"/>
    <n v="33.76"/>
    <n v="9.1199999999999992"/>
    <n v="24.64"/>
    <n v="9.14"/>
    <n v="217"/>
    <s v="Low"/>
    <s v="High Demand"/>
    <s v="Increase Stock"/>
    <s v="Maharashtra"/>
  </r>
  <r>
    <x v="0"/>
    <x v="1"/>
    <s v="Organic Superfoods"/>
    <s v="Chia Seeds"/>
    <n v="476"/>
    <n v="458"/>
    <n v="324"/>
    <n v="218.01"/>
    <n v="154.22"/>
    <n v="63.78"/>
    <n v="11.77"/>
    <n v="207"/>
    <s v="Medium"/>
    <s v="None"/>
    <s v="Maintain"/>
    <s v="Rajasthan"/>
  </r>
  <r>
    <x v="2"/>
    <x v="2"/>
    <s v="Organic Dairy"/>
    <s v="Paneer"/>
    <n v="331"/>
    <n v="164"/>
    <n v="43"/>
    <n v="54.28"/>
    <n v="14.23"/>
    <n v="40.049999999999997"/>
    <n v="19.14"/>
    <n v="42"/>
    <s v="Medium"/>
    <s v="None"/>
    <s v="Maintain"/>
    <s v="Rajasthan"/>
  </r>
  <r>
    <x v="1"/>
    <x v="3"/>
    <s v="Organic Oils"/>
    <s v="Sunflower Oil"/>
    <n v="50"/>
    <n v="106"/>
    <n v="34"/>
    <n v="5.3"/>
    <n v="1.7"/>
    <n v="3.6"/>
    <n v="0.08"/>
    <n v="75"/>
    <s v="High"/>
    <s v="None"/>
    <s v="Maintain"/>
    <s v="Maharashtra"/>
  </r>
  <r>
    <x v="2"/>
    <x v="8"/>
    <s v="Organic Superfoods"/>
    <s v="Chia Seeds"/>
    <n v="363"/>
    <n v="235"/>
    <n v="161"/>
    <n v="85.31"/>
    <n v="58.44"/>
    <n v="26.86"/>
    <n v="5.0599999999999996"/>
    <n v="146"/>
    <s v="Low"/>
    <s v="None"/>
    <s v="Maintain"/>
    <s v="Delhi"/>
  </r>
  <r>
    <x v="1"/>
    <x v="8"/>
    <s v="Organic Superfoods"/>
    <s v="Amla Powder"/>
    <n v="442"/>
    <n v="108"/>
    <n v="43"/>
    <n v="47.74"/>
    <n v="19.010000000000002"/>
    <n v="28.73"/>
    <n v="20.079999999999998"/>
    <n v="23"/>
    <s v="Medium"/>
    <s v="Supply Delay"/>
    <s v="Find Alternate Supplier"/>
    <s v="Maharashtra"/>
  </r>
  <r>
    <x v="1"/>
    <x v="0"/>
    <s v="Organic Superfoods"/>
    <s v="Ashwagandha"/>
    <n v="475"/>
    <n v="80"/>
    <n v="45"/>
    <n v="38"/>
    <n v="21.38"/>
    <n v="16.62"/>
    <n v="-0.99"/>
    <n v="217"/>
    <s v="Low"/>
    <s v="Supply Delay"/>
    <s v="Find Alternate Supplier"/>
    <s v="Tamil Nadu"/>
  </r>
  <r>
    <x v="2"/>
    <x v="7"/>
    <s v="Organic Oils"/>
    <s v="Coconut Oil"/>
    <n v="62"/>
    <n v="377"/>
    <n v="55"/>
    <n v="23.37"/>
    <n v="3.41"/>
    <n v="19.96"/>
    <n v="7.83"/>
    <n v="158"/>
    <s v="Low"/>
    <s v="Low Stock"/>
    <s v="Restock"/>
    <s v="Tamil Nadu"/>
  </r>
  <r>
    <x v="2"/>
    <x v="3"/>
    <s v="Organic Oils"/>
    <s v="Groundnut Oil"/>
    <n v="93"/>
    <n v="262"/>
    <n v="49"/>
    <n v="24.37"/>
    <n v="4.5599999999999996"/>
    <n v="19.809999999999999"/>
    <n v="22.5"/>
    <n v="20"/>
    <s v="Low"/>
    <s v="Low Stock"/>
    <s v="Restock"/>
    <s v="Maharashtra"/>
  </r>
  <r>
    <x v="1"/>
    <x v="5"/>
    <s v="Organic Spices"/>
    <s v="Red Chilli Powder"/>
    <n v="230"/>
    <n v="128"/>
    <n v="103"/>
    <n v="29.44"/>
    <n v="23.69"/>
    <n v="5.75"/>
    <n v="21.96"/>
    <n v="273"/>
    <s v="Medium"/>
    <s v="High Demand"/>
    <s v="Increase Stock"/>
    <s v="Delhi"/>
  </r>
  <r>
    <x v="0"/>
    <x v="9"/>
    <s v="Organic Spices"/>
    <s v="Turmeric Powder"/>
    <n v="272"/>
    <n v="159"/>
    <n v="77"/>
    <n v="43.25"/>
    <n v="20.94"/>
    <n v="22.3"/>
    <n v="16.52"/>
    <n v="128"/>
    <s v="Medium"/>
    <s v="None"/>
    <s v="Maintain"/>
    <s v="Rajasthan"/>
  </r>
  <r>
    <x v="2"/>
    <x v="9"/>
    <s v="Organic Dairy"/>
    <s v="Milk"/>
    <n v="160"/>
    <n v="311"/>
    <n v="263"/>
    <n v="49.76"/>
    <n v="42.08"/>
    <n v="7.68"/>
    <n v="-7.27"/>
    <n v="116"/>
    <s v="Medium"/>
    <s v="None"/>
    <s v="Maintain"/>
    <s v="Karnataka"/>
  </r>
  <r>
    <x v="2"/>
    <x v="0"/>
    <s v="Organic Superfoods"/>
    <s v="Chia Seeds"/>
    <n v="72"/>
    <n v="446"/>
    <n v="377"/>
    <n v="32.11"/>
    <n v="27.14"/>
    <n v="4.97"/>
    <n v="10.51"/>
    <n v="117"/>
    <s v="Medium"/>
    <s v="Low Stock"/>
    <s v="Restock"/>
    <s v="Delhi"/>
  </r>
  <r>
    <x v="1"/>
    <x v="1"/>
    <s v="Organic Superfoods"/>
    <s v="Chia Seeds"/>
    <n v="104"/>
    <n v="458"/>
    <n v="75"/>
    <n v="47.63"/>
    <n v="7.8"/>
    <n v="39.83"/>
    <n v="-2.61"/>
    <n v="236"/>
    <s v="Medium"/>
    <s v="High Demand"/>
    <s v="Increase Stock"/>
    <s v="Rajasthan"/>
  </r>
  <r>
    <x v="1"/>
    <x v="7"/>
    <s v="Organic Oils"/>
    <s v="Sunflower Oil"/>
    <n v="282"/>
    <n v="352"/>
    <n v="107"/>
    <n v="99.26"/>
    <n v="30.17"/>
    <n v="69.09"/>
    <n v="24.03"/>
    <n v="98"/>
    <s v="Low"/>
    <s v="High Demand"/>
    <s v="Increase Stock"/>
    <s v="Karnataka"/>
  </r>
  <r>
    <x v="1"/>
    <x v="11"/>
    <s v="Organic Oils"/>
    <s v="Sunflower Oil"/>
    <n v="169"/>
    <n v="289"/>
    <n v="46"/>
    <n v="48.84"/>
    <n v="7.77"/>
    <n v="41.07"/>
    <n v="20.059999999999999"/>
    <n v="156"/>
    <s v="High"/>
    <s v="Supply Delay"/>
    <s v="Find Alternate Supplier"/>
    <s v="Rajasthan"/>
  </r>
  <r>
    <x v="1"/>
    <x v="4"/>
    <s v="Organic Grocery"/>
    <s v="Rice"/>
    <n v="133"/>
    <n v="431"/>
    <n v="404"/>
    <n v="57.32"/>
    <n v="53.73"/>
    <n v="3.59"/>
    <n v="17.22"/>
    <n v="102"/>
    <s v="High"/>
    <s v="Low Stock"/>
    <s v="Restock"/>
    <s v="Gujarat"/>
  </r>
  <r>
    <x v="2"/>
    <x v="1"/>
    <s v="Organic Grocery"/>
    <s v="Dals"/>
    <n v="372"/>
    <n v="94"/>
    <n v="82"/>
    <n v="34.97"/>
    <n v="30.5"/>
    <n v="4.46"/>
    <n v="19.48"/>
    <n v="270"/>
    <s v="Low"/>
    <s v="Supply Delay"/>
    <s v="Find Alternate Supplier"/>
    <s v="Maharashtra"/>
  </r>
  <r>
    <x v="1"/>
    <x v="5"/>
    <s v="Organic Spices"/>
    <s v="Red Chilli Powder"/>
    <n v="440"/>
    <n v="204"/>
    <n v="77"/>
    <n v="89.76"/>
    <n v="33.880000000000003"/>
    <n v="55.88"/>
    <n v="7.4"/>
    <n v="161"/>
    <s v="Medium"/>
    <s v="High Demand"/>
    <s v="Increase Stock"/>
    <s v="Maharashtra"/>
  </r>
  <r>
    <x v="1"/>
    <x v="2"/>
    <s v="Organic Oils"/>
    <s v="Coconut Oil"/>
    <n v="256"/>
    <n v="392"/>
    <n v="267"/>
    <n v="100.35"/>
    <n v="68.349999999999994"/>
    <n v="32"/>
    <n v="20.99"/>
    <n v="275"/>
    <s v="High"/>
    <s v="Low Stock"/>
    <s v="Restock"/>
    <s v="Maharashtra"/>
  </r>
  <r>
    <x v="2"/>
    <x v="9"/>
    <s v="Organic Spices"/>
    <s v="Turmeric Powder"/>
    <n v="184"/>
    <n v="343"/>
    <n v="246"/>
    <n v="63.11"/>
    <n v="45.26"/>
    <n v="17.850000000000001"/>
    <n v="16.7"/>
    <n v="243"/>
    <s v="Low"/>
    <s v="Low Stock"/>
    <s v="Restock"/>
    <s v="Delhi"/>
  </r>
  <r>
    <x v="0"/>
    <x v="3"/>
    <s v="Organic Oils"/>
    <s v="Sunflower Oil"/>
    <n v="142"/>
    <n v="470"/>
    <n v="310"/>
    <n v="66.739999999999995"/>
    <n v="44.02"/>
    <n v="22.72"/>
    <n v="19.14"/>
    <n v="180"/>
    <s v="Low"/>
    <s v="Supply Delay"/>
    <s v="Find Alternate Supplier"/>
    <s v="Maharashtra"/>
  </r>
  <r>
    <x v="1"/>
    <x v="11"/>
    <s v="Organic Grocery"/>
    <s v="Rice"/>
    <n v="324"/>
    <n v="211"/>
    <n v="119"/>
    <n v="68.36"/>
    <n v="38.56"/>
    <n v="29.81"/>
    <n v="17.89"/>
    <n v="139"/>
    <s v="High"/>
    <s v="High Demand"/>
    <s v="Increase Stock"/>
    <s v="Rajasthan"/>
  </r>
  <r>
    <x v="2"/>
    <x v="11"/>
    <s v="Organic Dairy"/>
    <s v="Curd"/>
    <n v="343"/>
    <n v="203"/>
    <n v="189"/>
    <n v="69.63"/>
    <n v="64.83"/>
    <n v="4.8"/>
    <n v="6.96"/>
    <n v="212"/>
    <s v="Low"/>
    <s v="Supply Delay"/>
    <s v="Find Alternate Supplier"/>
    <s v="Gujarat"/>
  </r>
  <r>
    <x v="0"/>
    <x v="9"/>
    <s v="Organic Oils"/>
    <s v="Sunflower Oil"/>
    <n v="123"/>
    <n v="304"/>
    <n v="136"/>
    <n v="37.39"/>
    <n v="16.73"/>
    <n v="20.66"/>
    <n v="-9"/>
    <n v="209"/>
    <s v="High"/>
    <s v="None"/>
    <s v="Maintain"/>
    <s v="Delhi"/>
  </r>
  <r>
    <x v="1"/>
    <x v="1"/>
    <s v="Organic Spices"/>
    <s v="Red Chilli Powder"/>
    <n v="199"/>
    <n v="311"/>
    <n v="101"/>
    <n v="61.89"/>
    <n v="20.100000000000001"/>
    <n v="41.79"/>
    <n v="-9.44"/>
    <n v="43"/>
    <s v="High"/>
    <s v="High Demand"/>
    <s v="Increase Stock"/>
    <s v="Gujarat"/>
  </r>
  <r>
    <x v="1"/>
    <x v="0"/>
    <s v="Organic Superfoods"/>
    <s v="Chia Seeds"/>
    <n v="120"/>
    <n v="411"/>
    <n v="359"/>
    <n v="49.32"/>
    <n v="43.08"/>
    <n v="6.24"/>
    <n v="17.54"/>
    <n v="229"/>
    <s v="Low"/>
    <s v="Supply Delay"/>
    <s v="Find Alternate Supplier"/>
    <s v="Rajasthan"/>
  </r>
  <r>
    <x v="2"/>
    <x v="2"/>
    <s v="Organic Dairy"/>
    <s v="Curd"/>
    <n v="178"/>
    <n v="470"/>
    <n v="398"/>
    <n v="83.66"/>
    <n v="70.84"/>
    <n v="12.82"/>
    <n v="-1.56"/>
    <n v="137"/>
    <s v="Medium"/>
    <s v="High Demand"/>
    <s v="Increase Stock"/>
    <s v="Maharashtra"/>
  </r>
  <r>
    <x v="2"/>
    <x v="0"/>
    <s v="Organic Spices"/>
    <s v="Turmeric Powder"/>
    <n v="300"/>
    <n v="154"/>
    <n v="101"/>
    <n v="46.2"/>
    <n v="30.3"/>
    <n v="15.9"/>
    <n v="-3.98"/>
    <n v="100"/>
    <s v="High"/>
    <s v="None"/>
    <s v="Maintain"/>
    <s v="Delhi"/>
  </r>
  <r>
    <x v="0"/>
    <x v="1"/>
    <s v="Organic Spices"/>
    <s v="Red Chilli Powder"/>
    <n v="366"/>
    <n v="304"/>
    <n v="178"/>
    <n v="111.26"/>
    <n v="65.150000000000006"/>
    <n v="46.12"/>
    <n v="23.63"/>
    <n v="261"/>
    <s v="Medium"/>
    <s v="Supply Delay"/>
    <s v="Find Alternate Supplier"/>
    <s v="Rajasthan"/>
  </r>
  <r>
    <x v="2"/>
    <x v="4"/>
    <s v="Organic Oils"/>
    <s v="Sunflower Oil"/>
    <n v="179"/>
    <n v="494"/>
    <n v="127"/>
    <n v="88.43"/>
    <n v="22.73"/>
    <n v="65.69"/>
    <n v="16.28"/>
    <n v="235"/>
    <s v="High"/>
    <s v="None"/>
    <s v="Maintain"/>
    <s v="Gujarat"/>
  </r>
  <r>
    <x v="1"/>
    <x v="4"/>
    <s v="Organic Spices"/>
    <s v="Turmeric Powder"/>
    <n v="229"/>
    <n v="325"/>
    <n v="205"/>
    <n v="74.42"/>
    <n v="46.95"/>
    <n v="27.48"/>
    <n v="12.96"/>
    <n v="243"/>
    <s v="Low"/>
    <s v="None"/>
    <s v="Maintain"/>
    <s v="Rajasthan"/>
  </r>
  <r>
    <x v="2"/>
    <x v="0"/>
    <s v="Organic Dairy"/>
    <s v="Milk"/>
    <n v="488"/>
    <n v="252"/>
    <n v="221"/>
    <n v="122.98"/>
    <n v="107.85"/>
    <n v="15.13"/>
    <n v="11.6"/>
    <n v="33"/>
    <s v="Low"/>
    <s v="High Demand"/>
    <s v="Increase Stock"/>
    <s v="Karnataka"/>
  </r>
  <r>
    <x v="2"/>
    <x v="9"/>
    <s v="Organic Spices"/>
    <s v="Red Chilli Powder"/>
    <n v="350"/>
    <n v="321"/>
    <n v="299"/>
    <n v="112.35"/>
    <n v="104.65"/>
    <n v="7.7"/>
    <n v="6.58"/>
    <n v="221"/>
    <s v="Low"/>
    <s v="Low Stock"/>
    <s v="Restock"/>
    <s v="Karnataka"/>
  </r>
  <r>
    <x v="0"/>
    <x v="1"/>
    <s v="Organic Dairy"/>
    <s v="Paneer"/>
    <n v="129"/>
    <n v="316"/>
    <n v="96"/>
    <n v="40.76"/>
    <n v="12.38"/>
    <n v="28.38"/>
    <n v="-3.03"/>
    <n v="63"/>
    <s v="Low"/>
    <s v="None"/>
    <s v="Maintain"/>
    <s v="Gujarat"/>
  </r>
  <r>
    <x v="1"/>
    <x v="7"/>
    <s v="Organic Oils"/>
    <s v="Sunflower Oil"/>
    <n v="278"/>
    <n v="271"/>
    <n v="233"/>
    <n v="75.34"/>
    <n v="64.77"/>
    <n v="10.56"/>
    <n v="24.1"/>
    <n v="47"/>
    <s v="Low"/>
    <s v="High Demand"/>
    <s v="Increase Stock"/>
    <s v="Gujarat"/>
  </r>
  <r>
    <x v="0"/>
    <x v="8"/>
    <s v="Organic Superfoods"/>
    <s v="Ashwagandha"/>
    <n v="161"/>
    <n v="412"/>
    <n v="251"/>
    <n v="66.33"/>
    <n v="40.409999999999997"/>
    <n v="25.92"/>
    <n v="11.03"/>
    <n v="174"/>
    <s v="High"/>
    <s v="Low Stock"/>
    <s v="Restock"/>
    <s v="Maharashtra"/>
  </r>
  <r>
    <x v="2"/>
    <x v="8"/>
    <s v="Organic Spices"/>
    <s v="Black Pepper"/>
    <n v="219"/>
    <n v="367"/>
    <n v="32"/>
    <n v="80.37"/>
    <n v="7.01"/>
    <n v="73.37"/>
    <n v="0.18"/>
    <n v="209"/>
    <s v="Medium"/>
    <s v="None"/>
    <s v="Maintain"/>
    <s v="Maharashtra"/>
  </r>
  <r>
    <x v="0"/>
    <x v="5"/>
    <s v="Organic Grocery"/>
    <s v="Rice"/>
    <n v="467"/>
    <n v="98"/>
    <n v="30"/>
    <n v="45.77"/>
    <n v="14.01"/>
    <n v="31.76"/>
    <n v="1.61"/>
    <n v="266"/>
    <s v="High"/>
    <s v="None"/>
    <s v="Maintain"/>
    <s v="Delhi"/>
  </r>
  <r>
    <x v="2"/>
    <x v="9"/>
    <s v="Organic Superfoods"/>
    <s v="Chia Seeds"/>
    <n v="291"/>
    <n v="181"/>
    <n v="95"/>
    <n v="52.67"/>
    <n v="27.64"/>
    <n v="25.03"/>
    <n v="-5.68"/>
    <n v="283"/>
    <s v="High"/>
    <s v="Low Stock"/>
    <s v="Restock"/>
    <s v="Gujarat"/>
  </r>
  <r>
    <x v="2"/>
    <x v="9"/>
    <s v="Organic Dairy"/>
    <s v="Milk"/>
    <n v="87"/>
    <n v="270"/>
    <n v="34"/>
    <n v="23.49"/>
    <n v="2.96"/>
    <n v="20.53"/>
    <n v="15.69"/>
    <n v="244"/>
    <s v="Medium"/>
    <s v="Low Stock"/>
    <s v="Restock"/>
    <s v="Tamil Nadu"/>
  </r>
  <r>
    <x v="0"/>
    <x v="1"/>
    <s v="Organic Superfoods"/>
    <s v="Amla Powder"/>
    <n v="193"/>
    <n v="346"/>
    <n v="300"/>
    <n v="66.78"/>
    <n v="57.9"/>
    <n v="8.8800000000000008"/>
    <n v="-4.12"/>
    <n v="255"/>
    <s v="Medium"/>
    <s v="Supply Delay"/>
    <s v="Find Alternate Supplier"/>
    <s v="Tamil Nadu"/>
  </r>
  <r>
    <x v="1"/>
    <x v="9"/>
    <s v="Organic Superfoods"/>
    <s v="Chia Seeds"/>
    <n v="323"/>
    <n v="488"/>
    <n v="253"/>
    <n v="157.62"/>
    <n v="81.72"/>
    <n v="75.91"/>
    <n v="14.09"/>
    <n v="298"/>
    <s v="Low"/>
    <s v="Supply Delay"/>
    <s v="Find Alternate Supplier"/>
    <s v="Rajasthan"/>
  </r>
  <r>
    <x v="0"/>
    <x v="2"/>
    <s v="Organic Oils"/>
    <s v="Groundnut Oil"/>
    <n v="192"/>
    <n v="494"/>
    <n v="45"/>
    <n v="94.85"/>
    <n v="8.64"/>
    <n v="86.21"/>
    <n v="7.4"/>
    <n v="97"/>
    <s v="Low"/>
    <s v="None"/>
    <s v="Maintain"/>
    <s v="Rajasthan"/>
  </r>
  <r>
    <x v="1"/>
    <x v="8"/>
    <s v="Organic Grocery"/>
    <s v="Dals"/>
    <n v="213"/>
    <n v="200"/>
    <n v="53"/>
    <n v="42.6"/>
    <n v="11.29"/>
    <n v="31.31"/>
    <n v="0.38"/>
    <n v="118"/>
    <s v="Low"/>
    <s v="Supply Delay"/>
    <s v="Find Alternate Supplier"/>
    <s v="Karnataka"/>
  </r>
  <r>
    <x v="2"/>
    <x v="0"/>
    <s v="Organic Dairy"/>
    <s v="Milk"/>
    <n v="67"/>
    <n v="270"/>
    <n v="136"/>
    <n v="18.09"/>
    <n v="9.11"/>
    <n v="8.98"/>
    <n v="-0.53"/>
    <n v="265"/>
    <s v="High"/>
    <s v="High Demand"/>
    <s v="Increase Stock"/>
    <s v="Maharashtra"/>
  </r>
  <r>
    <x v="1"/>
    <x v="7"/>
    <s v="Organic Dairy"/>
    <s v="Paneer"/>
    <n v="338"/>
    <n v="383"/>
    <n v="298"/>
    <n v="129.44999999999999"/>
    <n v="100.72"/>
    <n v="28.73"/>
    <n v="-2.96"/>
    <n v="272"/>
    <s v="Medium"/>
    <s v="High Demand"/>
    <s v="Increase Stock"/>
    <s v="Delhi"/>
  </r>
  <r>
    <x v="2"/>
    <x v="7"/>
    <s v="Organic Oils"/>
    <s v="Coconut Oil"/>
    <n v="403"/>
    <n v="444"/>
    <n v="411"/>
    <n v="178.93"/>
    <n v="165.63"/>
    <n v="13.3"/>
    <n v="-5.71"/>
    <n v="248"/>
    <s v="High"/>
    <s v="None"/>
    <s v="Maintain"/>
    <s v="Delhi"/>
  </r>
  <r>
    <x v="2"/>
    <x v="0"/>
    <s v="Organic Oils"/>
    <s v="Groundnut Oil"/>
    <n v="85"/>
    <n v="251"/>
    <n v="75"/>
    <n v="21.34"/>
    <n v="6.38"/>
    <n v="14.96"/>
    <n v="23.8"/>
    <n v="87"/>
    <s v="High"/>
    <s v="None"/>
    <s v="Maintain"/>
    <s v="Delhi"/>
  </r>
  <r>
    <x v="1"/>
    <x v="3"/>
    <s v="Organic Spices"/>
    <s v="Turmeric Powder"/>
    <n v="392"/>
    <n v="70"/>
    <n v="35"/>
    <n v="27.44"/>
    <n v="13.72"/>
    <n v="13.72"/>
    <n v="18.46"/>
    <n v="210"/>
    <s v="Low"/>
    <s v="Supply Delay"/>
    <s v="Find Alternate Supplier"/>
    <s v="Delhi"/>
  </r>
  <r>
    <x v="1"/>
    <x v="1"/>
    <s v="Organic Oils"/>
    <s v="Coconut Oil"/>
    <n v="153"/>
    <n v="186"/>
    <n v="117"/>
    <n v="28.46"/>
    <n v="17.899999999999999"/>
    <n v="10.56"/>
    <n v="21.73"/>
    <n v="241"/>
    <s v="Medium"/>
    <s v="Low Stock"/>
    <s v="Restock"/>
    <s v="Karnataka"/>
  </r>
  <r>
    <x v="0"/>
    <x v="10"/>
    <s v="Organic Oils"/>
    <s v="Groundnut Oil"/>
    <n v="286"/>
    <n v="351"/>
    <n v="179"/>
    <n v="100.39"/>
    <n v="51.19"/>
    <n v="49.19"/>
    <n v="-3.9"/>
    <n v="84"/>
    <s v="Low"/>
    <s v="High Demand"/>
    <s v="Increase Stock"/>
    <s v="Maharashtra"/>
  </r>
  <r>
    <x v="1"/>
    <x v="6"/>
    <s v="Organic Oils"/>
    <s v="Sunflower Oil"/>
    <n v="247"/>
    <n v="439"/>
    <n v="112"/>
    <n v="108.43"/>
    <n v="27.66"/>
    <n v="80.77"/>
    <n v="3.82"/>
    <n v="117"/>
    <s v="Low"/>
    <s v="Supply Delay"/>
    <s v="Find Alternate Supplier"/>
    <s v="Rajasthan"/>
  </r>
  <r>
    <x v="2"/>
    <x v="10"/>
    <s v="Organic Superfoods"/>
    <s v="Ashwagandha"/>
    <n v="492"/>
    <n v="305"/>
    <n v="46"/>
    <n v="150.06"/>
    <n v="22.63"/>
    <n v="127.43"/>
    <n v="10.57"/>
    <n v="141"/>
    <s v="Medium"/>
    <s v="Supply Delay"/>
    <s v="Find Alternate Supplier"/>
    <s v="Maharashtra"/>
  </r>
  <r>
    <x v="1"/>
    <x v="6"/>
    <s v="Organic Grocery"/>
    <s v="Rice"/>
    <n v="258"/>
    <n v="56"/>
    <n v="34"/>
    <n v="14.45"/>
    <n v="8.77"/>
    <n v="5.68"/>
    <n v="15.61"/>
    <n v="174"/>
    <s v="Low"/>
    <s v="Supply Delay"/>
    <s v="Find Alternate Supplier"/>
    <s v="Maharashtra"/>
  </r>
  <r>
    <x v="2"/>
    <x v="1"/>
    <s v="Organic Dairy"/>
    <s v="Ghee"/>
    <n v="402"/>
    <n v="464"/>
    <n v="123"/>
    <n v="186.53"/>
    <n v="49.45"/>
    <n v="137.08000000000001"/>
    <n v="11.47"/>
    <n v="153"/>
    <s v="Low"/>
    <s v="None"/>
    <s v="Maintain"/>
    <s v="Gujarat"/>
  </r>
  <r>
    <x v="1"/>
    <x v="2"/>
    <s v="Organic Grocery"/>
    <s v="Rice"/>
    <n v="191"/>
    <n v="181"/>
    <n v="98"/>
    <n v="34.57"/>
    <n v="18.72"/>
    <n v="15.85"/>
    <n v="5.82"/>
    <n v="276"/>
    <s v="Low"/>
    <s v="Supply Delay"/>
    <s v="Find Alternate Supplier"/>
    <s v="Gujarat"/>
  </r>
  <r>
    <x v="0"/>
    <x v="1"/>
    <s v="Organic Dairy"/>
    <s v="Ghee"/>
    <n v="167"/>
    <n v="210"/>
    <n v="141"/>
    <n v="35.07"/>
    <n v="23.55"/>
    <n v="11.52"/>
    <n v="0.62"/>
    <n v="92"/>
    <s v="High"/>
    <s v="None"/>
    <s v="Maintain"/>
    <s v="Gujarat"/>
  </r>
  <r>
    <x v="2"/>
    <x v="11"/>
    <s v="Organic Oils"/>
    <s v="Coconut Oil"/>
    <n v="181"/>
    <n v="365"/>
    <n v="222"/>
    <n v="66.06"/>
    <n v="40.18"/>
    <n v="25.88"/>
    <n v="-4.87"/>
    <n v="20"/>
    <s v="High"/>
    <s v="Low Stock"/>
    <s v="Restock"/>
    <s v="Gujarat"/>
  </r>
  <r>
    <x v="1"/>
    <x v="10"/>
    <s v="Organic Dairy"/>
    <s v="Curd"/>
    <n v="216"/>
    <n v="323"/>
    <n v="312"/>
    <n v="69.77"/>
    <n v="67.39"/>
    <n v="2.38"/>
    <n v="6.23"/>
    <n v="50"/>
    <s v="High"/>
    <s v="Low Stock"/>
    <s v="Restock"/>
    <s v="Rajasthan"/>
  </r>
  <r>
    <x v="1"/>
    <x v="2"/>
    <s v="Organic Oils"/>
    <s v="Groundnut Oil"/>
    <n v="465"/>
    <n v="79"/>
    <n v="62"/>
    <n v="36.729999999999997"/>
    <n v="28.83"/>
    <n v="7.91"/>
    <n v="-5.41"/>
    <n v="186"/>
    <s v="High"/>
    <s v="None"/>
    <s v="Maintain"/>
    <s v="Karnataka"/>
  </r>
  <r>
    <x v="2"/>
    <x v="7"/>
    <s v="Organic Oils"/>
    <s v="Coconut Oil"/>
    <n v="315"/>
    <n v="120"/>
    <n v="89"/>
    <n v="37.799999999999997"/>
    <n v="28.04"/>
    <n v="9.76"/>
    <n v="9.33"/>
    <n v="216"/>
    <s v="High"/>
    <s v="Low Stock"/>
    <s v="Restock"/>
    <s v="Rajasthan"/>
  </r>
  <r>
    <x v="0"/>
    <x v="5"/>
    <s v="Organic Oils"/>
    <s v="Sunflower Oil"/>
    <n v="367"/>
    <n v="180"/>
    <n v="44"/>
    <n v="66.06"/>
    <n v="16.149999999999999"/>
    <n v="49.91"/>
    <n v="3.51"/>
    <n v="86"/>
    <s v="Low"/>
    <s v="Supply Delay"/>
    <s v="Find Alternate Supplier"/>
    <s v="Karnataka"/>
  </r>
  <r>
    <x v="0"/>
    <x v="3"/>
    <s v="Organic Oils"/>
    <s v="Sunflower Oil"/>
    <n v="348"/>
    <n v="425"/>
    <n v="138"/>
    <n v="147.9"/>
    <n v="48.02"/>
    <n v="99.88"/>
    <n v="11.19"/>
    <n v="238"/>
    <s v="Low"/>
    <s v="High Demand"/>
    <s v="Increase Stock"/>
    <s v="Delhi"/>
  </r>
  <r>
    <x v="2"/>
    <x v="2"/>
    <s v="Organic Dairy"/>
    <s v="Paneer"/>
    <n v="380"/>
    <n v="478"/>
    <n v="168"/>
    <n v="181.64"/>
    <n v="63.84"/>
    <n v="117.8"/>
    <n v="12"/>
    <n v="142"/>
    <s v="High"/>
    <s v="Supply Delay"/>
    <s v="Find Alternate Supplier"/>
    <s v="Karnataka"/>
  </r>
  <r>
    <x v="2"/>
    <x v="2"/>
    <s v="Organic Grocery"/>
    <s v="Dals"/>
    <n v="357"/>
    <n v="365"/>
    <n v="130"/>
    <n v="130.31"/>
    <n v="46.41"/>
    <n v="83.9"/>
    <n v="-2.94"/>
    <n v="278"/>
    <s v="High"/>
    <s v="Supply Delay"/>
    <s v="Find Alternate Supplier"/>
    <s v="Tamil Nadu"/>
  </r>
  <r>
    <x v="2"/>
    <x v="2"/>
    <s v="Organic Oils"/>
    <s v="Coconut Oil"/>
    <n v="432"/>
    <n v="370"/>
    <n v="120"/>
    <n v="159.84"/>
    <n v="51.84"/>
    <n v="108"/>
    <n v="19.41"/>
    <n v="205"/>
    <s v="Low"/>
    <s v="Low Stock"/>
    <s v="Restock"/>
    <s v="Maharashtra"/>
  </r>
  <r>
    <x v="0"/>
    <x v="11"/>
    <s v="Organic Oils"/>
    <s v="Groundnut Oil"/>
    <n v="319"/>
    <n v="156"/>
    <n v="40"/>
    <n v="49.76"/>
    <n v="12.76"/>
    <n v="37"/>
    <n v="-8.41"/>
    <n v="263"/>
    <s v="Medium"/>
    <s v="Low Stock"/>
    <s v="Restock"/>
    <s v="Rajasthan"/>
  </r>
  <r>
    <x v="2"/>
    <x v="7"/>
    <s v="Organic Grocery"/>
    <s v="Dals"/>
    <n v="233"/>
    <n v="75"/>
    <n v="62"/>
    <n v="17.48"/>
    <n v="14.45"/>
    <n v="3.03"/>
    <n v="0.62"/>
    <n v="60"/>
    <s v="Medium"/>
    <s v="Supply Delay"/>
    <s v="Find Alternate Supplier"/>
    <s v="Gujarat"/>
  </r>
  <r>
    <x v="0"/>
    <x v="10"/>
    <s v="Organic Oils"/>
    <s v="Coconut Oil"/>
    <n v="362"/>
    <n v="451"/>
    <n v="200"/>
    <n v="163.26"/>
    <n v="72.400000000000006"/>
    <n v="90.86"/>
    <n v="-5.65"/>
    <n v="139"/>
    <s v="High"/>
    <s v="None"/>
    <s v="Maintain"/>
    <s v="Karnataka"/>
  </r>
  <r>
    <x v="1"/>
    <x v="5"/>
    <s v="Organic Spices"/>
    <s v="Turmeric Powder"/>
    <n v="166"/>
    <n v="60"/>
    <n v="49"/>
    <n v="9.9600000000000009"/>
    <n v="8.1300000000000008"/>
    <n v="1.83"/>
    <n v="20.11"/>
    <n v="169"/>
    <s v="Medium"/>
    <s v="Supply Delay"/>
    <s v="Find Alternate Supplier"/>
    <s v="Tamil Nadu"/>
  </r>
  <r>
    <x v="2"/>
    <x v="7"/>
    <s v="Organic Oils"/>
    <s v="Sunflower Oil"/>
    <n v="425"/>
    <n v="390"/>
    <n v="254"/>
    <n v="165.75"/>
    <n v="107.95"/>
    <n v="57.8"/>
    <n v="-6.94"/>
    <n v="172"/>
    <s v="High"/>
    <s v="High Demand"/>
    <s v="Increase Stock"/>
    <s v="Maharashtra"/>
  </r>
  <r>
    <x v="2"/>
    <x v="5"/>
    <s v="Organic Dairy"/>
    <s v="Ghee"/>
    <n v="131"/>
    <n v="343"/>
    <n v="154"/>
    <n v="44.93"/>
    <n v="20.170000000000002"/>
    <n v="24.76"/>
    <n v="23.69"/>
    <n v="224"/>
    <s v="Low"/>
    <s v="High Demand"/>
    <s v="Increase Stock"/>
    <s v="Delhi"/>
  </r>
  <r>
    <x v="1"/>
    <x v="6"/>
    <s v="Organic Dairy"/>
    <s v="Curd"/>
    <n v="479"/>
    <n v="206"/>
    <n v="124"/>
    <n v="98.67"/>
    <n v="59.4"/>
    <n v="39.28"/>
    <n v="22.7"/>
    <n v="234"/>
    <s v="Low"/>
    <s v="Supply Delay"/>
    <s v="Find Alternate Supplier"/>
    <s v="Tamil Nadu"/>
  </r>
  <r>
    <x v="1"/>
    <x v="9"/>
    <s v="Organic Dairy"/>
    <s v="Curd"/>
    <n v="238"/>
    <n v="330"/>
    <n v="59"/>
    <n v="78.540000000000006"/>
    <n v="14.04"/>
    <n v="64.5"/>
    <n v="4.63"/>
    <n v="148"/>
    <s v="Medium"/>
    <s v="High Demand"/>
    <s v="Increase Stock"/>
    <s v="Delhi"/>
  </r>
  <r>
    <x v="2"/>
    <x v="10"/>
    <s v="Organic Spices"/>
    <s v="Black Pepper"/>
    <n v="450"/>
    <n v="82"/>
    <n v="33"/>
    <n v="36.9"/>
    <n v="14.85"/>
    <n v="22.05"/>
    <n v="13.47"/>
    <n v="127"/>
    <s v="Low"/>
    <s v="High Demand"/>
    <s v="Increase Stock"/>
    <s v="Tamil Nadu"/>
  </r>
  <r>
    <x v="2"/>
    <x v="7"/>
    <s v="Organic Superfoods"/>
    <s v="Chia Seeds"/>
    <n v="159"/>
    <n v="181"/>
    <n v="98"/>
    <n v="28.78"/>
    <n v="15.58"/>
    <n v="13.2"/>
    <n v="5.97"/>
    <n v="190"/>
    <s v="Medium"/>
    <s v="Supply Delay"/>
    <s v="Find Alternate Supplier"/>
    <s v="Delhi"/>
  </r>
  <r>
    <x v="2"/>
    <x v="8"/>
    <s v="Organic Grocery"/>
    <s v="Pulses"/>
    <n v="381"/>
    <n v="338"/>
    <n v="310"/>
    <n v="128.78"/>
    <n v="118.11"/>
    <n v="10.67"/>
    <n v="19.39"/>
    <n v="135"/>
    <s v="Low"/>
    <s v="Supply Delay"/>
    <s v="Find Alternate Supplier"/>
    <s v="Gujarat"/>
  </r>
  <r>
    <x v="2"/>
    <x v="10"/>
    <s v="Organic Oils"/>
    <s v="Coconut Oil"/>
    <n v="61"/>
    <n v="291"/>
    <n v="173"/>
    <n v="17.75"/>
    <n v="10.55"/>
    <n v="7.2"/>
    <n v="-4.29"/>
    <n v="111"/>
    <s v="Medium"/>
    <s v="Supply Delay"/>
    <s v="Find Alternate Supplier"/>
    <s v="Karnataka"/>
  </r>
  <r>
    <x v="0"/>
    <x v="2"/>
    <s v="Organic Dairy"/>
    <s v="Ghee"/>
    <n v="499"/>
    <n v="334"/>
    <n v="93"/>
    <n v="166.67"/>
    <n v="46.41"/>
    <n v="120.26"/>
    <n v="-3.23"/>
    <n v="243"/>
    <s v="Medium"/>
    <s v="None"/>
    <s v="Maintain"/>
    <s v="Maharashtra"/>
  </r>
  <r>
    <x v="0"/>
    <x v="6"/>
    <s v="Organic Oils"/>
    <s v="Groundnut Oil"/>
    <n v="85"/>
    <n v="366"/>
    <n v="168"/>
    <n v="31.11"/>
    <n v="14.28"/>
    <n v="16.829999999999998"/>
    <n v="9.3000000000000007"/>
    <n v="174"/>
    <s v="Medium"/>
    <s v="None"/>
    <s v="Maintain"/>
    <s v="Delhi"/>
  </r>
  <r>
    <x v="0"/>
    <x v="10"/>
    <s v="Organic Grocery"/>
    <s v="Pulses"/>
    <n v="389"/>
    <n v="174"/>
    <n v="134"/>
    <n v="67.69"/>
    <n v="52.13"/>
    <n v="15.56"/>
    <n v="11.56"/>
    <n v="161"/>
    <s v="High"/>
    <s v="Supply Delay"/>
    <s v="Find Alternate Supplier"/>
    <s v="Maharashtra"/>
  </r>
  <r>
    <x v="0"/>
    <x v="6"/>
    <s v="Organic Grocery"/>
    <s v="Rice"/>
    <n v="446"/>
    <n v="314"/>
    <n v="286"/>
    <n v="140.04"/>
    <n v="127.56"/>
    <n v="12.49"/>
    <n v="-5.55"/>
    <n v="239"/>
    <s v="Low"/>
    <s v="Supply Delay"/>
    <s v="Find Alternate Supplier"/>
    <s v="Gujarat"/>
  </r>
  <r>
    <x v="2"/>
    <x v="2"/>
    <s v="Organic Dairy"/>
    <s v="Milk"/>
    <n v="247"/>
    <n v="483"/>
    <n v="390"/>
    <n v="119.3"/>
    <n v="96.33"/>
    <n v="22.97"/>
    <n v="10.46"/>
    <n v="239"/>
    <s v="High"/>
    <s v="Low Stock"/>
    <s v="Restock"/>
    <s v="Gujarat"/>
  </r>
  <r>
    <x v="0"/>
    <x v="5"/>
    <s v="Organic Superfoods"/>
    <s v="Ashwagandha"/>
    <n v="280"/>
    <n v="210"/>
    <n v="159"/>
    <n v="58.8"/>
    <n v="44.52"/>
    <n v="14.28"/>
    <n v="16.440000000000001"/>
    <n v="261"/>
    <s v="Low"/>
    <s v="None"/>
    <s v="Maintain"/>
    <s v="Gujarat"/>
  </r>
  <r>
    <x v="0"/>
    <x v="2"/>
    <s v="Organic Dairy"/>
    <s v="Curd"/>
    <n v="229"/>
    <n v="323"/>
    <n v="179"/>
    <n v="73.97"/>
    <n v="40.99"/>
    <n v="32.979999999999997"/>
    <n v="2.72"/>
    <n v="127"/>
    <s v="Medium"/>
    <s v="Low Stock"/>
    <s v="Restock"/>
    <s v="Karnataka"/>
  </r>
  <r>
    <x v="0"/>
    <x v="4"/>
    <s v="Organic Superfoods"/>
    <s v="Amla Powder"/>
    <n v="285"/>
    <n v="60"/>
    <n v="34"/>
    <n v="17.100000000000001"/>
    <n v="9.69"/>
    <n v="7.41"/>
    <n v="16.45"/>
    <n v="114"/>
    <s v="Medium"/>
    <s v="None"/>
    <s v="Maintain"/>
    <s v="Gujarat"/>
  </r>
  <r>
    <x v="1"/>
    <x v="4"/>
    <s v="Organic Spices"/>
    <s v="Black Pepper"/>
    <n v="398"/>
    <n v="61"/>
    <n v="40"/>
    <n v="24.28"/>
    <n v="15.92"/>
    <n v="8.36"/>
    <n v="-0.51"/>
    <n v="167"/>
    <s v="Medium"/>
    <s v="Supply Delay"/>
    <s v="Find Alternate Supplier"/>
    <s v="Delhi"/>
  </r>
  <r>
    <x v="2"/>
    <x v="11"/>
    <s v="Organic Spices"/>
    <s v="Turmeric Powder"/>
    <n v="430"/>
    <n v="215"/>
    <n v="171"/>
    <n v="92.45"/>
    <n v="73.53"/>
    <n v="18.920000000000002"/>
    <n v="13.16"/>
    <n v="276"/>
    <s v="Medium"/>
    <s v="Low Stock"/>
    <s v="Restock"/>
    <s v="Gujarat"/>
  </r>
  <r>
    <x v="1"/>
    <x v="6"/>
    <s v="Organic Dairy"/>
    <s v="Milk"/>
    <n v="368"/>
    <n v="490"/>
    <n v="145"/>
    <n v="180.32"/>
    <n v="53.36"/>
    <n v="126.96"/>
    <n v="24.63"/>
    <n v="62"/>
    <s v="Low"/>
    <s v="High Demand"/>
    <s v="Increase Stock"/>
    <s v="Maharashtra"/>
  </r>
  <r>
    <x v="2"/>
    <x v="5"/>
    <s v="Organic Dairy"/>
    <s v="Milk"/>
    <n v="122"/>
    <n v="260"/>
    <n v="139"/>
    <n v="31.72"/>
    <n v="16.96"/>
    <n v="14.76"/>
    <n v="-5.55"/>
    <n v="227"/>
    <s v="Medium"/>
    <s v="None"/>
    <s v="Maintain"/>
    <s v="Tamil Nadu"/>
  </r>
  <r>
    <x v="0"/>
    <x v="9"/>
    <s v="Organic Superfoods"/>
    <s v="Ashwagandha"/>
    <n v="51"/>
    <n v="146"/>
    <n v="97"/>
    <n v="7.45"/>
    <n v="4.95"/>
    <n v="2.5"/>
    <n v="-9.51"/>
    <n v="266"/>
    <s v="Low"/>
    <s v="Low Stock"/>
    <s v="Restock"/>
    <s v="Delhi"/>
  </r>
  <r>
    <x v="0"/>
    <x v="6"/>
    <s v="Organic Grocery"/>
    <s v="Dals"/>
    <n v="397"/>
    <n v="141"/>
    <n v="93"/>
    <n v="55.98"/>
    <n v="36.92"/>
    <n v="19.059999999999999"/>
    <n v="-4.68"/>
    <n v="264"/>
    <s v="Low"/>
    <s v="Low Stock"/>
    <s v="Restock"/>
    <s v="Maharashtra"/>
  </r>
  <r>
    <x v="1"/>
    <x v="6"/>
    <s v="Organic Oils"/>
    <s v="Sunflower Oil"/>
    <n v="266"/>
    <n v="240"/>
    <n v="100"/>
    <n v="63.84"/>
    <n v="26.6"/>
    <n v="37.24"/>
    <n v="23.33"/>
    <n v="213"/>
    <s v="High"/>
    <s v="High Demand"/>
    <s v="Increase Stock"/>
    <s v="Tamil Nadu"/>
  </r>
  <r>
    <x v="0"/>
    <x v="3"/>
    <s v="Organic Dairy"/>
    <s v="Paneer"/>
    <n v="213"/>
    <n v="260"/>
    <n v="217"/>
    <n v="55.38"/>
    <n v="46.22"/>
    <n v="9.16"/>
    <n v="15.22"/>
    <n v="104"/>
    <s v="Low"/>
    <s v="Supply Delay"/>
    <s v="Find Alternate Supplier"/>
    <s v="Karnataka"/>
  </r>
  <r>
    <x v="0"/>
    <x v="1"/>
    <s v="Organic Spices"/>
    <s v="Red Chilli Powder"/>
    <n v="197"/>
    <n v="242"/>
    <n v="35"/>
    <n v="47.67"/>
    <n v="6.89"/>
    <n v="40.78"/>
    <n v="23.53"/>
    <n v="232"/>
    <s v="High"/>
    <s v="None"/>
    <s v="Maintain"/>
    <s v="Tamil Nadu"/>
  </r>
  <r>
    <x v="1"/>
    <x v="7"/>
    <s v="Organic Oils"/>
    <s v="Sunflower Oil"/>
    <n v="467"/>
    <n v="489"/>
    <n v="388"/>
    <n v="228.36"/>
    <n v="181.2"/>
    <n v="47.17"/>
    <n v="-0.72"/>
    <n v="36"/>
    <s v="Medium"/>
    <s v="Low Stock"/>
    <s v="Restock"/>
    <s v="Gujarat"/>
  </r>
  <r>
    <x v="1"/>
    <x v="4"/>
    <s v="Organic Superfoods"/>
    <s v="Amla Powder"/>
    <n v="321"/>
    <n v="143"/>
    <n v="102"/>
    <n v="45.9"/>
    <n v="32.74"/>
    <n v="13.16"/>
    <n v="-2.85"/>
    <n v="283"/>
    <s v="Medium"/>
    <s v="High Demand"/>
    <s v="Increase Stock"/>
    <s v="Maharashtra"/>
  </r>
  <r>
    <x v="1"/>
    <x v="10"/>
    <s v="Organic Superfoods"/>
    <s v="Amla Powder"/>
    <n v="184"/>
    <n v="415"/>
    <n v="394"/>
    <n v="76.36"/>
    <n v="72.5"/>
    <n v="3.86"/>
    <n v="12.78"/>
    <n v="111"/>
    <s v="Low"/>
    <s v="Low Stock"/>
    <s v="Restock"/>
    <s v="Maharashtra"/>
  </r>
  <r>
    <x v="2"/>
    <x v="2"/>
    <s v="Organic Superfoods"/>
    <s v="Chia Seeds"/>
    <n v="346"/>
    <n v="168"/>
    <n v="107"/>
    <n v="58.13"/>
    <n v="37.020000000000003"/>
    <n v="21.11"/>
    <n v="-3.83"/>
    <n v="96"/>
    <s v="Medium"/>
    <s v="None"/>
    <s v="Maintain"/>
    <s v="Gujarat"/>
  </r>
  <r>
    <x v="0"/>
    <x v="1"/>
    <s v="Organic Spices"/>
    <s v="Black Pepper"/>
    <n v="147"/>
    <n v="191"/>
    <n v="34"/>
    <n v="28.08"/>
    <n v="5"/>
    <n v="23.08"/>
    <n v="-3.88"/>
    <n v="40"/>
    <s v="Medium"/>
    <s v="None"/>
    <s v="Maintain"/>
    <s v="Tamil Nadu"/>
  </r>
  <r>
    <x v="2"/>
    <x v="5"/>
    <s v="Organic Oils"/>
    <s v="Sunflower Oil"/>
    <n v="470"/>
    <n v="111"/>
    <n v="59"/>
    <n v="52.17"/>
    <n v="27.73"/>
    <n v="24.44"/>
    <n v="8.92"/>
    <n v="264"/>
    <s v="Low"/>
    <s v="Supply Delay"/>
    <s v="Find Alternate Supplier"/>
    <s v="Gujarat"/>
  </r>
  <r>
    <x v="2"/>
    <x v="7"/>
    <s v="Organic Grocery"/>
    <s v="Rice"/>
    <n v="378"/>
    <n v="288"/>
    <n v="278"/>
    <n v="108.86"/>
    <n v="105.08"/>
    <n v="3.78"/>
    <n v="24.06"/>
    <n v="69"/>
    <s v="High"/>
    <s v="None"/>
    <s v="Maintain"/>
    <s v="Delhi"/>
  </r>
  <r>
    <x v="0"/>
    <x v="5"/>
    <s v="Organic Oils"/>
    <s v="Coconut Oil"/>
    <n v="139"/>
    <n v="232"/>
    <n v="148"/>
    <n v="32.25"/>
    <n v="20.57"/>
    <n v="11.68"/>
    <n v="17.350000000000001"/>
    <n v="69"/>
    <s v="High"/>
    <s v="Supply Delay"/>
    <s v="Find Alternate Supplier"/>
    <s v="Rajasthan"/>
  </r>
  <r>
    <x v="0"/>
    <x v="10"/>
    <s v="Organic Dairy"/>
    <s v="Curd"/>
    <n v="207"/>
    <n v="407"/>
    <n v="326"/>
    <n v="84.25"/>
    <n v="67.48"/>
    <n v="16.77"/>
    <n v="3.67"/>
    <n v="211"/>
    <s v="High"/>
    <s v="None"/>
    <s v="Maintain"/>
    <s v="Gujarat"/>
  </r>
  <r>
    <x v="2"/>
    <x v="7"/>
    <s v="Organic Dairy"/>
    <s v="Paneer"/>
    <n v="470"/>
    <n v="106"/>
    <n v="40"/>
    <n v="49.82"/>
    <n v="18.8"/>
    <n v="31.02"/>
    <n v="19.62"/>
    <n v="147"/>
    <s v="High"/>
    <s v="High Demand"/>
    <s v="Increase Stock"/>
    <s v="Gujarat"/>
  </r>
  <r>
    <x v="2"/>
    <x v="9"/>
    <s v="Organic Dairy"/>
    <s v="Paneer"/>
    <n v="325"/>
    <n v="270"/>
    <n v="176"/>
    <n v="87.75"/>
    <n v="57.2"/>
    <n v="30.55"/>
    <n v="1.49"/>
    <n v="222"/>
    <s v="Medium"/>
    <s v="Supply Delay"/>
    <s v="Find Alternate Supplier"/>
    <s v="Delhi"/>
  </r>
  <r>
    <x v="2"/>
    <x v="1"/>
    <s v="Organic Grocery"/>
    <s v="Wheat Flour"/>
    <n v="233"/>
    <n v="94"/>
    <n v="40"/>
    <n v="21.9"/>
    <n v="9.32"/>
    <n v="12.58"/>
    <n v="4.7699999999999996"/>
    <n v="80"/>
    <s v="Low"/>
    <s v="None"/>
    <s v="Maintain"/>
    <s v="Rajasthan"/>
  </r>
  <r>
    <x v="2"/>
    <x v="7"/>
    <s v="Organic Oils"/>
    <s v="Coconut Oil"/>
    <n v="395"/>
    <n v="436"/>
    <n v="255"/>
    <n v="172.22"/>
    <n v="100.72"/>
    <n v="71.5"/>
    <n v="17.91"/>
    <n v="210"/>
    <s v="Medium"/>
    <s v="Low Stock"/>
    <s v="Restock"/>
    <s v="Tamil Nadu"/>
  </r>
  <r>
    <x v="2"/>
    <x v="2"/>
    <s v="Organic Grocery"/>
    <s v="Wheat Flour"/>
    <n v="118"/>
    <n v="262"/>
    <n v="202"/>
    <n v="30.92"/>
    <n v="23.84"/>
    <n v="7.08"/>
    <n v="9.58"/>
    <n v="204"/>
    <s v="High"/>
    <s v="High Demand"/>
    <s v="Increase Stock"/>
    <s v="Maharashtra"/>
  </r>
  <r>
    <x v="0"/>
    <x v="8"/>
    <s v="Organic Grocery"/>
    <s v="Pulses"/>
    <n v="212"/>
    <n v="320"/>
    <n v="35"/>
    <n v="67.84"/>
    <n v="7.42"/>
    <n v="60.42"/>
    <n v="10.02"/>
    <n v="285"/>
    <s v="Low"/>
    <s v="High Demand"/>
    <s v="Increase Stock"/>
    <s v="Karnataka"/>
  </r>
  <r>
    <x v="2"/>
    <x v="6"/>
    <s v="Organic Spices"/>
    <s v="Black Pepper"/>
    <n v="245"/>
    <n v="412"/>
    <n v="192"/>
    <n v="100.94"/>
    <n v="47.04"/>
    <n v="53.9"/>
    <n v="12.03"/>
    <n v="287"/>
    <s v="Low"/>
    <s v="High Demand"/>
    <s v="Increase Stock"/>
    <s v="Delhi"/>
  </r>
  <r>
    <x v="0"/>
    <x v="7"/>
    <s v="Organic Oils"/>
    <s v="Coconut Oil"/>
    <n v="315"/>
    <n v="253"/>
    <n v="230"/>
    <n v="79.69"/>
    <n v="72.45"/>
    <n v="7.24"/>
    <n v="-9.39"/>
    <n v="233"/>
    <s v="Medium"/>
    <s v="None"/>
    <s v="Maintain"/>
    <s v="Tamil Nadu"/>
  </r>
  <r>
    <x v="2"/>
    <x v="9"/>
    <s v="Organic Oils"/>
    <s v="Sunflower Oil"/>
    <n v="397"/>
    <n v="347"/>
    <n v="50"/>
    <n v="137.76"/>
    <n v="19.850000000000001"/>
    <n v="117.91"/>
    <n v="-9.24"/>
    <n v="226"/>
    <s v="Low"/>
    <s v="None"/>
    <s v="Maintain"/>
    <s v="Delhi"/>
  </r>
  <r>
    <x v="2"/>
    <x v="9"/>
    <s v="Organic Dairy"/>
    <s v="Ghee"/>
    <n v="395"/>
    <n v="329"/>
    <n v="72"/>
    <n v="129.96"/>
    <n v="28.44"/>
    <n v="101.52"/>
    <n v="10.97"/>
    <n v="195"/>
    <s v="High"/>
    <s v="Low Stock"/>
    <s v="Restock"/>
    <s v="Karnataka"/>
  </r>
  <r>
    <x v="0"/>
    <x v="5"/>
    <s v="Organic Spices"/>
    <s v="Red Chilli Powder"/>
    <n v="112"/>
    <n v="122"/>
    <n v="104"/>
    <n v="13.66"/>
    <n v="11.65"/>
    <n v="2.02"/>
    <n v="20.190000000000001"/>
    <n v="127"/>
    <s v="High"/>
    <s v="None"/>
    <s v="Maintain"/>
    <s v="Delhi"/>
  </r>
  <r>
    <x v="1"/>
    <x v="4"/>
    <s v="Organic Spices"/>
    <s v="Red Chilli Powder"/>
    <n v="144"/>
    <n v="56"/>
    <n v="41"/>
    <n v="8.06"/>
    <n v="5.9"/>
    <n v="2.16"/>
    <n v="-8.74"/>
    <n v="109"/>
    <s v="High"/>
    <s v="None"/>
    <s v="Maintain"/>
    <s v="Delhi"/>
  </r>
  <r>
    <x v="1"/>
    <x v="4"/>
    <s v="Organic Dairy"/>
    <s v="Ghee"/>
    <n v="431"/>
    <n v="109"/>
    <n v="88"/>
    <n v="46.98"/>
    <n v="37.93"/>
    <n v="9.0500000000000007"/>
    <n v="3.37"/>
    <n v="91"/>
    <s v="Medium"/>
    <s v="None"/>
    <s v="Maintain"/>
    <s v="Gujarat"/>
  </r>
  <r>
    <x v="2"/>
    <x v="7"/>
    <s v="Organic Superfoods"/>
    <s v="Amla Powder"/>
    <n v="273"/>
    <n v="317"/>
    <n v="306"/>
    <n v="86.54"/>
    <n v="83.54"/>
    <n v="3"/>
    <n v="13.2"/>
    <n v="67"/>
    <s v="Medium"/>
    <s v="High Demand"/>
    <s v="Increase Stock"/>
    <s v="Gujarat"/>
  </r>
  <r>
    <x v="0"/>
    <x v="9"/>
    <s v="Organic Superfoods"/>
    <s v="Chia Seeds"/>
    <n v="244"/>
    <n v="381"/>
    <n v="38"/>
    <n v="92.96"/>
    <n v="9.27"/>
    <n v="83.69"/>
    <n v="7.38"/>
    <n v="272"/>
    <s v="High"/>
    <s v="None"/>
    <s v="Maintain"/>
    <s v="Rajasthan"/>
  </r>
  <r>
    <x v="0"/>
    <x v="3"/>
    <s v="Organic Dairy"/>
    <s v="Ghee"/>
    <n v="159"/>
    <n v="83"/>
    <n v="51"/>
    <n v="13.2"/>
    <n v="8.11"/>
    <n v="5.09"/>
    <n v="-4.9800000000000004"/>
    <n v="221"/>
    <s v="Medium"/>
    <s v="High Demand"/>
    <s v="Increase Stock"/>
    <s v="Delhi"/>
  </r>
  <r>
    <x v="0"/>
    <x v="5"/>
    <s v="Organic Dairy"/>
    <s v="Milk"/>
    <n v="336"/>
    <n v="192"/>
    <n v="31"/>
    <n v="64.510000000000005"/>
    <n v="10.42"/>
    <n v="54.1"/>
    <n v="7.69"/>
    <n v="207"/>
    <s v="Low"/>
    <s v="Supply Delay"/>
    <s v="Find Alternate Supplier"/>
    <s v="Maharashtra"/>
  </r>
  <r>
    <x v="1"/>
    <x v="5"/>
    <s v="Organic Spices"/>
    <s v="Red Chilli Powder"/>
    <n v="99"/>
    <n v="499"/>
    <n v="401"/>
    <n v="49.4"/>
    <n v="39.700000000000003"/>
    <n v="9.6999999999999993"/>
    <n v="-6.55"/>
    <n v="204"/>
    <s v="Low"/>
    <s v="None"/>
    <s v="Maintain"/>
    <s v="Karnataka"/>
  </r>
  <r>
    <x v="0"/>
    <x v="2"/>
    <s v="Organic Dairy"/>
    <s v="Paneer"/>
    <n v="264"/>
    <n v="182"/>
    <n v="144"/>
    <n v="48.05"/>
    <n v="38.020000000000003"/>
    <n v="10.029999999999999"/>
    <n v="5.83"/>
    <n v="53"/>
    <s v="High"/>
    <s v="None"/>
    <s v="Maintain"/>
    <s v="Karnataka"/>
  </r>
  <r>
    <x v="2"/>
    <x v="1"/>
    <s v="Organic Dairy"/>
    <s v="Paneer"/>
    <n v="155"/>
    <n v="96"/>
    <n v="53"/>
    <n v="14.88"/>
    <n v="8.2100000000000009"/>
    <n v="6.67"/>
    <n v="0.95"/>
    <n v="280"/>
    <s v="Low"/>
    <s v="Low Stock"/>
    <s v="Restock"/>
    <s v="Karnataka"/>
  </r>
  <r>
    <x v="0"/>
    <x v="1"/>
    <s v="Organic Dairy"/>
    <s v="Milk"/>
    <n v="273"/>
    <n v="174"/>
    <n v="34"/>
    <n v="47.5"/>
    <n v="9.2799999999999994"/>
    <n v="38.22"/>
    <n v="22.43"/>
    <n v="230"/>
    <s v="Medium"/>
    <s v="None"/>
    <s v="Maintain"/>
    <s v="Karnataka"/>
  </r>
  <r>
    <x v="0"/>
    <x v="10"/>
    <s v="Organic Dairy"/>
    <s v="Ghee"/>
    <n v="266"/>
    <n v="347"/>
    <n v="77"/>
    <n v="92.3"/>
    <n v="20.48"/>
    <n v="71.819999999999993"/>
    <n v="-3.97"/>
    <n v="29"/>
    <s v="Medium"/>
    <s v="None"/>
    <s v="Maintain"/>
    <s v="Karnataka"/>
  </r>
  <r>
    <x v="1"/>
    <x v="11"/>
    <s v="Organic Superfoods"/>
    <s v="Amla Powder"/>
    <n v="109"/>
    <n v="274"/>
    <n v="56"/>
    <n v="29.87"/>
    <n v="6.1"/>
    <n v="23.76"/>
    <n v="20.16"/>
    <n v="68"/>
    <s v="Low"/>
    <s v="Supply Delay"/>
    <s v="Find Alternate Supplier"/>
    <s v="Rajasthan"/>
  </r>
  <r>
    <x v="0"/>
    <x v="11"/>
    <s v="Organic Grocery"/>
    <s v="Dals"/>
    <n v="371"/>
    <n v="490"/>
    <n v="251"/>
    <n v="181.79"/>
    <n v="93.12"/>
    <n v="88.67"/>
    <n v="4.29"/>
    <n v="203"/>
    <s v="Medium"/>
    <s v="Low Stock"/>
    <s v="Restock"/>
    <s v="Delhi"/>
  </r>
  <r>
    <x v="0"/>
    <x v="11"/>
    <s v="Organic Oils"/>
    <s v="Groundnut Oil"/>
    <n v="440"/>
    <n v="462"/>
    <n v="446"/>
    <n v="203.28"/>
    <n v="196.24"/>
    <n v="7.04"/>
    <n v="4.75"/>
    <n v="148"/>
    <s v="Medium"/>
    <s v="None"/>
    <s v="Maintain"/>
    <s v="Delhi"/>
  </r>
  <r>
    <x v="2"/>
    <x v="11"/>
    <s v="Organic Spices"/>
    <s v="Turmeric Powder"/>
    <n v="91"/>
    <n v="107"/>
    <n v="43"/>
    <n v="9.74"/>
    <n v="3.91"/>
    <n v="5.82"/>
    <n v="4.82"/>
    <n v="220"/>
    <s v="High"/>
    <s v="High Demand"/>
    <s v="Increase Stock"/>
    <s v="Karnataka"/>
  </r>
  <r>
    <x v="0"/>
    <x v="9"/>
    <s v="Organic Dairy"/>
    <s v="Milk"/>
    <n v="78"/>
    <n v="468"/>
    <n v="276"/>
    <n v="36.5"/>
    <n v="21.53"/>
    <n v="14.98"/>
    <n v="-3.64"/>
    <n v="290"/>
    <s v="High"/>
    <s v="High Demand"/>
    <s v="Increase Stock"/>
    <s v="Gujarat"/>
  </r>
  <r>
    <x v="2"/>
    <x v="0"/>
    <s v="Organic Superfoods"/>
    <s v="Chia Seeds"/>
    <n v="330"/>
    <n v="374"/>
    <n v="296"/>
    <n v="123.42"/>
    <n v="97.68"/>
    <n v="25.74"/>
    <n v="13.61"/>
    <n v="126"/>
    <s v="Medium"/>
    <s v="High Demand"/>
    <s v="Increase Stock"/>
    <s v="Gujarat"/>
  </r>
  <r>
    <x v="0"/>
    <x v="0"/>
    <s v="Organic Grocery"/>
    <s v="Rice"/>
    <n v="263"/>
    <n v="394"/>
    <n v="101"/>
    <n v="103.62"/>
    <n v="26.56"/>
    <n v="77.06"/>
    <n v="6.72"/>
    <n v="85"/>
    <s v="High"/>
    <s v="None"/>
    <s v="Maintain"/>
    <s v="Rajasthan"/>
  </r>
  <r>
    <x v="2"/>
    <x v="1"/>
    <s v="Organic Oils"/>
    <s v="Groundnut Oil"/>
    <n v="438"/>
    <n v="335"/>
    <n v="174"/>
    <n v="146.72999999999999"/>
    <n v="76.209999999999994"/>
    <n v="70.52"/>
    <n v="3.36"/>
    <n v="43"/>
    <s v="High"/>
    <s v="None"/>
    <s v="Maintain"/>
    <s v="Tamil Nadu"/>
  </r>
  <r>
    <x v="2"/>
    <x v="9"/>
    <s v="Organic Dairy"/>
    <s v="Curd"/>
    <n v="393"/>
    <n v="83"/>
    <n v="38"/>
    <n v="32.619999999999997"/>
    <n v="14.93"/>
    <n v="17.690000000000001"/>
    <n v="-3.89"/>
    <n v="168"/>
    <s v="Medium"/>
    <s v="High Demand"/>
    <s v="Increase Stock"/>
    <s v="Gujarat"/>
  </r>
  <r>
    <x v="0"/>
    <x v="6"/>
    <s v="Organic Spices"/>
    <s v="Red Chilli Powder"/>
    <n v="93"/>
    <n v="373"/>
    <n v="252"/>
    <n v="34.69"/>
    <n v="23.44"/>
    <n v="11.25"/>
    <n v="20.25"/>
    <n v="163"/>
    <s v="High"/>
    <s v="None"/>
    <s v="Maintain"/>
    <s v="Tamil Nadu"/>
  </r>
  <r>
    <x v="1"/>
    <x v="2"/>
    <s v="Organic Spices"/>
    <s v="Red Chilli Powder"/>
    <n v="337"/>
    <n v="136"/>
    <n v="109"/>
    <n v="45.83"/>
    <n v="36.729999999999997"/>
    <n v="9.1"/>
    <n v="17.04"/>
    <n v="43"/>
    <s v="Medium"/>
    <s v="None"/>
    <s v="Maintain"/>
    <s v="Tamil Nadu"/>
  </r>
  <r>
    <x v="2"/>
    <x v="9"/>
    <s v="Organic Oils"/>
    <s v="Groundnut Oil"/>
    <n v="284"/>
    <n v="72"/>
    <n v="47"/>
    <n v="20.45"/>
    <n v="13.35"/>
    <n v="7.1"/>
    <n v="11.84"/>
    <n v="240"/>
    <s v="High"/>
    <s v="High Demand"/>
    <s v="Increase Stock"/>
    <s v="Delhi"/>
  </r>
  <r>
    <x v="1"/>
    <x v="3"/>
    <s v="Organic Spices"/>
    <s v="Red Chilli Powder"/>
    <n v="258"/>
    <n v="176"/>
    <n v="41"/>
    <n v="45.41"/>
    <n v="10.58"/>
    <n v="34.83"/>
    <n v="20.329999999999998"/>
    <n v="184"/>
    <s v="Medium"/>
    <s v="Low Stock"/>
    <s v="Restock"/>
    <s v="Tamil Nadu"/>
  </r>
  <r>
    <x v="2"/>
    <x v="5"/>
    <s v="Organic Grocery"/>
    <s v="Wheat Flour"/>
    <n v="395"/>
    <n v="104"/>
    <n v="94"/>
    <n v="41.08"/>
    <n v="37.130000000000003"/>
    <n v="3.95"/>
    <n v="20.22"/>
    <n v="185"/>
    <s v="High"/>
    <s v="Low Stock"/>
    <s v="Restock"/>
    <s v="Rajasthan"/>
  </r>
  <r>
    <x v="2"/>
    <x v="2"/>
    <s v="Organic Spices"/>
    <s v="Turmeric Powder"/>
    <n v="123"/>
    <n v="417"/>
    <n v="180"/>
    <n v="51.29"/>
    <n v="22.14"/>
    <n v="29.15"/>
    <n v="3.41"/>
    <n v="158"/>
    <s v="Low"/>
    <s v="Supply Delay"/>
    <s v="Find Alternate Supplier"/>
    <s v="Gujarat"/>
  </r>
  <r>
    <x v="0"/>
    <x v="3"/>
    <s v="Organic Grocery"/>
    <s v="Dals"/>
    <n v="146"/>
    <n v="157"/>
    <n v="66"/>
    <n v="22.92"/>
    <n v="9.64"/>
    <n v="13.29"/>
    <n v="11.8"/>
    <n v="190"/>
    <s v="High"/>
    <s v="None"/>
    <s v="Maintain"/>
    <s v="Delhi"/>
  </r>
  <r>
    <x v="2"/>
    <x v="5"/>
    <s v="Organic Oils"/>
    <s v="Sunflower Oil"/>
    <n v="206"/>
    <n v="351"/>
    <n v="139"/>
    <n v="72.31"/>
    <n v="28.63"/>
    <n v="43.67"/>
    <n v="-8.15"/>
    <n v="174"/>
    <s v="Low"/>
    <s v="Supply Delay"/>
    <s v="Find Alternate Supplier"/>
    <s v="Karnataka"/>
  </r>
  <r>
    <x v="1"/>
    <x v="11"/>
    <s v="Organic Oils"/>
    <s v="Coconut Oil"/>
    <n v="439"/>
    <n v="75"/>
    <n v="36"/>
    <n v="32.92"/>
    <n v="15.8"/>
    <n v="17.12"/>
    <n v="15.79"/>
    <n v="48"/>
    <s v="High"/>
    <s v="High Demand"/>
    <s v="Increase Stock"/>
    <s v="Gujarat"/>
  </r>
  <r>
    <x v="0"/>
    <x v="11"/>
    <s v="Organic Grocery"/>
    <s v="Pulses"/>
    <n v="399"/>
    <n v="147"/>
    <n v="135"/>
    <n v="58.65"/>
    <n v="53.87"/>
    <n v="4.79"/>
    <n v="17.25"/>
    <n v="180"/>
    <s v="Low"/>
    <s v="Supply Delay"/>
    <s v="Find Alternate Supplier"/>
    <s v="Delhi"/>
  </r>
  <r>
    <x v="0"/>
    <x v="4"/>
    <s v="Organic Dairy"/>
    <s v="Milk"/>
    <n v="61"/>
    <n v="61"/>
    <n v="45"/>
    <n v="3.72"/>
    <n v="2.75"/>
    <n v="0.98"/>
    <n v="-6"/>
    <n v="224"/>
    <s v="Medium"/>
    <s v="High Demand"/>
    <s v="Increase Stock"/>
    <s v="Rajasthan"/>
  </r>
  <r>
    <x v="1"/>
    <x v="0"/>
    <s v="Organic Superfoods"/>
    <s v="Ashwagandha"/>
    <n v="389"/>
    <n v="317"/>
    <n v="270"/>
    <n v="123.31"/>
    <n v="105.03"/>
    <n v="18.28"/>
    <n v="3.58"/>
    <n v="57"/>
    <s v="High"/>
    <s v="High Demand"/>
    <s v="Increase Stock"/>
    <s v="Delhi"/>
  </r>
  <r>
    <x v="1"/>
    <x v="7"/>
    <s v="Organic Grocery"/>
    <s v="Wheat Flour"/>
    <n v="269"/>
    <n v="192"/>
    <n v="166"/>
    <n v="51.65"/>
    <n v="44.65"/>
    <n v="6.99"/>
    <n v="0.38"/>
    <n v="169"/>
    <s v="Medium"/>
    <s v="None"/>
    <s v="Maintain"/>
    <s v="Gujarat"/>
  </r>
  <r>
    <x v="0"/>
    <x v="0"/>
    <s v="Organic Spices"/>
    <s v="Turmeric Powder"/>
    <n v="300"/>
    <n v="414"/>
    <n v="259"/>
    <n v="124.2"/>
    <n v="77.7"/>
    <n v="46.5"/>
    <n v="-9.82"/>
    <n v="199"/>
    <s v="Medium"/>
    <s v="Supply Delay"/>
    <s v="Find Alternate Supplier"/>
    <s v="Delhi"/>
  </r>
  <r>
    <x v="0"/>
    <x v="5"/>
    <s v="Organic Oils"/>
    <s v="Groundnut Oil"/>
    <n v="78"/>
    <n v="471"/>
    <n v="418"/>
    <n v="36.74"/>
    <n v="32.6"/>
    <n v="4.13"/>
    <n v="24.84"/>
    <n v="107"/>
    <s v="Low"/>
    <s v="Low Stock"/>
    <s v="Restock"/>
    <s v="Karnataka"/>
  </r>
  <r>
    <x v="0"/>
    <x v="7"/>
    <s v="Organic Grocery"/>
    <s v="Pulses"/>
    <n v="384"/>
    <n v="157"/>
    <n v="103"/>
    <n v="60.29"/>
    <n v="39.549999999999997"/>
    <n v="20.74"/>
    <n v="-4.57"/>
    <n v="160"/>
    <s v="High"/>
    <s v="Low Stock"/>
    <s v="Restock"/>
    <s v="Karnataka"/>
  </r>
  <r>
    <x v="2"/>
    <x v="11"/>
    <s v="Organic Grocery"/>
    <s v="Pulses"/>
    <n v="496"/>
    <n v="411"/>
    <n v="87"/>
    <n v="203.86"/>
    <n v="43.15"/>
    <n v="160.69999999999999"/>
    <n v="19.34"/>
    <n v="90"/>
    <s v="High"/>
    <s v="None"/>
    <s v="Maintain"/>
    <s v="Gujarat"/>
  </r>
  <r>
    <x v="1"/>
    <x v="2"/>
    <s v="Organic Spices"/>
    <s v="Black Pepper"/>
    <n v="351"/>
    <n v="146"/>
    <n v="74"/>
    <n v="51.25"/>
    <n v="25.97"/>
    <n v="25.27"/>
    <n v="7.88"/>
    <n v="286"/>
    <s v="Medium"/>
    <s v="High Demand"/>
    <s v="Increase Stock"/>
    <s v="Delhi"/>
  </r>
  <r>
    <x v="2"/>
    <x v="3"/>
    <s v="Organic Grocery"/>
    <s v="Pulses"/>
    <n v="496"/>
    <n v="336"/>
    <n v="155"/>
    <n v="166.66"/>
    <n v="76.88"/>
    <n v="89.78"/>
    <n v="-2.93"/>
    <n v="295"/>
    <s v="High"/>
    <s v="High Demand"/>
    <s v="Increase Stock"/>
    <s v="Delhi"/>
  </r>
  <r>
    <x v="2"/>
    <x v="5"/>
    <s v="Organic Grocery"/>
    <s v="Dals"/>
    <n v="208"/>
    <n v="451"/>
    <n v="299"/>
    <n v="93.81"/>
    <n v="62.19"/>
    <n v="31.62"/>
    <n v="5.28"/>
    <n v="172"/>
    <s v="Medium"/>
    <s v="High Demand"/>
    <s v="Increase Stock"/>
    <s v="Gujarat"/>
  </r>
  <r>
    <x v="0"/>
    <x v="7"/>
    <s v="Organic Oils"/>
    <s v="Groundnut Oil"/>
    <n v="471"/>
    <n v="159"/>
    <n v="82"/>
    <n v="74.89"/>
    <n v="38.619999999999997"/>
    <n v="36.270000000000003"/>
    <n v="16.64"/>
    <n v="130"/>
    <s v="High"/>
    <s v="Low Stock"/>
    <s v="Restock"/>
    <s v="Delhi"/>
  </r>
  <r>
    <x v="1"/>
    <x v="1"/>
    <s v="Organic Spices"/>
    <s v="Red Chilli Powder"/>
    <n v="421"/>
    <n v="276"/>
    <n v="40"/>
    <n v="116.2"/>
    <n v="16.84"/>
    <n v="99.36"/>
    <n v="-2.2799999999999998"/>
    <n v="34"/>
    <s v="Medium"/>
    <s v="None"/>
    <s v="Maintain"/>
    <s v="Maharashtra"/>
  </r>
  <r>
    <x v="2"/>
    <x v="10"/>
    <s v="Organic Oils"/>
    <s v="Groundnut Oil"/>
    <n v="189"/>
    <n v="229"/>
    <n v="101"/>
    <n v="43.28"/>
    <n v="19.09"/>
    <n v="24.19"/>
    <n v="5.83"/>
    <n v="142"/>
    <s v="Low"/>
    <s v="Low Stock"/>
    <s v="Restock"/>
    <s v="Gujarat"/>
  </r>
  <r>
    <x v="2"/>
    <x v="4"/>
    <s v="Organic Oils"/>
    <s v="Sunflower Oil"/>
    <n v="183"/>
    <n v="492"/>
    <n v="427"/>
    <n v="90.04"/>
    <n v="78.14"/>
    <n v="11.89"/>
    <n v="17.47"/>
    <n v="203"/>
    <s v="Low"/>
    <s v="Low Stock"/>
    <s v="Restock"/>
    <s v="Tamil Nadu"/>
  </r>
  <r>
    <x v="0"/>
    <x v="2"/>
    <s v="Organic Grocery"/>
    <s v="Wheat Flour"/>
    <n v="201"/>
    <n v="129"/>
    <n v="45"/>
    <n v="25.93"/>
    <n v="9.0399999999999991"/>
    <n v="16.88"/>
    <n v="13.6"/>
    <n v="28"/>
    <s v="Medium"/>
    <s v="High Demand"/>
    <s v="Increase Stock"/>
    <s v="Gujarat"/>
  </r>
  <r>
    <x v="1"/>
    <x v="4"/>
    <s v="Organic Grocery"/>
    <s v="Wheat Flour"/>
    <n v="242"/>
    <n v="205"/>
    <n v="145"/>
    <n v="49.61"/>
    <n v="35.090000000000003"/>
    <n v="14.52"/>
    <n v="-2.88"/>
    <n v="68"/>
    <s v="Medium"/>
    <s v="None"/>
    <s v="Maintain"/>
    <s v="Tamil Nadu"/>
  </r>
  <r>
    <x v="2"/>
    <x v="1"/>
    <s v="Organic Oils"/>
    <s v="Groundnut Oil"/>
    <n v="415"/>
    <n v="232"/>
    <n v="52"/>
    <n v="96.28"/>
    <n v="21.58"/>
    <n v="74.7"/>
    <n v="15.15"/>
    <n v="24"/>
    <s v="High"/>
    <s v="Low Stock"/>
    <s v="Restock"/>
    <s v="Rajasthan"/>
  </r>
  <r>
    <x v="1"/>
    <x v="6"/>
    <s v="Organic Dairy"/>
    <s v="Paneer"/>
    <n v="380"/>
    <n v="60"/>
    <n v="40"/>
    <n v="22.8"/>
    <n v="15.2"/>
    <n v="7.6"/>
    <n v="-4.04"/>
    <n v="97"/>
    <s v="Medium"/>
    <s v="Low Stock"/>
    <s v="Restock"/>
    <s v="Delhi"/>
  </r>
  <r>
    <x v="2"/>
    <x v="4"/>
    <s v="Organic Dairy"/>
    <s v="Ghee"/>
    <n v="471"/>
    <n v="167"/>
    <n v="51"/>
    <n v="78.66"/>
    <n v="24.02"/>
    <n v="54.64"/>
    <n v="-3.24"/>
    <n v="165"/>
    <s v="High"/>
    <s v="None"/>
    <s v="Maintain"/>
    <s v="Delhi"/>
  </r>
  <r>
    <x v="2"/>
    <x v="8"/>
    <s v="Organic Spices"/>
    <s v="Turmeric Powder"/>
    <n v="192"/>
    <n v="428"/>
    <n v="113"/>
    <n v="82.18"/>
    <n v="21.7"/>
    <n v="60.48"/>
    <n v="17.84"/>
    <n v="146"/>
    <s v="Low"/>
    <s v="None"/>
    <s v="Maintain"/>
    <s v="Tamil Nadu"/>
  </r>
  <r>
    <x v="0"/>
    <x v="4"/>
    <s v="Organic Oils"/>
    <s v="Groundnut Oil"/>
    <n v="450"/>
    <n v="234"/>
    <n v="55"/>
    <n v="105.3"/>
    <n v="24.75"/>
    <n v="80.55"/>
    <n v="10.72"/>
    <n v="116"/>
    <s v="Medium"/>
    <s v="High Demand"/>
    <s v="Increase Stock"/>
    <s v="Delhi"/>
  </r>
  <r>
    <x v="2"/>
    <x v="9"/>
    <s v="Organic Oils"/>
    <s v="Sunflower Oil"/>
    <n v="95"/>
    <n v="484"/>
    <n v="355"/>
    <n v="45.98"/>
    <n v="33.729999999999997"/>
    <n v="12.25"/>
    <n v="18.13"/>
    <n v="218"/>
    <s v="Low"/>
    <s v="Supply Delay"/>
    <s v="Find Alternate Supplier"/>
    <s v="Maharashtra"/>
  </r>
  <r>
    <x v="0"/>
    <x v="6"/>
    <s v="Organic Superfoods"/>
    <s v="Chia Seeds"/>
    <n v="439"/>
    <n v="243"/>
    <n v="196"/>
    <n v="106.68"/>
    <n v="86.04"/>
    <n v="20.63"/>
    <n v="7.09"/>
    <n v="257"/>
    <s v="High"/>
    <s v="None"/>
    <s v="Maintain"/>
    <s v="Tamil Nadu"/>
  </r>
  <r>
    <x v="0"/>
    <x v="8"/>
    <s v="Organic Dairy"/>
    <s v="Curd"/>
    <n v="256"/>
    <n v="290"/>
    <n v="249"/>
    <n v="74.239999999999995"/>
    <n v="63.74"/>
    <n v="10.5"/>
    <n v="6.65"/>
    <n v="262"/>
    <s v="Medium"/>
    <s v="Low Stock"/>
    <s v="Restock"/>
    <s v="Tamil Nadu"/>
  </r>
  <r>
    <x v="1"/>
    <x v="9"/>
    <s v="Organic Spices"/>
    <s v="Red Chilli Powder"/>
    <n v="328"/>
    <n v="472"/>
    <n v="249"/>
    <n v="154.82"/>
    <n v="81.67"/>
    <n v="73.14"/>
    <n v="3.05"/>
    <n v="293"/>
    <s v="High"/>
    <s v="Low Stock"/>
    <s v="Restock"/>
    <s v="Rajasthan"/>
  </r>
  <r>
    <x v="1"/>
    <x v="0"/>
    <s v="Organic Dairy"/>
    <s v="Ghee"/>
    <n v="299"/>
    <n v="371"/>
    <n v="192"/>
    <n v="110.93"/>
    <n v="57.41"/>
    <n v="53.52"/>
    <n v="21.03"/>
    <n v="266"/>
    <s v="Medium"/>
    <s v="Low Stock"/>
    <s v="Restock"/>
    <s v="Karnataka"/>
  </r>
  <r>
    <x v="0"/>
    <x v="9"/>
    <s v="Organic Dairy"/>
    <s v="Ghee"/>
    <n v="200"/>
    <n v="128"/>
    <n v="33"/>
    <n v="25.6"/>
    <n v="6.6"/>
    <n v="19"/>
    <n v="11.48"/>
    <n v="52"/>
    <s v="Low"/>
    <s v="Supply Delay"/>
    <s v="Find Alternate Supplier"/>
    <s v="Tamil Nadu"/>
  </r>
  <r>
    <x v="2"/>
    <x v="3"/>
    <s v="Organic Dairy"/>
    <s v="Ghee"/>
    <n v="404"/>
    <n v="341"/>
    <n v="78"/>
    <n v="137.76"/>
    <n v="31.51"/>
    <n v="106.25"/>
    <n v="-5.87"/>
    <n v="128"/>
    <s v="Low"/>
    <s v="High Demand"/>
    <s v="Increase Stock"/>
    <s v="Rajasthan"/>
  </r>
  <r>
    <x v="0"/>
    <x v="9"/>
    <s v="Organic Spices"/>
    <s v="Black Pepper"/>
    <n v="394"/>
    <n v="442"/>
    <n v="31"/>
    <n v="174.15"/>
    <n v="12.21"/>
    <n v="161.93"/>
    <n v="3.92"/>
    <n v="200"/>
    <s v="Medium"/>
    <s v="Supply Delay"/>
    <s v="Find Alternate Supplier"/>
    <s v="Gujarat"/>
  </r>
  <r>
    <x v="0"/>
    <x v="9"/>
    <s v="Organic Grocery"/>
    <s v="Wheat Flour"/>
    <n v="333"/>
    <n v="374"/>
    <n v="261"/>
    <n v="124.54"/>
    <n v="86.91"/>
    <n v="37.630000000000003"/>
    <n v="-9.09"/>
    <n v="129"/>
    <s v="Medium"/>
    <s v="Low Stock"/>
    <s v="Restock"/>
    <s v="Rajasthan"/>
  </r>
  <r>
    <x v="1"/>
    <x v="2"/>
    <s v="Organic Superfoods"/>
    <s v="Amla Powder"/>
    <n v="81"/>
    <n v="55"/>
    <n v="31"/>
    <n v="4.46"/>
    <n v="2.5099999999999998"/>
    <n v="1.94"/>
    <n v="1.03"/>
    <n v="61"/>
    <s v="Medium"/>
    <s v="High Demand"/>
    <s v="Increase Stock"/>
    <s v="Rajasthan"/>
  </r>
  <r>
    <x v="2"/>
    <x v="4"/>
    <s v="Organic Spices"/>
    <s v="Black Pepper"/>
    <n v="258"/>
    <n v="307"/>
    <n v="221"/>
    <n v="79.209999999999994"/>
    <n v="57.02"/>
    <n v="22.19"/>
    <n v="10.050000000000001"/>
    <n v="201"/>
    <s v="High"/>
    <s v="Low Stock"/>
    <s v="Restock"/>
    <s v="Gujarat"/>
  </r>
  <r>
    <x v="2"/>
    <x v="7"/>
    <s v="Organic Oils"/>
    <s v="Groundnut Oil"/>
    <n v="374"/>
    <n v="401"/>
    <n v="380"/>
    <n v="149.97"/>
    <n v="142.12"/>
    <n v="7.85"/>
    <n v="7.15"/>
    <n v="237"/>
    <s v="Low"/>
    <s v="High Demand"/>
    <s v="Increase Stock"/>
    <s v="Tamil Nadu"/>
  </r>
  <r>
    <x v="0"/>
    <x v="9"/>
    <s v="Organic Oils"/>
    <s v="Coconut Oil"/>
    <n v="196"/>
    <n v="337"/>
    <n v="70"/>
    <n v="66.05"/>
    <n v="13.72"/>
    <n v="52.33"/>
    <n v="10.66"/>
    <n v="129"/>
    <s v="Medium"/>
    <s v="Supply Delay"/>
    <s v="Find Alternate Supplier"/>
    <s v="Karnataka"/>
  </r>
  <r>
    <x v="1"/>
    <x v="5"/>
    <s v="Organic Superfoods"/>
    <s v="Chia Seeds"/>
    <n v="302"/>
    <n v="274"/>
    <n v="132"/>
    <n v="82.75"/>
    <n v="39.86"/>
    <n v="42.88"/>
    <n v="23.38"/>
    <n v="192"/>
    <s v="Medium"/>
    <s v="None"/>
    <s v="Maintain"/>
    <s v="Rajasthan"/>
  </r>
  <r>
    <x v="1"/>
    <x v="11"/>
    <s v="Organic Spices"/>
    <s v="Black Pepper"/>
    <n v="112"/>
    <n v="309"/>
    <n v="281"/>
    <n v="34.61"/>
    <n v="31.47"/>
    <n v="3.14"/>
    <n v="13.11"/>
    <n v="280"/>
    <s v="Low"/>
    <s v="Low Stock"/>
    <s v="Restock"/>
    <s v="Maharashtra"/>
  </r>
  <r>
    <x v="2"/>
    <x v="8"/>
    <s v="Organic Grocery"/>
    <s v="Wheat Flour"/>
    <n v="181"/>
    <n v="120"/>
    <n v="90"/>
    <n v="21.72"/>
    <n v="16.29"/>
    <n v="5.43"/>
    <n v="10.039999999999999"/>
    <n v="61"/>
    <s v="Medium"/>
    <s v="Supply Delay"/>
    <s v="Find Alternate Supplier"/>
    <s v="Delhi"/>
  </r>
  <r>
    <x v="0"/>
    <x v="3"/>
    <s v="Organic Dairy"/>
    <s v="Milk"/>
    <n v="372"/>
    <n v="184"/>
    <n v="155"/>
    <n v="68.45"/>
    <n v="57.66"/>
    <n v="10.79"/>
    <n v="14.41"/>
    <n v="68"/>
    <s v="High"/>
    <s v="Supply Delay"/>
    <s v="Find Alternate Supplier"/>
    <s v="Rajasthan"/>
  </r>
  <r>
    <x v="0"/>
    <x v="10"/>
    <s v="Organic Spices"/>
    <s v="Red Chilli Powder"/>
    <n v="180"/>
    <n v="51"/>
    <n v="40"/>
    <n v="9.18"/>
    <n v="7.2"/>
    <n v="1.98"/>
    <n v="1.33"/>
    <n v="289"/>
    <s v="Low"/>
    <s v="Low Stock"/>
    <s v="Restock"/>
    <s v="Rajasthan"/>
  </r>
  <r>
    <x v="0"/>
    <x v="2"/>
    <s v="Organic Dairy"/>
    <s v="Ghee"/>
    <n v="347"/>
    <n v="240"/>
    <n v="179"/>
    <n v="83.28"/>
    <n v="62.11"/>
    <n v="21.17"/>
    <n v="15.34"/>
    <n v="291"/>
    <s v="Medium"/>
    <s v="None"/>
    <s v="Maintain"/>
    <s v="Karnataka"/>
  </r>
  <r>
    <x v="1"/>
    <x v="10"/>
    <s v="Organic Spices"/>
    <s v="Red Chilli Powder"/>
    <n v="225"/>
    <n v="188"/>
    <n v="137"/>
    <n v="42.3"/>
    <n v="30.82"/>
    <n v="11.47"/>
    <n v="-8.82"/>
    <n v="260"/>
    <s v="Medium"/>
    <s v="None"/>
    <s v="Maintain"/>
    <s v="Gujarat"/>
  </r>
  <r>
    <x v="0"/>
    <x v="9"/>
    <s v="Organic Spices"/>
    <s v="Turmeric Powder"/>
    <n v="101"/>
    <n v="390"/>
    <n v="312"/>
    <n v="39.39"/>
    <n v="31.51"/>
    <n v="7.88"/>
    <n v="1.53"/>
    <n v="162"/>
    <s v="Low"/>
    <s v="High Demand"/>
    <s v="Increase Stock"/>
    <s v="Karnataka"/>
  </r>
  <r>
    <x v="2"/>
    <x v="10"/>
    <s v="Organic Dairy"/>
    <s v="Curd"/>
    <n v="234"/>
    <n v="276"/>
    <n v="182"/>
    <n v="64.58"/>
    <n v="42.59"/>
    <n v="22"/>
    <n v="12.52"/>
    <n v="34"/>
    <s v="Low"/>
    <s v="None"/>
    <s v="Maintain"/>
    <s v="Karnataka"/>
  </r>
  <r>
    <x v="1"/>
    <x v="6"/>
    <s v="Organic Spices"/>
    <s v="Turmeric Powder"/>
    <n v="78"/>
    <n v="285"/>
    <n v="82"/>
    <n v="22.23"/>
    <n v="6.4"/>
    <n v="15.83"/>
    <n v="22.88"/>
    <n v="220"/>
    <s v="Medium"/>
    <s v="None"/>
    <s v="Maintain"/>
    <s v="Rajasthan"/>
  </r>
  <r>
    <x v="0"/>
    <x v="5"/>
    <s v="Organic Oils"/>
    <s v="Groundnut Oil"/>
    <n v="156"/>
    <n v="381"/>
    <n v="215"/>
    <n v="59.44"/>
    <n v="33.54"/>
    <n v="25.9"/>
    <n v="22.81"/>
    <n v="108"/>
    <s v="High"/>
    <s v="None"/>
    <s v="Maintain"/>
    <s v="Delhi"/>
  </r>
  <r>
    <x v="0"/>
    <x v="10"/>
    <s v="Organic Dairy"/>
    <s v="Curd"/>
    <n v="396"/>
    <n v="78"/>
    <n v="36"/>
    <n v="30.89"/>
    <n v="14.26"/>
    <n v="16.63"/>
    <n v="-3.56"/>
    <n v="149"/>
    <s v="Medium"/>
    <s v="None"/>
    <s v="Maintain"/>
    <s v="Tamil Nadu"/>
  </r>
  <r>
    <x v="1"/>
    <x v="11"/>
    <s v="Organic Oils"/>
    <s v="Sunflower Oil"/>
    <n v="397"/>
    <n v="334"/>
    <n v="90"/>
    <n v="132.6"/>
    <n v="35.729999999999997"/>
    <n v="96.87"/>
    <n v="0.19"/>
    <n v="242"/>
    <s v="Medium"/>
    <s v="High Demand"/>
    <s v="Increase Stock"/>
    <s v="Maharashtra"/>
  </r>
  <r>
    <x v="2"/>
    <x v="7"/>
    <s v="Organic Oils"/>
    <s v="Groundnut Oil"/>
    <n v="392"/>
    <n v="52"/>
    <n v="33"/>
    <n v="20.38"/>
    <n v="12.94"/>
    <n v="7.45"/>
    <n v="2.48"/>
    <n v="114"/>
    <s v="Low"/>
    <s v="Low Stock"/>
    <s v="Restock"/>
    <s v="Delhi"/>
  </r>
  <r>
    <x v="1"/>
    <x v="11"/>
    <s v="Organic Oils"/>
    <s v="Coconut Oil"/>
    <n v="219"/>
    <n v="221"/>
    <n v="145"/>
    <n v="48.4"/>
    <n v="31.75"/>
    <n v="16.64"/>
    <n v="8.91"/>
    <n v="39"/>
    <s v="Medium"/>
    <s v="High Demand"/>
    <s v="Increase Stock"/>
    <s v="Karnataka"/>
  </r>
  <r>
    <x v="0"/>
    <x v="6"/>
    <s v="Organic Grocery"/>
    <s v="Pulses"/>
    <n v="163"/>
    <n v="232"/>
    <n v="98"/>
    <n v="37.82"/>
    <n v="15.97"/>
    <n v="21.84"/>
    <n v="-5.72"/>
    <n v="238"/>
    <s v="Low"/>
    <s v="High Demand"/>
    <s v="Increase Stock"/>
    <s v="Rajasthan"/>
  </r>
  <r>
    <x v="2"/>
    <x v="10"/>
    <s v="Organic Spices"/>
    <s v="Black Pepper"/>
    <n v="129"/>
    <n v="196"/>
    <n v="133"/>
    <n v="25.28"/>
    <n v="17.16"/>
    <n v="8.1300000000000008"/>
    <n v="17.61"/>
    <n v="296"/>
    <s v="Low"/>
    <s v="Supply Delay"/>
    <s v="Find Alternate Supplier"/>
    <s v="Maharashtra"/>
  </r>
  <r>
    <x v="2"/>
    <x v="0"/>
    <s v="Organic Grocery"/>
    <s v="Rice"/>
    <n v="131"/>
    <n v="111"/>
    <n v="65"/>
    <n v="14.54"/>
    <n v="8.52"/>
    <n v="6.03"/>
    <n v="21.94"/>
    <n v="58"/>
    <s v="Low"/>
    <s v="None"/>
    <s v="Maintain"/>
    <s v="Gujarat"/>
  </r>
  <r>
    <x v="2"/>
    <x v="2"/>
    <s v="Organic Superfoods"/>
    <s v="Ashwagandha"/>
    <n v="315"/>
    <n v="114"/>
    <n v="58"/>
    <n v="35.909999999999997"/>
    <n v="18.27"/>
    <n v="17.64"/>
    <n v="10.5"/>
    <n v="134"/>
    <s v="Low"/>
    <s v="Supply Delay"/>
    <s v="Find Alternate Supplier"/>
    <s v="Rajasthan"/>
  </r>
  <r>
    <x v="0"/>
    <x v="10"/>
    <s v="Organic Dairy"/>
    <s v="Ghee"/>
    <n v="459"/>
    <n v="100"/>
    <n v="82"/>
    <n v="45.9"/>
    <n v="37.64"/>
    <n v="8.26"/>
    <n v="-1.79"/>
    <n v="48"/>
    <s v="High"/>
    <s v="None"/>
    <s v="Maintain"/>
    <s v="Gujarat"/>
  </r>
  <r>
    <x v="0"/>
    <x v="10"/>
    <s v="Organic Spices"/>
    <s v="Turmeric Powder"/>
    <n v="434"/>
    <n v="201"/>
    <n v="59"/>
    <n v="87.23"/>
    <n v="25.61"/>
    <n v="61.63"/>
    <n v="2.14"/>
    <n v="75"/>
    <s v="Low"/>
    <s v="Low Stock"/>
    <s v="Restock"/>
    <s v="Karnataka"/>
  </r>
  <r>
    <x v="1"/>
    <x v="8"/>
    <s v="Organic Spices"/>
    <s v="Turmeric Powder"/>
    <n v="125"/>
    <n v="396"/>
    <n v="139"/>
    <n v="49.5"/>
    <n v="17.38"/>
    <n v="32.119999999999997"/>
    <n v="1.76"/>
    <n v="157"/>
    <s v="Medium"/>
    <s v="High Demand"/>
    <s v="Increase Stock"/>
    <s v="Gujarat"/>
  </r>
  <r>
    <x v="1"/>
    <x v="10"/>
    <s v="Organic Superfoods"/>
    <s v="Amla Powder"/>
    <n v="121"/>
    <n v="204"/>
    <n v="137"/>
    <n v="24.68"/>
    <n v="16.579999999999998"/>
    <n v="8.11"/>
    <n v="-9.82"/>
    <n v="210"/>
    <s v="Medium"/>
    <s v="High Demand"/>
    <s v="Increase Stock"/>
    <s v="Rajasthan"/>
  </r>
  <r>
    <x v="0"/>
    <x v="8"/>
    <s v="Organic Grocery"/>
    <s v="Pulses"/>
    <n v="57"/>
    <n v="164"/>
    <n v="53"/>
    <n v="9.35"/>
    <n v="3.02"/>
    <n v="6.33"/>
    <n v="18.84"/>
    <n v="151"/>
    <s v="High"/>
    <s v="Supply Delay"/>
    <s v="Find Alternate Supplier"/>
    <s v="Rajasthan"/>
  </r>
  <r>
    <x v="0"/>
    <x v="9"/>
    <s v="Organic Dairy"/>
    <s v="Ghee"/>
    <n v="414"/>
    <n v="78"/>
    <n v="36"/>
    <n v="32.29"/>
    <n v="14.9"/>
    <n v="17.39"/>
    <n v="16.12"/>
    <n v="44"/>
    <s v="Low"/>
    <s v="High Demand"/>
    <s v="Increase Stock"/>
    <s v="Gujarat"/>
  </r>
  <r>
    <x v="2"/>
    <x v="10"/>
    <s v="Organic Superfoods"/>
    <s v="Chia Seeds"/>
    <n v="250"/>
    <n v="120"/>
    <n v="73"/>
    <n v="30"/>
    <n v="18.25"/>
    <n v="11.75"/>
    <n v="9.8800000000000008"/>
    <n v="180"/>
    <s v="Medium"/>
    <s v="None"/>
    <s v="Maintain"/>
    <s v="Delhi"/>
  </r>
  <r>
    <x v="2"/>
    <x v="8"/>
    <s v="Organic Grocery"/>
    <s v="Wheat Flour"/>
    <n v="348"/>
    <n v="353"/>
    <n v="163"/>
    <n v="122.84"/>
    <n v="56.72"/>
    <n v="66.12"/>
    <n v="1.07"/>
    <n v="200"/>
    <s v="High"/>
    <s v="None"/>
    <s v="Maintain"/>
    <s v="Gujarat"/>
  </r>
  <r>
    <x v="1"/>
    <x v="7"/>
    <s v="Organic Grocery"/>
    <s v="Dals"/>
    <n v="143"/>
    <n v="250"/>
    <n v="156"/>
    <n v="35.75"/>
    <n v="22.31"/>
    <n v="13.44"/>
    <n v="-0.15"/>
    <n v="270"/>
    <s v="Low"/>
    <s v="Low Stock"/>
    <s v="Restock"/>
    <s v="Gujarat"/>
  </r>
  <r>
    <x v="0"/>
    <x v="1"/>
    <s v="Organic Grocery"/>
    <s v="Pulses"/>
    <n v="315"/>
    <n v="352"/>
    <n v="154"/>
    <n v="110.88"/>
    <n v="48.51"/>
    <n v="62.37"/>
    <n v="6.25"/>
    <n v="38"/>
    <s v="High"/>
    <s v="None"/>
    <s v="Maintain"/>
    <s v="Gujarat"/>
  </r>
  <r>
    <x v="2"/>
    <x v="8"/>
    <s v="Organic Spices"/>
    <s v="Turmeric Powder"/>
    <n v="212"/>
    <n v="131"/>
    <n v="111"/>
    <n v="27.77"/>
    <n v="23.53"/>
    <n v="4.24"/>
    <n v="4.6100000000000003"/>
    <n v="24"/>
    <s v="High"/>
    <s v="Supply Delay"/>
    <s v="Find Alternate Supplier"/>
    <s v="Delhi"/>
  </r>
  <r>
    <x v="1"/>
    <x v="5"/>
    <s v="Organic Oils"/>
    <s v="Sunflower Oil"/>
    <n v="288"/>
    <n v="350"/>
    <n v="111"/>
    <n v="100.8"/>
    <n v="31.97"/>
    <n v="68.83"/>
    <n v="12.38"/>
    <n v="242"/>
    <s v="Medium"/>
    <s v="Low Stock"/>
    <s v="Restock"/>
    <s v="Rajasthan"/>
  </r>
  <r>
    <x v="0"/>
    <x v="0"/>
    <s v="Organic Spices"/>
    <s v="Red Chilli Powder"/>
    <n v="481"/>
    <n v="68"/>
    <n v="58"/>
    <n v="32.71"/>
    <n v="27.9"/>
    <n v="4.8099999999999996"/>
    <n v="-6.53"/>
    <n v="210"/>
    <s v="Medium"/>
    <s v="High Demand"/>
    <s v="Increase Stock"/>
    <s v="Tamil Nadu"/>
  </r>
  <r>
    <x v="2"/>
    <x v="2"/>
    <s v="Organic Superfoods"/>
    <s v="Amla Powder"/>
    <n v="471"/>
    <n v="330"/>
    <n v="87"/>
    <n v="155.43"/>
    <n v="40.98"/>
    <n v="114.45"/>
    <n v="-0.1"/>
    <n v="63"/>
    <s v="Low"/>
    <s v="Low Stock"/>
    <s v="Restock"/>
    <s v="Delhi"/>
  </r>
  <r>
    <x v="1"/>
    <x v="9"/>
    <s v="Organic Oils"/>
    <s v="Sunflower Oil"/>
    <n v="425"/>
    <n v="235"/>
    <n v="124"/>
    <n v="99.88"/>
    <n v="52.7"/>
    <n v="47.17"/>
    <n v="-5.0599999999999996"/>
    <n v="119"/>
    <s v="Low"/>
    <s v="Supply Delay"/>
    <s v="Find Alternate Supplier"/>
    <s v="Gujarat"/>
  </r>
  <r>
    <x v="1"/>
    <x v="11"/>
    <s v="Organic Dairy"/>
    <s v="Paneer"/>
    <n v="477"/>
    <n v="58"/>
    <n v="44"/>
    <n v="27.67"/>
    <n v="20.99"/>
    <n v="6.68"/>
    <n v="21.17"/>
    <n v="239"/>
    <s v="Low"/>
    <s v="High Demand"/>
    <s v="Increase Stock"/>
    <s v="Delhi"/>
  </r>
  <r>
    <x v="2"/>
    <x v="9"/>
    <s v="Organic Dairy"/>
    <s v="Paneer"/>
    <n v="71"/>
    <n v="198"/>
    <n v="100"/>
    <n v="14.06"/>
    <n v="7.1"/>
    <n v="6.96"/>
    <n v="-4.8"/>
    <n v="173"/>
    <s v="High"/>
    <s v="None"/>
    <s v="Maintain"/>
    <s v="Maharashtra"/>
  </r>
  <r>
    <x v="0"/>
    <x v="5"/>
    <s v="Organic Oils"/>
    <s v="Sunflower Oil"/>
    <n v="79"/>
    <n v="236"/>
    <n v="115"/>
    <n v="18.64"/>
    <n v="9.09"/>
    <n v="9.56"/>
    <n v="-5.2"/>
    <n v="57"/>
    <s v="Medium"/>
    <s v="Supply Delay"/>
    <s v="Find Alternate Supplier"/>
    <s v="Karnataka"/>
  </r>
  <r>
    <x v="2"/>
    <x v="4"/>
    <s v="Organic Superfoods"/>
    <s v="Chia Seeds"/>
    <n v="322"/>
    <n v="171"/>
    <n v="65"/>
    <n v="55.06"/>
    <n v="20.93"/>
    <n v="34.130000000000003"/>
    <n v="-0.37"/>
    <n v="79"/>
    <s v="High"/>
    <s v="High Demand"/>
    <s v="Increase Stock"/>
    <s v="Karnataka"/>
  </r>
  <r>
    <x v="0"/>
    <x v="1"/>
    <s v="Organic Spices"/>
    <s v="Red Chilli Powder"/>
    <n v="82"/>
    <n v="295"/>
    <n v="227"/>
    <n v="24.19"/>
    <n v="18.61"/>
    <n v="5.58"/>
    <n v="23.03"/>
    <n v="28"/>
    <s v="Low"/>
    <s v="None"/>
    <s v="Maintain"/>
    <s v="Rajasthan"/>
  </r>
  <r>
    <x v="1"/>
    <x v="11"/>
    <s v="Organic Superfoods"/>
    <s v="Amla Powder"/>
    <n v="477"/>
    <n v="205"/>
    <n v="143"/>
    <n v="97.78"/>
    <n v="68.209999999999994"/>
    <n v="29.57"/>
    <n v="15.01"/>
    <n v="163"/>
    <s v="Medium"/>
    <s v="High Demand"/>
    <s v="Increase Stock"/>
    <s v="Tamil Nadu"/>
  </r>
  <r>
    <x v="1"/>
    <x v="5"/>
    <s v="Organic Dairy"/>
    <s v="Ghee"/>
    <n v="346"/>
    <n v="426"/>
    <n v="145"/>
    <n v="147.4"/>
    <n v="50.17"/>
    <n v="97.23"/>
    <n v="-5.12"/>
    <n v="213"/>
    <s v="Medium"/>
    <s v="None"/>
    <s v="Maintain"/>
    <s v="Rajasthan"/>
  </r>
  <r>
    <x v="1"/>
    <x v="9"/>
    <s v="Organic Superfoods"/>
    <s v="Chia Seeds"/>
    <n v="311"/>
    <n v="108"/>
    <n v="45"/>
    <n v="33.590000000000003"/>
    <n v="13.99"/>
    <n v="19.59"/>
    <n v="9.74"/>
    <n v="268"/>
    <s v="High"/>
    <s v="None"/>
    <s v="Maintain"/>
    <s v="Tamil Nadu"/>
  </r>
  <r>
    <x v="1"/>
    <x v="6"/>
    <s v="Organic Oils"/>
    <s v="Groundnut Oil"/>
    <n v="50"/>
    <n v="193"/>
    <n v="168"/>
    <n v="9.65"/>
    <n v="8.4"/>
    <n v="1.25"/>
    <n v="-5.26"/>
    <n v="233"/>
    <s v="Medium"/>
    <s v="High Demand"/>
    <s v="Increase Stock"/>
    <s v="Tamil Nadu"/>
  </r>
  <r>
    <x v="1"/>
    <x v="0"/>
    <s v="Organic Grocery"/>
    <s v="Dals"/>
    <n v="157"/>
    <n v="500"/>
    <n v="211"/>
    <n v="78.5"/>
    <n v="33.130000000000003"/>
    <n v="45.37"/>
    <n v="-6.17"/>
    <n v="232"/>
    <s v="Low"/>
    <s v="High Demand"/>
    <s v="Increase Stock"/>
    <s v="Delhi"/>
  </r>
  <r>
    <x v="0"/>
    <x v="0"/>
    <s v="Organic Dairy"/>
    <s v="Paneer"/>
    <n v="278"/>
    <n v="434"/>
    <n v="103"/>
    <n v="120.65"/>
    <n v="28.63"/>
    <n v="92.02"/>
    <n v="4.0199999999999996"/>
    <n v="205"/>
    <s v="High"/>
    <s v="High Demand"/>
    <s v="Increase Stock"/>
    <s v="Gujarat"/>
  </r>
  <r>
    <x v="2"/>
    <x v="1"/>
    <s v="Organic Spices"/>
    <s v="Black Pepper"/>
    <n v="309"/>
    <n v="350"/>
    <n v="86"/>
    <n v="108.15"/>
    <n v="26.57"/>
    <n v="81.58"/>
    <n v="-2.31"/>
    <n v="258"/>
    <s v="Low"/>
    <s v="High Demand"/>
    <s v="Increase Stock"/>
    <s v="Delhi"/>
  </r>
  <r>
    <x v="0"/>
    <x v="1"/>
    <s v="Organic Dairy"/>
    <s v="Milk"/>
    <n v="97"/>
    <n v="394"/>
    <n v="261"/>
    <n v="38.22"/>
    <n v="25.32"/>
    <n v="12.9"/>
    <n v="-4.1100000000000003"/>
    <n v="37"/>
    <s v="High"/>
    <s v="High Demand"/>
    <s v="Increase Stock"/>
    <s v="Gujarat"/>
  </r>
  <r>
    <x v="0"/>
    <x v="4"/>
    <s v="Organic Grocery"/>
    <s v="Dals"/>
    <n v="325"/>
    <n v="170"/>
    <n v="93"/>
    <n v="55.25"/>
    <n v="30.23"/>
    <n v="25.02"/>
    <n v="17.350000000000001"/>
    <n v="167"/>
    <s v="Low"/>
    <s v="Low Stock"/>
    <s v="Restock"/>
    <s v="Karnataka"/>
  </r>
  <r>
    <x v="0"/>
    <x v="11"/>
    <s v="Organic Dairy"/>
    <s v="Milk"/>
    <n v="365"/>
    <n v="179"/>
    <n v="106"/>
    <n v="65.33"/>
    <n v="38.69"/>
    <n v="26.64"/>
    <n v="13.65"/>
    <n v="31"/>
    <s v="Medium"/>
    <s v="Low Stock"/>
    <s v="Restock"/>
    <s v="Maharashtra"/>
  </r>
  <r>
    <x v="1"/>
    <x v="6"/>
    <s v="Organic Superfoods"/>
    <s v="Chia Seeds"/>
    <n v="240"/>
    <n v="265"/>
    <n v="205"/>
    <n v="63.6"/>
    <n v="49.2"/>
    <n v="14.4"/>
    <n v="23.7"/>
    <n v="78"/>
    <s v="High"/>
    <s v="Supply Delay"/>
    <s v="Find Alternate Supplier"/>
    <s v="Delhi"/>
  </r>
  <r>
    <x v="1"/>
    <x v="11"/>
    <s v="Organic Grocery"/>
    <s v="Dals"/>
    <n v="426"/>
    <n v="396"/>
    <n v="47"/>
    <n v="168.7"/>
    <n v="20.02"/>
    <n v="148.66999999999999"/>
    <n v="13.09"/>
    <n v="201"/>
    <s v="Medium"/>
    <s v="High Demand"/>
    <s v="Increase Stock"/>
    <s v="Tamil Nadu"/>
  </r>
  <r>
    <x v="2"/>
    <x v="2"/>
    <s v="Organic Grocery"/>
    <s v="Wheat Flour"/>
    <n v="366"/>
    <n v="228"/>
    <n v="166"/>
    <n v="83.45"/>
    <n v="60.76"/>
    <n v="22.69"/>
    <n v="5.36"/>
    <n v="176"/>
    <s v="Medium"/>
    <s v="High Demand"/>
    <s v="Increase Stock"/>
    <s v="Maharashtra"/>
  </r>
  <r>
    <x v="1"/>
    <x v="8"/>
    <s v="Organic Dairy"/>
    <s v="Curd"/>
    <n v="411"/>
    <n v="249"/>
    <n v="123"/>
    <n v="102.34"/>
    <n v="50.55"/>
    <n v="51.79"/>
    <n v="7.42"/>
    <n v="150"/>
    <s v="Medium"/>
    <s v="Low Stock"/>
    <s v="Restock"/>
    <s v="Maharashtra"/>
  </r>
  <r>
    <x v="1"/>
    <x v="11"/>
    <s v="Organic Oils"/>
    <s v="Coconut Oil"/>
    <n v="336"/>
    <n v="149"/>
    <n v="36"/>
    <n v="50.06"/>
    <n v="12.1"/>
    <n v="37.97"/>
    <n v="20.88"/>
    <n v="225"/>
    <s v="Low"/>
    <s v="High Demand"/>
    <s v="Increase Stock"/>
    <s v="Gujarat"/>
  </r>
  <r>
    <x v="2"/>
    <x v="10"/>
    <s v="Organic Dairy"/>
    <s v="Milk"/>
    <n v="425"/>
    <n v="294"/>
    <n v="35"/>
    <n v="124.95"/>
    <n v="14.88"/>
    <n v="110.08"/>
    <n v="-4.63"/>
    <n v="102"/>
    <s v="High"/>
    <s v="High Demand"/>
    <s v="Increase Stock"/>
    <s v="Rajasthan"/>
  </r>
  <r>
    <x v="0"/>
    <x v="3"/>
    <s v="Organic Grocery"/>
    <s v="Rice"/>
    <n v="138"/>
    <n v="300"/>
    <n v="261"/>
    <n v="41.4"/>
    <n v="36.020000000000003"/>
    <n v="5.38"/>
    <n v="17.059999999999999"/>
    <n v="44"/>
    <s v="Low"/>
    <s v="High Demand"/>
    <s v="Increase Stock"/>
    <s v="Delhi"/>
  </r>
  <r>
    <x v="1"/>
    <x v="5"/>
    <s v="Organic Oils"/>
    <s v="Groundnut Oil"/>
    <n v="319"/>
    <n v="231"/>
    <n v="99"/>
    <n v="73.69"/>
    <n v="31.58"/>
    <n v="42.11"/>
    <n v="-7.68"/>
    <n v="118"/>
    <s v="Medium"/>
    <s v="High Demand"/>
    <s v="Increase Stock"/>
    <s v="Tamil Nadu"/>
  </r>
  <r>
    <x v="1"/>
    <x v="4"/>
    <s v="Organic Dairy"/>
    <s v="Ghee"/>
    <n v="271"/>
    <n v="387"/>
    <n v="45"/>
    <n v="104.88"/>
    <n v="12.2"/>
    <n v="92.68"/>
    <n v="1.18"/>
    <n v="92"/>
    <s v="High"/>
    <s v="Supply Delay"/>
    <s v="Find Alternate Supplier"/>
    <s v="Rajasthan"/>
  </r>
  <r>
    <x v="1"/>
    <x v="5"/>
    <s v="Organic Grocery"/>
    <s v="Rice"/>
    <n v="207"/>
    <n v="178"/>
    <n v="78"/>
    <n v="36.85"/>
    <n v="16.149999999999999"/>
    <n v="20.7"/>
    <n v="-6.22"/>
    <n v="171"/>
    <s v="Low"/>
    <s v="Supply Delay"/>
    <s v="Find Alternate Supplier"/>
    <s v="Rajasthan"/>
  </r>
  <r>
    <x v="1"/>
    <x v="8"/>
    <s v="Organic Dairy"/>
    <s v="Paneer"/>
    <n v="227"/>
    <n v="402"/>
    <n v="146"/>
    <n v="91.25"/>
    <n v="33.14"/>
    <n v="58.11"/>
    <n v="-1.68"/>
    <n v="107"/>
    <s v="Low"/>
    <s v="Supply Delay"/>
    <s v="Find Alternate Supplier"/>
    <s v="Delhi"/>
  </r>
  <r>
    <x v="0"/>
    <x v="0"/>
    <s v="Organic Superfoods"/>
    <s v="Ashwagandha"/>
    <n v="229"/>
    <n v="465"/>
    <n v="259"/>
    <n v="106.48"/>
    <n v="59.31"/>
    <n v="47.17"/>
    <n v="7.85"/>
    <n v="57"/>
    <s v="Low"/>
    <s v="Supply Delay"/>
    <s v="Find Alternate Supplier"/>
    <s v="Gujarat"/>
  </r>
  <r>
    <x v="2"/>
    <x v="7"/>
    <s v="Organic Grocery"/>
    <s v="Pulses"/>
    <n v="189"/>
    <n v="294"/>
    <n v="167"/>
    <n v="55.57"/>
    <n v="31.56"/>
    <n v="24"/>
    <n v="17.09"/>
    <n v="101"/>
    <s v="Low"/>
    <s v="Supply Delay"/>
    <s v="Find Alternate Supplier"/>
    <s v="Delhi"/>
  </r>
  <r>
    <x v="0"/>
    <x v="5"/>
    <s v="Organic Dairy"/>
    <s v="Milk"/>
    <n v="153"/>
    <n v="393"/>
    <n v="278"/>
    <n v="60.13"/>
    <n v="42.53"/>
    <n v="17.59"/>
    <n v="3.4"/>
    <n v="278"/>
    <s v="Low"/>
    <s v="Supply Delay"/>
    <s v="Find Alternate Supplier"/>
    <s v="Maharashtra"/>
  </r>
  <r>
    <x v="1"/>
    <x v="5"/>
    <s v="Organic Dairy"/>
    <s v="Paneer"/>
    <n v="470"/>
    <n v="297"/>
    <n v="105"/>
    <n v="139.59"/>
    <n v="49.35"/>
    <n v="90.24"/>
    <n v="-1.17"/>
    <n v="191"/>
    <s v="Low"/>
    <s v="Low Stock"/>
    <s v="Restock"/>
    <s v="Maharashtra"/>
  </r>
  <r>
    <x v="0"/>
    <x v="8"/>
    <s v="Organic Grocery"/>
    <s v="Wheat Flour"/>
    <n v="366"/>
    <n v="471"/>
    <n v="172"/>
    <n v="172.39"/>
    <n v="62.95"/>
    <n v="109.43"/>
    <n v="6.73"/>
    <n v="279"/>
    <s v="Low"/>
    <s v="Supply Delay"/>
    <s v="Find Alternate Supplier"/>
    <s v="Gujarat"/>
  </r>
  <r>
    <x v="1"/>
    <x v="4"/>
    <s v="Organic Grocery"/>
    <s v="Rice"/>
    <n v="301"/>
    <n v="223"/>
    <n v="188"/>
    <n v="67.12"/>
    <n v="56.59"/>
    <n v="10.54"/>
    <n v="0.89"/>
    <n v="200"/>
    <s v="High"/>
    <s v="Supply Delay"/>
    <s v="Find Alternate Supplier"/>
    <s v="Delhi"/>
  </r>
  <r>
    <x v="1"/>
    <x v="3"/>
    <s v="Organic Grocery"/>
    <s v="Dals"/>
    <n v="86"/>
    <n v="188"/>
    <n v="97"/>
    <n v="16.170000000000002"/>
    <n v="8.34"/>
    <n v="7.83"/>
    <n v="-3"/>
    <n v="93"/>
    <s v="Medium"/>
    <s v="Supply Delay"/>
    <s v="Find Alternate Supplier"/>
    <s v="Gujarat"/>
  </r>
  <r>
    <x v="2"/>
    <x v="5"/>
    <s v="Organic Superfoods"/>
    <s v="Chia Seeds"/>
    <n v="347"/>
    <n v="208"/>
    <n v="60"/>
    <n v="72.180000000000007"/>
    <n v="20.82"/>
    <n v="51.36"/>
    <n v="7.41"/>
    <n v="103"/>
    <s v="Low"/>
    <s v="Low Stock"/>
    <s v="Restock"/>
    <s v="Maharashtra"/>
  </r>
  <r>
    <x v="1"/>
    <x v="9"/>
    <s v="Organic Oils"/>
    <s v="Coconut Oil"/>
    <n v="143"/>
    <n v="158"/>
    <n v="86"/>
    <n v="22.59"/>
    <n v="12.3"/>
    <n v="10.3"/>
    <n v="-3.35"/>
    <n v="60"/>
    <s v="High"/>
    <s v="Supply Delay"/>
    <s v="Find Alternate Supplier"/>
    <s v="Karnataka"/>
  </r>
  <r>
    <x v="0"/>
    <x v="0"/>
    <s v="Organic Spices"/>
    <s v="Red Chilli Powder"/>
    <n v="389"/>
    <n v="148"/>
    <n v="99"/>
    <n v="57.57"/>
    <n v="38.51"/>
    <n v="19.059999999999999"/>
    <n v="-6.31"/>
    <n v="32"/>
    <s v="Medium"/>
    <s v="High Demand"/>
    <s v="Increase Stock"/>
    <s v="Maharashtra"/>
  </r>
  <r>
    <x v="1"/>
    <x v="5"/>
    <s v="Organic Spices"/>
    <s v="Black Pepper"/>
    <n v="147"/>
    <n v="108"/>
    <n v="80"/>
    <n v="15.88"/>
    <n v="11.76"/>
    <n v="4.12"/>
    <n v="-4.26"/>
    <n v="51"/>
    <s v="High"/>
    <s v="High Demand"/>
    <s v="Increase Stock"/>
    <s v="Gujarat"/>
  </r>
  <r>
    <x v="2"/>
    <x v="11"/>
    <s v="Organic Oils"/>
    <s v="Groundnut Oil"/>
    <n v="405"/>
    <n v="116"/>
    <n v="48"/>
    <n v="46.98"/>
    <n v="19.440000000000001"/>
    <n v="27.54"/>
    <n v="0.92"/>
    <n v="209"/>
    <s v="High"/>
    <s v="Supply Delay"/>
    <s v="Find Alternate Supplier"/>
    <s v="Gujarat"/>
  </r>
  <r>
    <x v="1"/>
    <x v="2"/>
    <s v="Organic Oils"/>
    <s v="Groundnut Oil"/>
    <n v="500"/>
    <n v="212"/>
    <n v="175"/>
    <n v="106"/>
    <n v="87.5"/>
    <n v="18.5"/>
    <n v="1.46"/>
    <n v="249"/>
    <s v="High"/>
    <s v="High Demand"/>
    <s v="Increase Stock"/>
    <s v="Delhi"/>
  </r>
  <r>
    <x v="2"/>
    <x v="11"/>
    <s v="Organic Spices"/>
    <s v="Red Chilli Powder"/>
    <n v="67"/>
    <n v="274"/>
    <n v="194"/>
    <n v="18.36"/>
    <n v="13"/>
    <n v="5.36"/>
    <n v="-4.07"/>
    <n v="170"/>
    <s v="Low"/>
    <s v="Supply Delay"/>
    <s v="Find Alternate Supplier"/>
    <s v="Delhi"/>
  </r>
  <r>
    <x v="2"/>
    <x v="11"/>
    <s v="Organic Superfoods"/>
    <s v="Amla Powder"/>
    <n v="499"/>
    <n v="200"/>
    <n v="82"/>
    <n v="99.8"/>
    <n v="40.92"/>
    <n v="58.88"/>
    <n v="19.97"/>
    <n v="212"/>
    <s v="Medium"/>
    <s v="Low Stock"/>
    <s v="Restock"/>
    <s v="Karnataka"/>
  </r>
  <r>
    <x v="0"/>
    <x v="4"/>
    <s v="Organic Dairy"/>
    <s v="Curd"/>
    <n v="376"/>
    <n v="171"/>
    <n v="84"/>
    <n v="64.3"/>
    <n v="31.58"/>
    <n v="32.71"/>
    <n v="15.26"/>
    <n v="111"/>
    <s v="Medium"/>
    <s v="None"/>
    <s v="Maintain"/>
    <s v="Delhi"/>
  </r>
  <r>
    <x v="0"/>
    <x v="7"/>
    <s v="Organic Spices"/>
    <s v="Red Chilli Powder"/>
    <n v="159"/>
    <n v="333"/>
    <n v="208"/>
    <n v="52.95"/>
    <n v="33.07"/>
    <n v="19.88"/>
    <n v="-5.83"/>
    <n v="93"/>
    <s v="Medium"/>
    <s v="High Demand"/>
    <s v="Increase Stock"/>
    <s v="Karnataka"/>
  </r>
  <r>
    <x v="2"/>
    <x v="4"/>
    <s v="Organic Dairy"/>
    <s v="Milk"/>
    <n v="208"/>
    <n v="386"/>
    <n v="64"/>
    <n v="80.290000000000006"/>
    <n v="13.31"/>
    <n v="66.98"/>
    <n v="2.16"/>
    <n v="100"/>
    <s v="Low"/>
    <s v="High Demand"/>
    <s v="Increase Stock"/>
    <s v="Delhi"/>
  </r>
  <r>
    <x v="1"/>
    <x v="10"/>
    <s v="Organic Superfoods"/>
    <s v="Ashwagandha"/>
    <n v="317"/>
    <n v="489"/>
    <n v="173"/>
    <n v="155.01"/>
    <n v="54.84"/>
    <n v="100.17"/>
    <n v="20.86"/>
    <n v="52"/>
    <s v="Medium"/>
    <s v="Low Stock"/>
    <s v="Restock"/>
    <s v="Karnataka"/>
  </r>
  <r>
    <x v="2"/>
    <x v="10"/>
    <s v="Organic Spices"/>
    <s v="Black Pepper"/>
    <n v="84"/>
    <n v="398"/>
    <n v="299"/>
    <n v="33.43"/>
    <n v="25.12"/>
    <n v="8.32"/>
    <n v="19.010000000000002"/>
    <n v="297"/>
    <s v="Low"/>
    <s v="High Demand"/>
    <s v="Increase Stock"/>
    <s v="Delhi"/>
  </r>
  <r>
    <x v="2"/>
    <x v="8"/>
    <s v="Organic Grocery"/>
    <s v="Dals"/>
    <n v="472"/>
    <n v="393"/>
    <n v="265"/>
    <n v="185.5"/>
    <n v="125.08"/>
    <n v="60.42"/>
    <n v="1.24"/>
    <n v="178"/>
    <s v="Medium"/>
    <s v="High Demand"/>
    <s v="Increase Stock"/>
    <s v="Maharashtra"/>
  </r>
  <r>
    <x v="2"/>
    <x v="3"/>
    <s v="Organic Spices"/>
    <s v="Turmeric Powder"/>
    <n v="201"/>
    <n v="475"/>
    <n v="335"/>
    <n v="95.47"/>
    <n v="67.33"/>
    <n v="28.14"/>
    <n v="20.73"/>
    <n v="106"/>
    <s v="Low"/>
    <s v="None"/>
    <s v="Maintain"/>
    <s v="Delhi"/>
  </r>
  <r>
    <x v="1"/>
    <x v="4"/>
    <s v="Organic Oils"/>
    <s v="Coconut Oil"/>
    <n v="104"/>
    <n v="266"/>
    <n v="128"/>
    <n v="27.66"/>
    <n v="13.31"/>
    <n v="14.35"/>
    <n v="22.23"/>
    <n v="124"/>
    <s v="Low"/>
    <s v="Supply Delay"/>
    <s v="Find Alternate Supplier"/>
    <s v="Rajasthan"/>
  </r>
  <r>
    <x v="2"/>
    <x v="2"/>
    <s v="Organic Grocery"/>
    <s v="Wheat Flour"/>
    <n v="414"/>
    <n v="374"/>
    <n v="359"/>
    <n v="154.84"/>
    <n v="148.63"/>
    <n v="6.21"/>
    <n v="-5.76"/>
    <n v="130"/>
    <s v="Medium"/>
    <s v="Supply Delay"/>
    <s v="Find Alternate Supplier"/>
    <s v="Delhi"/>
  </r>
  <r>
    <x v="2"/>
    <x v="1"/>
    <s v="Organic Dairy"/>
    <s v="Paneer"/>
    <n v="94"/>
    <n v="490"/>
    <n v="185"/>
    <n v="46.06"/>
    <n v="17.39"/>
    <n v="28.67"/>
    <n v="1.92"/>
    <n v="162"/>
    <s v="High"/>
    <s v="High Demand"/>
    <s v="Increase Stock"/>
    <s v="Delhi"/>
  </r>
  <r>
    <x v="2"/>
    <x v="9"/>
    <s v="Organic Dairy"/>
    <s v="Milk"/>
    <n v="235"/>
    <n v="250"/>
    <n v="114"/>
    <n v="58.75"/>
    <n v="26.79"/>
    <n v="31.96"/>
    <n v="9.83"/>
    <n v="55"/>
    <s v="High"/>
    <s v="None"/>
    <s v="Maintain"/>
    <s v="Maharashtra"/>
  </r>
  <r>
    <x v="0"/>
    <x v="2"/>
    <s v="Organic Spices"/>
    <s v="Black Pepper"/>
    <n v="378"/>
    <n v="153"/>
    <n v="116"/>
    <n v="57.83"/>
    <n v="43.85"/>
    <n v="13.99"/>
    <n v="-1.69"/>
    <n v="291"/>
    <s v="Medium"/>
    <s v="High Demand"/>
    <s v="Increase Stock"/>
    <s v="Gujarat"/>
  </r>
  <r>
    <x v="2"/>
    <x v="11"/>
    <s v="Organic Oils"/>
    <s v="Sunflower Oil"/>
    <n v="239"/>
    <n v="309"/>
    <n v="281"/>
    <n v="73.849999999999994"/>
    <n v="67.16"/>
    <n v="6.69"/>
    <n v="3.53"/>
    <n v="61"/>
    <s v="Medium"/>
    <s v="Low Stock"/>
    <s v="Restock"/>
    <s v="Delhi"/>
  </r>
  <r>
    <x v="2"/>
    <x v="1"/>
    <s v="Organic Grocery"/>
    <s v="Pulses"/>
    <n v="83"/>
    <n v="390"/>
    <n v="167"/>
    <n v="32.369999999999997"/>
    <n v="13.86"/>
    <n v="18.510000000000002"/>
    <n v="5.5"/>
    <n v="73"/>
    <s v="Medium"/>
    <s v="None"/>
    <s v="Maintain"/>
    <s v="Rajasthan"/>
  </r>
  <r>
    <x v="1"/>
    <x v="8"/>
    <s v="Organic Dairy"/>
    <s v="Paneer"/>
    <n v="261"/>
    <n v="336"/>
    <n v="210"/>
    <n v="87.7"/>
    <n v="54.81"/>
    <n v="32.89"/>
    <n v="24.93"/>
    <n v="192"/>
    <s v="High"/>
    <s v="Supply Delay"/>
    <s v="Find Alternate Supplier"/>
    <s v="Tamil Nadu"/>
  </r>
  <r>
    <x v="2"/>
    <x v="8"/>
    <s v="Organic Spices"/>
    <s v="Black Pepper"/>
    <n v="140"/>
    <n v="173"/>
    <n v="160"/>
    <n v="24.22"/>
    <n v="22.4"/>
    <n v="1.82"/>
    <n v="7.68"/>
    <n v="266"/>
    <s v="Medium"/>
    <s v="Low Stock"/>
    <s v="Restock"/>
    <s v="Gujarat"/>
  </r>
  <r>
    <x v="2"/>
    <x v="6"/>
    <s v="Organic Dairy"/>
    <s v="Ghee"/>
    <n v="325"/>
    <n v="427"/>
    <n v="295"/>
    <n v="138.78"/>
    <n v="95.88"/>
    <n v="42.9"/>
    <n v="6.33"/>
    <n v="114"/>
    <s v="Low"/>
    <s v="Low Stock"/>
    <s v="Restock"/>
    <s v="Tamil Nadu"/>
  </r>
  <r>
    <x v="2"/>
    <x v="11"/>
    <s v="Organic Oils"/>
    <s v="Groundnut Oil"/>
    <n v="82"/>
    <n v="359"/>
    <n v="188"/>
    <n v="29.44"/>
    <n v="15.42"/>
    <n v="14.02"/>
    <n v="18.04"/>
    <n v="235"/>
    <s v="Medium"/>
    <s v="Low Stock"/>
    <s v="Restock"/>
    <s v="Gujarat"/>
  </r>
  <r>
    <x v="2"/>
    <x v="2"/>
    <s v="Organic Grocery"/>
    <s v="Dals"/>
    <n v="308"/>
    <n v="418"/>
    <n v="94"/>
    <n v="128.74"/>
    <n v="28.95"/>
    <n v="99.79"/>
    <n v="-8.4700000000000006"/>
    <n v="220"/>
    <s v="High"/>
    <s v="None"/>
    <s v="Maintain"/>
    <s v="Tamil Nadu"/>
  </r>
  <r>
    <x v="1"/>
    <x v="1"/>
    <s v="Organic Superfoods"/>
    <s v="Amla Powder"/>
    <n v="483"/>
    <n v="98"/>
    <n v="64"/>
    <n v="47.33"/>
    <n v="30.91"/>
    <n v="16.420000000000002"/>
    <n v="4.7699999999999996"/>
    <n v="34"/>
    <s v="Medium"/>
    <s v="Supply Delay"/>
    <s v="Find Alternate Supplier"/>
    <s v="Maharashtra"/>
  </r>
  <r>
    <x v="2"/>
    <x v="10"/>
    <s v="Organic Superfoods"/>
    <s v="Ashwagandha"/>
    <n v="479"/>
    <n v="57"/>
    <n v="34"/>
    <n v="27.3"/>
    <n v="16.29"/>
    <n v="11.02"/>
    <n v="2.2400000000000002"/>
    <n v="265"/>
    <s v="High"/>
    <s v="Low Stock"/>
    <s v="Restock"/>
    <s v="Delhi"/>
  </r>
  <r>
    <x v="0"/>
    <x v="1"/>
    <s v="Organic Dairy"/>
    <s v="Paneer"/>
    <n v="149"/>
    <n v="422"/>
    <n v="172"/>
    <n v="62.88"/>
    <n v="25.63"/>
    <n v="37.25"/>
    <n v="19.45"/>
    <n v="83"/>
    <s v="Medium"/>
    <s v="None"/>
    <s v="Maintain"/>
    <s v="Delhi"/>
  </r>
  <r>
    <x v="0"/>
    <x v="1"/>
    <s v="Organic Oils"/>
    <s v="Coconut Oil"/>
    <n v="230"/>
    <n v="481"/>
    <n v="199"/>
    <n v="110.63"/>
    <n v="45.77"/>
    <n v="64.86"/>
    <n v="-6.19"/>
    <n v="21"/>
    <s v="High"/>
    <s v="None"/>
    <s v="Maintain"/>
    <s v="Delhi"/>
  </r>
  <r>
    <x v="0"/>
    <x v="10"/>
    <s v="Organic Dairy"/>
    <s v="Paneer"/>
    <n v="362"/>
    <n v="452"/>
    <n v="167"/>
    <n v="163.62"/>
    <n v="60.45"/>
    <n v="103.17"/>
    <n v="14.8"/>
    <n v="190"/>
    <s v="Medium"/>
    <s v="Supply Delay"/>
    <s v="Find Alternate Supplier"/>
    <s v="Maharashtra"/>
  </r>
  <r>
    <x v="0"/>
    <x v="0"/>
    <s v="Organic Dairy"/>
    <s v="Milk"/>
    <n v="155"/>
    <n v="243"/>
    <n v="81"/>
    <n v="37.659999999999997"/>
    <n v="12.55"/>
    <n v="25.11"/>
    <n v="9.51"/>
    <n v="209"/>
    <s v="Low"/>
    <s v="High Demand"/>
    <s v="Increase Stock"/>
    <s v="Tamil Nadu"/>
  </r>
  <r>
    <x v="0"/>
    <x v="2"/>
    <s v="Organic Dairy"/>
    <s v="Ghee"/>
    <n v="71"/>
    <n v="437"/>
    <n v="106"/>
    <n v="31.03"/>
    <n v="7.53"/>
    <n v="23.5"/>
    <n v="18.98"/>
    <n v="160"/>
    <s v="Low"/>
    <s v="High Demand"/>
    <s v="Increase Stock"/>
    <s v="Rajasthan"/>
  </r>
  <r>
    <x v="2"/>
    <x v="8"/>
    <s v="Organic Oils"/>
    <s v="Sunflower Oil"/>
    <n v="331"/>
    <n v="499"/>
    <n v="413"/>
    <n v="165.17"/>
    <n v="136.69999999999999"/>
    <n v="28.47"/>
    <n v="17.190000000000001"/>
    <n v="45"/>
    <s v="High"/>
    <s v="Supply Delay"/>
    <s v="Find Alternate Supplier"/>
    <s v="Tamil Nadu"/>
  </r>
  <r>
    <x v="0"/>
    <x v="11"/>
    <s v="Organic Oils"/>
    <s v="Sunflower Oil"/>
    <n v="269"/>
    <n v="155"/>
    <n v="31"/>
    <n v="41.7"/>
    <n v="8.34"/>
    <n v="33.36"/>
    <n v="23.11"/>
    <n v="220"/>
    <s v="High"/>
    <s v="Supply Delay"/>
    <s v="Find Alternate Supplier"/>
    <s v="Delhi"/>
  </r>
  <r>
    <x v="2"/>
    <x v="4"/>
    <s v="Organic Oils"/>
    <s v="Coconut Oil"/>
    <n v="463"/>
    <n v="336"/>
    <n v="119"/>
    <n v="155.57"/>
    <n v="55.1"/>
    <n v="100.47"/>
    <n v="0.89"/>
    <n v="142"/>
    <s v="Low"/>
    <s v="Low Stock"/>
    <s v="Restock"/>
    <s v="Gujarat"/>
  </r>
  <r>
    <x v="2"/>
    <x v="5"/>
    <s v="Organic Grocery"/>
    <s v="Pulses"/>
    <n v="209"/>
    <n v="452"/>
    <n v="134"/>
    <n v="94.47"/>
    <n v="28.01"/>
    <n v="66.459999999999994"/>
    <n v="0.16"/>
    <n v="262"/>
    <s v="High"/>
    <s v="Supply Delay"/>
    <s v="Find Alternate Supplier"/>
    <s v="Karnataka"/>
  </r>
  <r>
    <x v="0"/>
    <x v="10"/>
    <s v="Organic Grocery"/>
    <s v="Pulses"/>
    <n v="253"/>
    <n v="217"/>
    <n v="132"/>
    <n v="54.9"/>
    <n v="33.4"/>
    <n v="21.51"/>
    <n v="1.06"/>
    <n v="85"/>
    <s v="Low"/>
    <s v="Low Stock"/>
    <s v="Restock"/>
    <s v="Tamil Nadu"/>
  </r>
  <r>
    <x v="2"/>
    <x v="6"/>
    <s v="Organic Dairy"/>
    <s v="Milk"/>
    <n v="132"/>
    <n v="464"/>
    <n v="398"/>
    <n v="61.25"/>
    <n v="52.54"/>
    <n v="8.7100000000000009"/>
    <n v="5.96"/>
    <n v="54"/>
    <s v="Low"/>
    <s v="None"/>
    <s v="Maintain"/>
    <s v="Maharashtra"/>
  </r>
  <r>
    <x v="2"/>
    <x v="7"/>
    <s v="Organic Dairy"/>
    <s v="Milk"/>
    <n v="132"/>
    <n v="188"/>
    <n v="66"/>
    <n v="24.82"/>
    <n v="8.7100000000000009"/>
    <n v="16.100000000000001"/>
    <n v="13.88"/>
    <n v="273"/>
    <s v="High"/>
    <s v="High Demand"/>
    <s v="Increase Stock"/>
    <s v="Gujarat"/>
  </r>
  <r>
    <x v="1"/>
    <x v="3"/>
    <s v="Organic Superfoods"/>
    <s v="Chia Seeds"/>
    <n v="206"/>
    <n v="458"/>
    <n v="199"/>
    <n v="94.35"/>
    <n v="40.99"/>
    <n v="53.35"/>
    <n v="3.91"/>
    <n v="145"/>
    <s v="Low"/>
    <s v="Low Stock"/>
    <s v="Restock"/>
    <s v="Rajasthan"/>
  </r>
  <r>
    <x v="2"/>
    <x v="5"/>
    <s v="Organic Dairy"/>
    <s v="Milk"/>
    <n v="388"/>
    <n v="439"/>
    <n v="198"/>
    <n v="170.33"/>
    <n v="76.819999999999993"/>
    <n v="93.51"/>
    <n v="1.93"/>
    <n v="27"/>
    <s v="High"/>
    <s v="None"/>
    <s v="Maintain"/>
    <s v="Maharashtra"/>
  </r>
  <r>
    <x v="0"/>
    <x v="6"/>
    <s v="Organic Grocery"/>
    <s v="Pulses"/>
    <n v="201"/>
    <n v="163"/>
    <n v="56"/>
    <n v="32.76"/>
    <n v="11.26"/>
    <n v="21.51"/>
    <n v="23.8"/>
    <n v="258"/>
    <s v="Low"/>
    <s v="Supply Delay"/>
    <s v="Find Alternate Supplier"/>
    <s v="Karnataka"/>
  </r>
  <r>
    <x v="0"/>
    <x v="6"/>
    <s v="Organic Superfoods"/>
    <s v="Chia Seeds"/>
    <n v="424"/>
    <n v="469"/>
    <n v="411"/>
    <n v="198.86"/>
    <n v="174.26"/>
    <n v="24.59"/>
    <n v="18.93"/>
    <n v="218"/>
    <s v="Low"/>
    <s v="Low Stock"/>
    <s v="Restock"/>
    <s v="Gujarat"/>
  </r>
  <r>
    <x v="0"/>
    <x v="8"/>
    <s v="Organic Superfoods"/>
    <s v="Amla Powder"/>
    <n v="55"/>
    <n v="473"/>
    <n v="435"/>
    <n v="26.02"/>
    <n v="23.93"/>
    <n v="2.09"/>
    <n v="7.84"/>
    <n v="282"/>
    <s v="High"/>
    <s v="High Demand"/>
    <s v="Increase Stock"/>
    <s v="Maharashtra"/>
  </r>
  <r>
    <x v="0"/>
    <x v="5"/>
    <s v="Organic Spices"/>
    <s v="Red Chilli Powder"/>
    <n v="464"/>
    <n v="176"/>
    <n v="165"/>
    <n v="81.66"/>
    <n v="76.56"/>
    <n v="5.0999999999999996"/>
    <n v="-2.0499999999999998"/>
    <n v="47"/>
    <s v="Medium"/>
    <s v="None"/>
    <s v="Maintain"/>
    <s v="Delhi"/>
  </r>
  <r>
    <x v="0"/>
    <x v="1"/>
    <s v="Organic Oils"/>
    <s v="Coconut Oil"/>
    <n v="439"/>
    <n v="96"/>
    <n v="77"/>
    <n v="42.14"/>
    <n v="33.799999999999997"/>
    <n v="8.34"/>
    <n v="18.03"/>
    <n v="88"/>
    <s v="Medium"/>
    <s v="High Demand"/>
    <s v="Increase Stock"/>
    <s v="Rajasthan"/>
  </r>
  <r>
    <x v="0"/>
    <x v="0"/>
    <s v="Organic Superfoods"/>
    <s v="Amla Powder"/>
    <n v="163"/>
    <n v="101"/>
    <n v="46"/>
    <n v="16.46"/>
    <n v="7.5"/>
    <n v="8.9600000000000009"/>
    <n v="2.31"/>
    <n v="48"/>
    <s v="Medium"/>
    <s v="Low Stock"/>
    <s v="Restock"/>
    <s v="Tamil Nadu"/>
  </r>
  <r>
    <x v="2"/>
    <x v="10"/>
    <s v="Organic Oils"/>
    <s v="Groundnut Oil"/>
    <n v="447"/>
    <n v="190"/>
    <n v="49"/>
    <n v="84.93"/>
    <n v="21.9"/>
    <n v="63.03"/>
    <n v="17.73"/>
    <n v="165"/>
    <s v="High"/>
    <s v="None"/>
    <s v="Maintain"/>
    <s v="Delhi"/>
  </r>
  <r>
    <x v="2"/>
    <x v="1"/>
    <s v="Organic Superfoods"/>
    <s v="Amla Powder"/>
    <n v="190"/>
    <n v="311"/>
    <n v="150"/>
    <n v="59.09"/>
    <n v="28.5"/>
    <n v="30.59"/>
    <n v="17.23"/>
    <n v="138"/>
    <s v="Medium"/>
    <s v="High Demand"/>
    <s v="Increase Stock"/>
    <s v="Tamil Nadu"/>
  </r>
  <r>
    <x v="1"/>
    <x v="10"/>
    <s v="Organic Grocery"/>
    <s v="Pulses"/>
    <n v="164"/>
    <n v="64"/>
    <n v="54"/>
    <n v="10.5"/>
    <n v="8.86"/>
    <n v="1.64"/>
    <n v="23.61"/>
    <n v="79"/>
    <s v="Low"/>
    <s v="None"/>
    <s v="Maintain"/>
    <s v="Tamil Nadu"/>
  </r>
  <r>
    <x v="1"/>
    <x v="9"/>
    <s v="Organic Dairy"/>
    <s v="Milk"/>
    <n v="385"/>
    <n v="107"/>
    <n v="52"/>
    <n v="41.2"/>
    <n v="20.02"/>
    <n v="21.18"/>
    <n v="16.350000000000001"/>
    <n v="218"/>
    <s v="Low"/>
    <s v="None"/>
    <s v="Maintain"/>
    <s v="Karnataka"/>
  </r>
  <r>
    <x v="1"/>
    <x v="6"/>
    <s v="Organic Dairy"/>
    <s v="Milk"/>
    <n v="289"/>
    <n v="257"/>
    <n v="167"/>
    <n v="74.27"/>
    <n v="48.26"/>
    <n v="26.01"/>
    <n v="12.66"/>
    <n v="120"/>
    <s v="Medium"/>
    <s v="Supply Delay"/>
    <s v="Find Alternate Supplier"/>
    <s v="Maharashtra"/>
  </r>
  <r>
    <x v="0"/>
    <x v="2"/>
    <s v="Organic Dairy"/>
    <s v="Curd"/>
    <n v="295"/>
    <n v="358"/>
    <n v="166"/>
    <n v="105.61"/>
    <n v="48.97"/>
    <n v="56.64"/>
    <n v="-7.35"/>
    <n v="97"/>
    <s v="Low"/>
    <s v="Supply Delay"/>
    <s v="Find Alternate Supplier"/>
    <s v="Karnataka"/>
  </r>
  <r>
    <x v="1"/>
    <x v="0"/>
    <s v="Organic Dairy"/>
    <s v="Paneer"/>
    <n v="430"/>
    <n v="93"/>
    <n v="49"/>
    <n v="39.99"/>
    <n v="21.07"/>
    <n v="18.920000000000002"/>
    <n v="8.2799999999999994"/>
    <n v="291"/>
    <s v="High"/>
    <s v="High Demand"/>
    <s v="Increase Stock"/>
    <s v="Tamil Nadu"/>
  </r>
  <r>
    <x v="2"/>
    <x v="4"/>
    <s v="Organic Spices"/>
    <s v="Turmeric Powder"/>
    <n v="252"/>
    <n v="163"/>
    <n v="130"/>
    <n v="41.08"/>
    <n v="32.76"/>
    <n v="8.32"/>
    <n v="-2.8"/>
    <n v="77"/>
    <s v="Low"/>
    <s v="High Demand"/>
    <s v="Increase Stock"/>
    <s v="Delhi"/>
  </r>
  <r>
    <x v="0"/>
    <x v="6"/>
    <s v="Organic Dairy"/>
    <s v="Milk"/>
    <n v="460"/>
    <n v="162"/>
    <n v="38"/>
    <n v="74.52"/>
    <n v="17.48"/>
    <n v="57.04"/>
    <n v="12.8"/>
    <n v="250"/>
    <s v="Medium"/>
    <s v="None"/>
    <s v="Maintain"/>
    <s v="Tamil Nadu"/>
  </r>
  <r>
    <x v="2"/>
    <x v="7"/>
    <s v="Organic Superfoods"/>
    <s v="Amla Powder"/>
    <n v="498"/>
    <n v="210"/>
    <n v="169"/>
    <n v="104.58"/>
    <n v="84.16"/>
    <n v="20.420000000000002"/>
    <n v="17.100000000000001"/>
    <n v="178"/>
    <s v="Low"/>
    <s v="None"/>
    <s v="Maintain"/>
    <s v="Karnataka"/>
  </r>
  <r>
    <x v="2"/>
    <x v="3"/>
    <s v="Organic Dairy"/>
    <s v="Paneer"/>
    <n v="83"/>
    <n v="361"/>
    <n v="280"/>
    <n v="29.96"/>
    <n v="23.24"/>
    <n v="6.72"/>
    <n v="-5.68"/>
    <n v="48"/>
    <s v="High"/>
    <s v="Low Stock"/>
    <s v="Restock"/>
    <s v="Delhi"/>
  </r>
  <r>
    <x v="1"/>
    <x v="5"/>
    <s v="Organic Superfoods"/>
    <s v="Amla Powder"/>
    <n v="464"/>
    <n v="164"/>
    <n v="57"/>
    <n v="76.099999999999994"/>
    <n v="26.45"/>
    <n v="49.65"/>
    <n v="11.61"/>
    <n v="137"/>
    <s v="Medium"/>
    <s v="Low Stock"/>
    <s v="Restock"/>
    <s v="Gujarat"/>
  </r>
  <r>
    <x v="1"/>
    <x v="10"/>
    <s v="Organic Oils"/>
    <s v="Coconut Oil"/>
    <n v="169"/>
    <n v="167"/>
    <n v="93"/>
    <n v="28.22"/>
    <n v="15.72"/>
    <n v="12.51"/>
    <n v="9.41"/>
    <n v="111"/>
    <s v="High"/>
    <s v="Low Stock"/>
    <s v="Restock"/>
    <s v="Gujarat"/>
  </r>
  <r>
    <x v="0"/>
    <x v="1"/>
    <s v="Organic Spices"/>
    <s v="Turmeric Powder"/>
    <n v="116"/>
    <n v="108"/>
    <n v="66"/>
    <n v="12.53"/>
    <n v="7.66"/>
    <n v="4.87"/>
    <n v="-1.62"/>
    <n v="295"/>
    <s v="Low"/>
    <s v="Low Stock"/>
    <s v="Restock"/>
    <s v="Karnataka"/>
  </r>
  <r>
    <x v="0"/>
    <x v="7"/>
    <s v="Organic Superfoods"/>
    <s v="Chia Seeds"/>
    <n v="108"/>
    <n v="382"/>
    <n v="37"/>
    <n v="41.26"/>
    <n v="4"/>
    <n v="37.26"/>
    <n v="22.96"/>
    <n v="219"/>
    <s v="High"/>
    <s v="High Demand"/>
    <s v="Increase Stock"/>
    <s v="Delhi"/>
  </r>
  <r>
    <x v="0"/>
    <x v="1"/>
    <s v="Organic Spices"/>
    <s v="Red Chilli Powder"/>
    <n v="418"/>
    <n v="196"/>
    <n v="83"/>
    <n v="81.93"/>
    <n v="34.69"/>
    <n v="47.23"/>
    <n v="11.43"/>
    <n v="38"/>
    <s v="Low"/>
    <s v="Low Stock"/>
    <s v="Restock"/>
    <s v="Delhi"/>
  </r>
  <r>
    <x v="1"/>
    <x v="5"/>
    <s v="Organic Oils"/>
    <s v="Sunflower Oil"/>
    <n v="491"/>
    <n v="77"/>
    <n v="33"/>
    <n v="37.81"/>
    <n v="16.2"/>
    <n v="21.6"/>
    <n v="21.32"/>
    <n v="82"/>
    <s v="High"/>
    <s v="None"/>
    <s v="Maintain"/>
    <s v="Gujarat"/>
  </r>
  <r>
    <x v="0"/>
    <x v="3"/>
    <s v="Organic Grocery"/>
    <s v="Dals"/>
    <n v="286"/>
    <n v="379"/>
    <n v="38"/>
    <n v="108.39"/>
    <n v="10.87"/>
    <n v="97.53"/>
    <n v="9.73"/>
    <n v="229"/>
    <s v="High"/>
    <s v="High Demand"/>
    <s v="Increase Stock"/>
    <s v="Rajasthan"/>
  </r>
  <r>
    <x v="0"/>
    <x v="1"/>
    <s v="Organic Oils"/>
    <s v="Sunflower Oil"/>
    <n v="77"/>
    <n v="97"/>
    <n v="80"/>
    <n v="7.47"/>
    <n v="6.16"/>
    <n v="1.31"/>
    <n v="21.81"/>
    <n v="297"/>
    <s v="Medium"/>
    <s v="None"/>
    <s v="Maintain"/>
    <s v="Gujarat"/>
  </r>
  <r>
    <x v="0"/>
    <x v="8"/>
    <s v="Organic Oils"/>
    <s v="Groundnut Oil"/>
    <n v="301"/>
    <n v="254"/>
    <n v="197"/>
    <n v="76.45"/>
    <n v="59.3"/>
    <n v="17.16"/>
    <n v="-3.52"/>
    <n v="295"/>
    <s v="High"/>
    <s v="Supply Delay"/>
    <s v="Find Alternate Supplier"/>
    <s v="Tamil Nadu"/>
  </r>
  <r>
    <x v="0"/>
    <x v="3"/>
    <s v="Organic Oils"/>
    <s v="Coconut Oil"/>
    <n v="349"/>
    <n v="186"/>
    <n v="114"/>
    <n v="64.91"/>
    <n v="39.79"/>
    <n v="25.13"/>
    <n v="-8.86"/>
    <n v="273"/>
    <s v="Low"/>
    <s v="Low Stock"/>
    <s v="Restock"/>
    <s v="Karnataka"/>
  </r>
  <r>
    <x v="0"/>
    <x v="7"/>
    <s v="Organic Grocery"/>
    <s v="Wheat Flour"/>
    <n v="355"/>
    <n v="456"/>
    <n v="346"/>
    <n v="161.88"/>
    <n v="122.83"/>
    <n v="39.049999999999997"/>
    <n v="-3.86"/>
    <n v="80"/>
    <s v="High"/>
    <s v="Supply Delay"/>
    <s v="Find Alternate Supplier"/>
    <s v="Karnataka"/>
  </r>
  <r>
    <x v="2"/>
    <x v="11"/>
    <s v="Organic Dairy"/>
    <s v="Milk"/>
    <n v="173"/>
    <n v="384"/>
    <n v="126"/>
    <n v="66.430000000000007"/>
    <n v="21.8"/>
    <n v="44.63"/>
    <n v="15.29"/>
    <n v="45"/>
    <s v="Medium"/>
    <s v="High Demand"/>
    <s v="Increase Stock"/>
    <s v="Karnataka"/>
  </r>
  <r>
    <x v="1"/>
    <x v="9"/>
    <s v="Organic Superfoods"/>
    <s v="Chia Seeds"/>
    <n v="160"/>
    <n v="293"/>
    <n v="210"/>
    <n v="46.88"/>
    <n v="33.6"/>
    <n v="13.28"/>
    <n v="18.86"/>
    <n v="58"/>
    <s v="High"/>
    <s v="None"/>
    <s v="Maintain"/>
    <s v="Karnataka"/>
  </r>
  <r>
    <x v="2"/>
    <x v="4"/>
    <s v="Organic Oils"/>
    <s v="Sunflower Oil"/>
    <n v="91"/>
    <n v="391"/>
    <n v="57"/>
    <n v="35.58"/>
    <n v="5.19"/>
    <n v="30.39"/>
    <n v="2.88"/>
    <n v="298"/>
    <s v="High"/>
    <s v="Supply Delay"/>
    <s v="Find Alternate Supplier"/>
    <s v="Tamil Nadu"/>
  </r>
  <r>
    <x v="1"/>
    <x v="1"/>
    <s v="Organic Spices"/>
    <s v="Black Pepper"/>
    <n v="363"/>
    <n v="231"/>
    <n v="181"/>
    <n v="83.85"/>
    <n v="65.7"/>
    <n v="18.149999999999999"/>
    <n v="0.23"/>
    <n v="190"/>
    <s v="Low"/>
    <s v="Low Stock"/>
    <s v="Restock"/>
    <s v="Rajasthan"/>
  </r>
  <r>
    <x v="2"/>
    <x v="6"/>
    <s v="Organic Spices"/>
    <s v="Red Chilli Powder"/>
    <n v="366"/>
    <n v="220"/>
    <n v="114"/>
    <n v="80.52"/>
    <n v="41.72"/>
    <n v="38.799999999999997"/>
    <n v="7.29"/>
    <n v="284"/>
    <s v="Medium"/>
    <s v="High Demand"/>
    <s v="Increase Stock"/>
    <s v="Gujarat"/>
  </r>
  <r>
    <x v="0"/>
    <x v="2"/>
    <s v="Organic Superfoods"/>
    <s v="Amla Powder"/>
    <n v="116"/>
    <n v="272"/>
    <n v="138"/>
    <n v="31.55"/>
    <n v="16.010000000000002"/>
    <n v="15.54"/>
    <n v="21.52"/>
    <n v="266"/>
    <s v="High"/>
    <s v="Supply Delay"/>
    <s v="Find Alternate Supplier"/>
    <s v="Gujarat"/>
  </r>
  <r>
    <x v="1"/>
    <x v="11"/>
    <s v="Organic Oils"/>
    <s v="Coconut Oil"/>
    <n v="345"/>
    <n v="463"/>
    <n v="134"/>
    <n v="159.74"/>
    <n v="46.23"/>
    <n v="113.51"/>
    <n v="2.35"/>
    <n v="66"/>
    <s v="Low"/>
    <s v="Supply Delay"/>
    <s v="Find Alternate Supplier"/>
    <s v="Gujarat"/>
  </r>
  <r>
    <x v="1"/>
    <x v="0"/>
    <s v="Organic Dairy"/>
    <s v="Curd"/>
    <n v="195"/>
    <n v="428"/>
    <n v="245"/>
    <n v="83.46"/>
    <n v="47.77"/>
    <n v="35.68"/>
    <n v="20.81"/>
    <n v="204"/>
    <s v="Medium"/>
    <s v="Low Stock"/>
    <s v="Restock"/>
    <s v="Karnataka"/>
  </r>
  <r>
    <x v="0"/>
    <x v="4"/>
    <s v="Organic Oils"/>
    <s v="Coconut Oil"/>
    <n v="226"/>
    <n v="410"/>
    <n v="263"/>
    <n v="92.66"/>
    <n v="59.44"/>
    <n v="33.22"/>
    <n v="3.1"/>
    <n v="120"/>
    <s v="High"/>
    <s v="Low Stock"/>
    <s v="Restock"/>
    <s v="Rajasthan"/>
  </r>
  <r>
    <x v="2"/>
    <x v="8"/>
    <s v="Organic Grocery"/>
    <s v="Rice"/>
    <n v="270"/>
    <n v="179"/>
    <n v="73"/>
    <n v="48.33"/>
    <n v="19.71"/>
    <n v="28.62"/>
    <n v="3.11"/>
    <n v="259"/>
    <s v="Medium"/>
    <s v="Low Stock"/>
    <s v="Restock"/>
    <s v="Rajasthan"/>
  </r>
  <r>
    <x v="0"/>
    <x v="11"/>
    <s v="Organic Oils"/>
    <s v="Groundnut Oil"/>
    <n v="481"/>
    <n v="377"/>
    <n v="304"/>
    <n v="181.34"/>
    <n v="146.22"/>
    <n v="35.11"/>
    <n v="-3.09"/>
    <n v="141"/>
    <s v="Low"/>
    <s v="High Demand"/>
    <s v="Increase Stock"/>
    <s v="Maharashtra"/>
  </r>
  <r>
    <x v="2"/>
    <x v="5"/>
    <s v="Organic Grocery"/>
    <s v="Pulses"/>
    <n v="422"/>
    <n v="110"/>
    <n v="83"/>
    <n v="46.42"/>
    <n v="35.03"/>
    <n v="11.39"/>
    <n v="3.31"/>
    <n v="164"/>
    <s v="Low"/>
    <s v="High Demand"/>
    <s v="Increase Stock"/>
    <s v="Maharashtra"/>
  </r>
  <r>
    <x v="1"/>
    <x v="6"/>
    <s v="Organic Grocery"/>
    <s v="Rice"/>
    <n v="241"/>
    <n v="434"/>
    <n v="265"/>
    <n v="104.59"/>
    <n v="63.87"/>
    <n v="40.729999999999997"/>
    <n v="20.25"/>
    <n v="243"/>
    <s v="High"/>
    <s v="None"/>
    <s v="Maintain"/>
    <s v="Karnataka"/>
  </r>
  <r>
    <x v="0"/>
    <x v="7"/>
    <s v="Organic Oils"/>
    <s v="Sunflower Oil"/>
    <n v="358"/>
    <n v="103"/>
    <n v="55"/>
    <n v="36.869999999999997"/>
    <n v="19.690000000000001"/>
    <n v="17.18"/>
    <n v="-6.14"/>
    <n v="174"/>
    <s v="Medium"/>
    <s v="None"/>
    <s v="Maintain"/>
    <s v="Delhi"/>
  </r>
  <r>
    <x v="0"/>
    <x v="9"/>
    <s v="Organic Spices"/>
    <s v="Black Pepper"/>
    <n v="115"/>
    <n v="103"/>
    <n v="65"/>
    <n v="11.85"/>
    <n v="7.47"/>
    <n v="4.37"/>
    <n v="7.48"/>
    <n v="255"/>
    <s v="High"/>
    <s v="High Demand"/>
    <s v="Increase Stock"/>
    <s v="Gujarat"/>
  </r>
  <r>
    <x v="1"/>
    <x v="2"/>
    <s v="Organic Oils"/>
    <s v="Coconut Oil"/>
    <n v="230"/>
    <n v="195"/>
    <n v="129"/>
    <n v="44.85"/>
    <n v="29.67"/>
    <n v="15.18"/>
    <n v="0.1"/>
    <n v="149"/>
    <s v="High"/>
    <s v="High Demand"/>
    <s v="Increase Stock"/>
    <s v="Gujarat"/>
  </r>
  <r>
    <x v="1"/>
    <x v="6"/>
    <s v="Organic Oils"/>
    <s v="Coconut Oil"/>
    <n v="454"/>
    <n v="74"/>
    <n v="43"/>
    <n v="33.6"/>
    <n v="19.52"/>
    <n v="14.07"/>
    <n v="12.27"/>
    <n v="195"/>
    <s v="Medium"/>
    <s v="None"/>
    <s v="Maintain"/>
    <s v="Maharashtra"/>
  </r>
  <r>
    <x v="2"/>
    <x v="4"/>
    <s v="Organic Spices"/>
    <s v="Red Chilli Powder"/>
    <n v="100"/>
    <n v="353"/>
    <n v="312"/>
    <n v="35.299999999999997"/>
    <n v="31.2"/>
    <n v="4.0999999999999996"/>
    <n v="12.87"/>
    <n v="262"/>
    <s v="Medium"/>
    <s v="High Demand"/>
    <s v="Increase Stock"/>
    <s v="Rajasthan"/>
  </r>
  <r>
    <x v="1"/>
    <x v="3"/>
    <s v="Organic Dairy"/>
    <s v="Curd"/>
    <n v="244"/>
    <n v="211"/>
    <n v="70"/>
    <n v="51.48"/>
    <n v="17.079999999999998"/>
    <n v="34.4"/>
    <n v="0"/>
    <n v="219"/>
    <s v="Low"/>
    <s v="None"/>
    <s v="Maintain"/>
    <s v="Gujarat"/>
  </r>
  <r>
    <x v="0"/>
    <x v="3"/>
    <s v="Organic Spices"/>
    <s v="Turmeric Powder"/>
    <n v="225"/>
    <n v="293"/>
    <n v="87"/>
    <n v="65.92"/>
    <n v="19.57"/>
    <n v="46.35"/>
    <n v="-5.0199999999999996"/>
    <n v="165"/>
    <s v="High"/>
    <s v="Supply Delay"/>
    <s v="Find Alternate Supplier"/>
    <s v="Karnataka"/>
  </r>
  <r>
    <x v="2"/>
    <x v="4"/>
    <s v="Organic Dairy"/>
    <s v="Milk"/>
    <n v="398"/>
    <n v="60"/>
    <n v="35"/>
    <n v="23.88"/>
    <n v="13.93"/>
    <n v="9.9499999999999993"/>
    <n v="-8.27"/>
    <n v="206"/>
    <s v="High"/>
    <s v="None"/>
    <s v="Maintain"/>
    <s v="Maharashtra"/>
  </r>
  <r>
    <x v="0"/>
    <x v="9"/>
    <s v="Organic Grocery"/>
    <s v="Rice"/>
    <n v="353"/>
    <n v="386"/>
    <n v="320"/>
    <n v="136.26"/>
    <n v="112.96"/>
    <n v="23.3"/>
    <n v="0.53"/>
    <n v="148"/>
    <s v="High"/>
    <s v="High Demand"/>
    <s v="Increase Stock"/>
    <s v="Maharashtra"/>
  </r>
  <r>
    <x v="0"/>
    <x v="4"/>
    <s v="Organic Grocery"/>
    <s v="Wheat Flour"/>
    <n v="262"/>
    <n v="246"/>
    <n v="123"/>
    <n v="64.45"/>
    <n v="32.229999999999997"/>
    <n v="32.229999999999997"/>
    <n v="13.58"/>
    <n v="157"/>
    <s v="High"/>
    <s v="Supply Delay"/>
    <s v="Find Alternate Supplier"/>
    <s v="Gujarat"/>
  </r>
  <r>
    <x v="0"/>
    <x v="8"/>
    <s v="Organic Oils"/>
    <s v="Sunflower Oil"/>
    <n v="385"/>
    <n v="413"/>
    <n v="32"/>
    <n v="159"/>
    <n v="12.32"/>
    <n v="146.69"/>
    <n v="7.36"/>
    <n v="181"/>
    <s v="Low"/>
    <s v="High Demand"/>
    <s v="Increase Stock"/>
    <s v="Delhi"/>
  </r>
  <r>
    <x v="0"/>
    <x v="10"/>
    <s v="Organic Oils"/>
    <s v="Groundnut Oil"/>
    <n v="331"/>
    <n v="291"/>
    <n v="250"/>
    <n v="96.32"/>
    <n v="82.75"/>
    <n v="13.57"/>
    <n v="-0.45"/>
    <n v="251"/>
    <s v="High"/>
    <s v="High Demand"/>
    <s v="Increase Stock"/>
    <s v="Delhi"/>
  </r>
  <r>
    <x v="0"/>
    <x v="3"/>
    <s v="Organic Superfoods"/>
    <s v="Chia Seeds"/>
    <n v="399"/>
    <n v="296"/>
    <n v="281"/>
    <n v="118.1"/>
    <n v="112.12"/>
    <n v="5.98"/>
    <n v="1.81"/>
    <n v="238"/>
    <s v="Low"/>
    <s v="Low Stock"/>
    <s v="Restock"/>
    <s v="Maharashtra"/>
  </r>
  <r>
    <x v="0"/>
    <x v="2"/>
    <s v="Organic Spices"/>
    <s v="Turmeric Powder"/>
    <n v="359"/>
    <n v="272"/>
    <n v="248"/>
    <n v="97.65"/>
    <n v="89.03"/>
    <n v="8.6199999999999992"/>
    <n v="17.47"/>
    <n v="146"/>
    <s v="Medium"/>
    <s v="Supply Delay"/>
    <s v="Find Alternate Supplier"/>
    <s v="Rajasthan"/>
  </r>
  <r>
    <x v="0"/>
    <x v="10"/>
    <s v="Organic Superfoods"/>
    <s v="Amla Powder"/>
    <n v="314"/>
    <n v="379"/>
    <n v="337"/>
    <n v="119.01"/>
    <n v="105.82"/>
    <n v="13.19"/>
    <n v="-8.18"/>
    <n v="253"/>
    <s v="High"/>
    <s v="Low Stock"/>
    <s v="Restock"/>
    <s v="Karnataka"/>
  </r>
  <r>
    <x v="2"/>
    <x v="10"/>
    <s v="Organic Spices"/>
    <s v="Red Chilli Powder"/>
    <n v="399"/>
    <n v="82"/>
    <n v="70"/>
    <n v="32.72"/>
    <n v="27.93"/>
    <n v="4.79"/>
    <n v="-3.79"/>
    <n v="298"/>
    <s v="Low"/>
    <s v="Low Stock"/>
    <s v="Restock"/>
    <s v="Maharashtra"/>
  </r>
  <r>
    <x v="0"/>
    <x v="0"/>
    <s v="Organic Spices"/>
    <s v="Red Chilli Powder"/>
    <n v="150"/>
    <n v="65"/>
    <n v="34"/>
    <n v="9.75"/>
    <n v="5.0999999999999996"/>
    <n v="4.6500000000000004"/>
    <n v="6.58"/>
    <n v="113"/>
    <s v="Low"/>
    <s v="None"/>
    <s v="Maintain"/>
    <s v="Gujarat"/>
  </r>
  <r>
    <x v="1"/>
    <x v="4"/>
    <s v="Organic Superfoods"/>
    <s v="Ashwagandha"/>
    <n v="180"/>
    <n v="218"/>
    <n v="89"/>
    <n v="39.24"/>
    <n v="16.02"/>
    <n v="23.22"/>
    <n v="-0.61"/>
    <n v="44"/>
    <s v="High"/>
    <s v="High Demand"/>
    <s v="Increase Stock"/>
    <s v="Delhi"/>
  </r>
  <r>
    <x v="2"/>
    <x v="1"/>
    <s v="Organic Oils"/>
    <s v="Coconut Oil"/>
    <n v="460"/>
    <n v="63"/>
    <n v="30"/>
    <n v="28.98"/>
    <n v="13.8"/>
    <n v="15.18"/>
    <n v="8.83"/>
    <n v="123"/>
    <s v="Low"/>
    <s v="None"/>
    <s v="Maintain"/>
    <s v="Tamil Nadu"/>
  </r>
  <r>
    <x v="0"/>
    <x v="0"/>
    <s v="Organic Grocery"/>
    <s v="Rice"/>
    <n v="495"/>
    <n v="309"/>
    <n v="188"/>
    <n v="152.96"/>
    <n v="93.06"/>
    <n v="59.9"/>
    <n v="-7.31"/>
    <n v="296"/>
    <s v="Medium"/>
    <s v="Low Stock"/>
    <s v="Restock"/>
    <s v="Rajasthan"/>
  </r>
  <r>
    <x v="1"/>
    <x v="6"/>
    <s v="Organic Spices"/>
    <s v="Turmeric Powder"/>
    <n v="189"/>
    <n v="412"/>
    <n v="317"/>
    <n v="77.87"/>
    <n v="59.91"/>
    <n v="17.95"/>
    <n v="15.78"/>
    <n v="52"/>
    <s v="Low"/>
    <s v="Low Stock"/>
    <s v="Restock"/>
    <s v="Maharashtra"/>
  </r>
  <r>
    <x v="2"/>
    <x v="3"/>
    <s v="Organic Superfoods"/>
    <s v="Ashwagandha"/>
    <n v="267"/>
    <n v="496"/>
    <n v="39"/>
    <n v="132.43"/>
    <n v="10.41"/>
    <n v="122.02"/>
    <n v="6.52"/>
    <n v="32"/>
    <s v="Low"/>
    <s v="Supply Delay"/>
    <s v="Find Alternate Supplier"/>
    <s v="Rajasthan"/>
  </r>
  <r>
    <x v="2"/>
    <x v="9"/>
    <s v="Organic Grocery"/>
    <s v="Pulses"/>
    <n v="329"/>
    <n v="471"/>
    <n v="203"/>
    <n v="154.96"/>
    <n v="66.790000000000006"/>
    <n v="88.17"/>
    <n v="2.34"/>
    <n v="212"/>
    <s v="Medium"/>
    <s v="High Demand"/>
    <s v="Increase Stock"/>
    <s v="Delhi"/>
  </r>
  <r>
    <x v="2"/>
    <x v="7"/>
    <s v="Organic Grocery"/>
    <s v="Pulses"/>
    <n v="472"/>
    <n v="271"/>
    <n v="209"/>
    <n v="127.91"/>
    <n v="98.65"/>
    <n v="29.26"/>
    <n v="12.77"/>
    <n v="241"/>
    <s v="Low"/>
    <s v="Supply Delay"/>
    <s v="Find Alternate Supplier"/>
    <s v="Gujarat"/>
  </r>
  <r>
    <x v="0"/>
    <x v="3"/>
    <s v="Organic Spices"/>
    <s v="Turmeric Powder"/>
    <n v="124"/>
    <n v="251"/>
    <n v="31"/>
    <n v="31.12"/>
    <n v="3.84"/>
    <n v="27.28"/>
    <n v="-0.82"/>
    <n v="195"/>
    <s v="Low"/>
    <s v="Low Stock"/>
    <s v="Restock"/>
    <s v="Gujarat"/>
  </r>
  <r>
    <x v="2"/>
    <x v="8"/>
    <s v="Organic Grocery"/>
    <s v="Wheat Flour"/>
    <n v="352"/>
    <n v="498"/>
    <n v="399"/>
    <n v="175.3"/>
    <n v="140.44999999999999"/>
    <n v="34.85"/>
    <n v="-3.4"/>
    <n v="112"/>
    <s v="Medium"/>
    <s v="High Demand"/>
    <s v="Increase Stock"/>
    <s v="Maharashtra"/>
  </r>
  <r>
    <x v="0"/>
    <x v="2"/>
    <s v="Organic Spices"/>
    <s v="Red Chilli Powder"/>
    <n v="449"/>
    <n v="325"/>
    <n v="126"/>
    <n v="145.93"/>
    <n v="56.57"/>
    <n v="89.35"/>
    <n v="-8"/>
    <n v="257"/>
    <s v="High"/>
    <s v="Supply Delay"/>
    <s v="Find Alternate Supplier"/>
    <s v="Karnataka"/>
  </r>
  <r>
    <x v="2"/>
    <x v="2"/>
    <s v="Organic Dairy"/>
    <s v="Milk"/>
    <n v="80"/>
    <n v="467"/>
    <n v="370"/>
    <n v="37.36"/>
    <n v="29.6"/>
    <n v="7.76"/>
    <n v="6.95"/>
    <n v="67"/>
    <s v="Medium"/>
    <s v="High Demand"/>
    <s v="Increase Stock"/>
    <s v="Rajasthan"/>
  </r>
  <r>
    <x v="1"/>
    <x v="11"/>
    <s v="Organic Oils"/>
    <s v="Groundnut Oil"/>
    <n v="488"/>
    <n v="413"/>
    <n v="62"/>
    <n v="201.54"/>
    <n v="30.26"/>
    <n v="171.29"/>
    <n v="-9.2799999999999994"/>
    <n v="77"/>
    <s v="Low"/>
    <s v="Low Stock"/>
    <s v="Restock"/>
    <s v="Rajasthan"/>
  </r>
  <r>
    <x v="1"/>
    <x v="10"/>
    <s v="Organic Oils"/>
    <s v="Sunflower Oil"/>
    <n v="435"/>
    <n v="371"/>
    <n v="331"/>
    <n v="161.38"/>
    <n v="143.99"/>
    <n v="17.399999999999999"/>
    <n v="10.71"/>
    <n v="25"/>
    <s v="High"/>
    <s v="None"/>
    <s v="Maintain"/>
    <s v="Rajasthan"/>
  </r>
  <r>
    <x v="0"/>
    <x v="4"/>
    <s v="Organic Oils"/>
    <s v="Groundnut Oil"/>
    <n v="366"/>
    <n v="86"/>
    <n v="67"/>
    <n v="31.48"/>
    <n v="24.52"/>
    <n v="6.95"/>
    <n v="24.71"/>
    <n v="28"/>
    <s v="Low"/>
    <s v="Low Stock"/>
    <s v="Restock"/>
    <s v="Rajasthan"/>
  </r>
  <r>
    <x v="0"/>
    <x v="11"/>
    <s v="Organic Superfoods"/>
    <s v="Chia Seeds"/>
    <n v="321"/>
    <n v="106"/>
    <n v="76"/>
    <n v="34.03"/>
    <n v="24.4"/>
    <n v="9.6300000000000008"/>
    <n v="14.19"/>
    <n v="98"/>
    <s v="High"/>
    <s v="None"/>
    <s v="Maintain"/>
    <s v="Rajasthan"/>
  </r>
  <r>
    <x v="1"/>
    <x v="3"/>
    <s v="Organic Dairy"/>
    <s v="Curd"/>
    <n v="371"/>
    <n v="469"/>
    <n v="43"/>
    <n v="174"/>
    <n v="15.95"/>
    <n v="158.05000000000001"/>
    <n v="6.08"/>
    <n v="183"/>
    <s v="Low"/>
    <s v="None"/>
    <s v="Maintain"/>
    <s v="Delhi"/>
  </r>
  <r>
    <x v="0"/>
    <x v="6"/>
    <s v="Organic Spices"/>
    <s v="Turmeric Powder"/>
    <n v="87"/>
    <n v="209"/>
    <n v="115"/>
    <n v="18.18"/>
    <n v="10.01"/>
    <n v="8.18"/>
    <n v="-6.33"/>
    <n v="197"/>
    <s v="High"/>
    <s v="High Demand"/>
    <s v="Increase Stock"/>
    <s v="Tamil Nadu"/>
  </r>
  <r>
    <x v="2"/>
    <x v="2"/>
    <s v="Organic Dairy"/>
    <s v="Ghee"/>
    <n v="150"/>
    <n v="375"/>
    <n v="83"/>
    <n v="56.25"/>
    <n v="12.45"/>
    <n v="43.8"/>
    <n v="1.1599999999999999"/>
    <n v="32"/>
    <s v="Low"/>
    <s v="High Demand"/>
    <s v="Increase Stock"/>
    <s v="Gujarat"/>
  </r>
  <r>
    <x v="0"/>
    <x v="8"/>
    <s v="Organic Grocery"/>
    <s v="Dals"/>
    <n v="479"/>
    <n v="289"/>
    <n v="181"/>
    <n v="138.43"/>
    <n v="86.7"/>
    <n v="51.73"/>
    <n v="1.06"/>
    <n v="73"/>
    <s v="Low"/>
    <s v="Low Stock"/>
    <s v="Restock"/>
    <s v="Maharashtra"/>
  </r>
  <r>
    <x v="1"/>
    <x v="4"/>
    <s v="Organic Oils"/>
    <s v="Sunflower Oil"/>
    <n v="124"/>
    <n v="88"/>
    <n v="73"/>
    <n v="10.91"/>
    <n v="9.0500000000000007"/>
    <n v="1.86"/>
    <n v="-0.9"/>
    <n v="84"/>
    <s v="Medium"/>
    <s v="Supply Delay"/>
    <s v="Find Alternate Supplier"/>
    <s v="Gujarat"/>
  </r>
  <r>
    <x v="1"/>
    <x v="9"/>
    <s v="Organic Dairy"/>
    <s v="Milk"/>
    <n v="204"/>
    <n v="150"/>
    <n v="62"/>
    <n v="30.6"/>
    <n v="12.65"/>
    <n v="17.95"/>
    <n v="6.52"/>
    <n v="129"/>
    <s v="High"/>
    <s v="Low Stock"/>
    <s v="Restock"/>
    <s v="Maharashtra"/>
  </r>
  <r>
    <x v="2"/>
    <x v="0"/>
    <s v="Organic Grocery"/>
    <s v="Dals"/>
    <n v="258"/>
    <n v="420"/>
    <n v="86"/>
    <n v="108.36"/>
    <n v="22.19"/>
    <n v="86.17"/>
    <n v="-9.4600000000000009"/>
    <n v="89"/>
    <s v="Medium"/>
    <s v="None"/>
    <s v="Maintain"/>
    <s v="Tamil Nadu"/>
  </r>
  <r>
    <x v="0"/>
    <x v="9"/>
    <s v="Organic Oils"/>
    <s v="Sunflower Oil"/>
    <n v="413"/>
    <n v="253"/>
    <n v="93"/>
    <n v="104.49"/>
    <n v="38.409999999999997"/>
    <n v="66.08"/>
    <n v="24.85"/>
    <n v="161"/>
    <s v="High"/>
    <s v="None"/>
    <s v="Maintain"/>
    <s v="Delhi"/>
  </r>
  <r>
    <x v="0"/>
    <x v="10"/>
    <s v="Organic Oils"/>
    <s v="Coconut Oil"/>
    <n v="444"/>
    <n v="359"/>
    <n v="34"/>
    <n v="159.4"/>
    <n v="15.1"/>
    <n v="144.30000000000001"/>
    <n v="23.26"/>
    <n v="48"/>
    <s v="High"/>
    <s v="High Demand"/>
    <s v="Increase Stock"/>
    <s v="Delhi"/>
  </r>
  <r>
    <x v="2"/>
    <x v="6"/>
    <s v="Organic Oils"/>
    <s v="Sunflower Oil"/>
    <n v="433"/>
    <n v="398"/>
    <n v="205"/>
    <n v="172.33"/>
    <n v="88.77"/>
    <n v="83.57"/>
    <n v="17.260000000000002"/>
    <n v="157"/>
    <s v="Low"/>
    <s v="High Demand"/>
    <s v="Increase Stock"/>
    <s v="Maharashtra"/>
  </r>
  <r>
    <x v="0"/>
    <x v="4"/>
    <s v="Organic Oils"/>
    <s v="Coconut Oil"/>
    <n v="216"/>
    <n v="58"/>
    <n v="43"/>
    <n v="12.53"/>
    <n v="9.2899999999999991"/>
    <n v="3.24"/>
    <n v="7.29"/>
    <n v="202"/>
    <s v="Low"/>
    <s v="None"/>
    <s v="Maintain"/>
    <s v="Rajasthan"/>
  </r>
  <r>
    <x v="2"/>
    <x v="9"/>
    <s v="Organic Superfoods"/>
    <s v="Amla Powder"/>
    <n v="252"/>
    <n v="172"/>
    <n v="49"/>
    <n v="43.34"/>
    <n v="12.35"/>
    <n v="31"/>
    <n v="-6.29"/>
    <n v="45"/>
    <s v="Low"/>
    <s v="None"/>
    <s v="Maintain"/>
    <s v="Delhi"/>
  </r>
  <r>
    <x v="1"/>
    <x v="0"/>
    <s v="Organic Dairy"/>
    <s v="Milk"/>
    <n v="317"/>
    <n v="51"/>
    <n v="40"/>
    <n v="16.170000000000002"/>
    <n v="12.68"/>
    <n v="3.49"/>
    <n v="-9.7100000000000009"/>
    <n v="78"/>
    <s v="Medium"/>
    <s v="None"/>
    <s v="Maintain"/>
    <s v="Rajasthan"/>
  </r>
  <r>
    <x v="1"/>
    <x v="6"/>
    <s v="Organic Dairy"/>
    <s v="Curd"/>
    <n v="255"/>
    <n v="91"/>
    <n v="43"/>
    <n v="23.2"/>
    <n v="10.96"/>
    <n v="12.24"/>
    <n v="22.67"/>
    <n v="283"/>
    <s v="High"/>
    <s v="None"/>
    <s v="Maintain"/>
    <s v="Gujarat"/>
  </r>
  <r>
    <x v="2"/>
    <x v="4"/>
    <s v="Organic Grocery"/>
    <s v="Dals"/>
    <n v="401"/>
    <n v="373"/>
    <n v="65"/>
    <n v="149.57"/>
    <n v="26.07"/>
    <n v="123.51"/>
    <n v="4.7"/>
    <n v="191"/>
    <s v="Medium"/>
    <s v="Supply Delay"/>
    <s v="Find Alternate Supplier"/>
    <s v="Karnataka"/>
  </r>
  <r>
    <x v="2"/>
    <x v="7"/>
    <s v="Organic Grocery"/>
    <s v="Pulses"/>
    <n v="70"/>
    <n v="108"/>
    <n v="34"/>
    <n v="7.56"/>
    <n v="2.38"/>
    <n v="5.18"/>
    <n v="15.31"/>
    <n v="59"/>
    <s v="Low"/>
    <s v="None"/>
    <s v="Maintain"/>
    <s v="Rajasthan"/>
  </r>
  <r>
    <x v="0"/>
    <x v="10"/>
    <s v="Organic Oils"/>
    <s v="Sunflower Oil"/>
    <n v="497"/>
    <n v="491"/>
    <n v="58"/>
    <n v="244.03"/>
    <n v="28.83"/>
    <n v="215.2"/>
    <n v="6.17"/>
    <n v="265"/>
    <s v="Low"/>
    <s v="None"/>
    <s v="Maintain"/>
    <s v="Tamil Nadu"/>
  </r>
  <r>
    <x v="2"/>
    <x v="11"/>
    <s v="Organic Dairy"/>
    <s v="Curd"/>
    <n v="408"/>
    <n v="298"/>
    <n v="95"/>
    <n v="121.58"/>
    <n v="38.76"/>
    <n v="82.82"/>
    <n v="-4.72"/>
    <n v="214"/>
    <s v="High"/>
    <s v="High Demand"/>
    <s v="Increase Stock"/>
    <s v="Rajasthan"/>
  </r>
  <r>
    <x v="1"/>
    <x v="3"/>
    <s v="Organic Spices"/>
    <s v="Red Chilli Powder"/>
    <n v="420"/>
    <n v="92"/>
    <n v="59"/>
    <n v="38.64"/>
    <n v="24.78"/>
    <n v="13.86"/>
    <n v="5.72"/>
    <n v="41"/>
    <s v="Low"/>
    <s v="None"/>
    <s v="Maintain"/>
    <s v="Rajasthan"/>
  </r>
  <r>
    <x v="2"/>
    <x v="9"/>
    <s v="Organic Dairy"/>
    <s v="Curd"/>
    <n v="341"/>
    <n v="134"/>
    <n v="87"/>
    <n v="45.69"/>
    <n v="29.67"/>
    <n v="16.03"/>
    <n v="2.2999999999999998"/>
    <n v="67"/>
    <s v="High"/>
    <s v="High Demand"/>
    <s v="Increase Stock"/>
    <s v="Tamil Nadu"/>
  </r>
  <r>
    <x v="0"/>
    <x v="1"/>
    <s v="Organic Grocery"/>
    <s v="Wheat Flour"/>
    <n v="494"/>
    <n v="57"/>
    <n v="36"/>
    <n v="28.16"/>
    <n v="17.78"/>
    <n v="10.37"/>
    <n v="-7.75"/>
    <n v="214"/>
    <s v="Low"/>
    <s v="High Demand"/>
    <s v="Increase Stock"/>
    <s v="Rajasthan"/>
  </r>
  <r>
    <x v="2"/>
    <x v="11"/>
    <s v="Organic Grocery"/>
    <s v="Dals"/>
    <n v="192"/>
    <n v="145"/>
    <n v="110"/>
    <n v="27.84"/>
    <n v="21.12"/>
    <n v="6.72"/>
    <n v="21.9"/>
    <n v="129"/>
    <s v="Medium"/>
    <s v="Low Stock"/>
    <s v="Restock"/>
    <s v="Maharashtra"/>
  </r>
  <r>
    <x v="0"/>
    <x v="4"/>
    <s v="Organic Grocery"/>
    <s v="Pulses"/>
    <n v="380"/>
    <n v="187"/>
    <n v="99"/>
    <n v="71.06"/>
    <n v="37.619999999999997"/>
    <n v="33.44"/>
    <n v="4.3499999999999996"/>
    <n v="271"/>
    <s v="Medium"/>
    <s v="Supply Delay"/>
    <s v="Find Alternate Supplier"/>
    <s v="Tamil Nadu"/>
  </r>
  <r>
    <x v="0"/>
    <x v="9"/>
    <s v="Organic Superfoods"/>
    <s v="Ashwagandha"/>
    <n v="373"/>
    <n v="343"/>
    <n v="222"/>
    <n v="127.94"/>
    <n v="82.81"/>
    <n v="45.13"/>
    <n v="16.239999999999998"/>
    <n v="294"/>
    <s v="High"/>
    <s v="High Demand"/>
    <s v="Increase Stock"/>
    <s v="Tamil Nadu"/>
  </r>
  <r>
    <x v="0"/>
    <x v="5"/>
    <s v="Organic Superfoods"/>
    <s v="Amla Powder"/>
    <n v="221"/>
    <n v="286"/>
    <n v="207"/>
    <n v="63.21"/>
    <n v="45.75"/>
    <n v="17.46"/>
    <n v="7.46"/>
    <n v="207"/>
    <s v="Medium"/>
    <s v="Low Stock"/>
    <s v="Restock"/>
    <s v="Gujarat"/>
  </r>
  <r>
    <x v="2"/>
    <x v="6"/>
    <s v="Organic Grocery"/>
    <s v="Rice"/>
    <n v="226"/>
    <n v="68"/>
    <n v="56"/>
    <n v="15.37"/>
    <n v="12.66"/>
    <n v="2.71"/>
    <n v="24.93"/>
    <n v="190"/>
    <s v="Low"/>
    <s v="None"/>
    <s v="Maintain"/>
    <s v="Rajasthan"/>
  </r>
  <r>
    <x v="2"/>
    <x v="4"/>
    <s v="Organic Dairy"/>
    <s v="Milk"/>
    <n v="422"/>
    <n v="457"/>
    <n v="266"/>
    <n v="192.85"/>
    <n v="112.25"/>
    <n v="80.599999999999994"/>
    <n v="5.73"/>
    <n v="26"/>
    <s v="Low"/>
    <s v="Low Stock"/>
    <s v="Restock"/>
    <s v="Delhi"/>
  </r>
  <r>
    <x v="1"/>
    <x v="4"/>
    <s v="Organic Spices"/>
    <s v="Red Chilli Powder"/>
    <n v="177"/>
    <n v="367"/>
    <n v="354"/>
    <n v="64.959999999999994"/>
    <n v="62.66"/>
    <n v="2.2999999999999998"/>
    <n v="3.46"/>
    <n v="125"/>
    <s v="High"/>
    <s v="Low Stock"/>
    <s v="Restock"/>
    <s v="Gujarat"/>
  </r>
  <r>
    <x v="1"/>
    <x v="8"/>
    <s v="Organic Oils"/>
    <s v="Sunflower Oil"/>
    <n v="144"/>
    <n v="393"/>
    <n v="68"/>
    <n v="56.59"/>
    <n v="9.7899999999999991"/>
    <n v="46.8"/>
    <n v="14.15"/>
    <n v="206"/>
    <s v="Low"/>
    <s v="High Demand"/>
    <s v="Increase Stock"/>
    <s v="Maharashtra"/>
  </r>
  <r>
    <x v="2"/>
    <x v="1"/>
    <s v="Organic Superfoods"/>
    <s v="Amla Powder"/>
    <n v="124"/>
    <n v="185"/>
    <n v="115"/>
    <n v="22.94"/>
    <n v="14.26"/>
    <n v="8.68"/>
    <n v="20.82"/>
    <n v="260"/>
    <s v="Low"/>
    <s v="Supply Delay"/>
    <s v="Find Alternate Supplier"/>
    <s v="Tamil Nadu"/>
  </r>
  <r>
    <x v="2"/>
    <x v="1"/>
    <s v="Organic Grocery"/>
    <s v="Wheat Flour"/>
    <n v="51"/>
    <n v="102"/>
    <n v="71"/>
    <n v="5.2"/>
    <n v="3.62"/>
    <n v="1.58"/>
    <n v="4.1900000000000004"/>
    <n v="175"/>
    <s v="High"/>
    <s v="None"/>
    <s v="Maintain"/>
    <s v="Gujarat"/>
  </r>
  <r>
    <x v="1"/>
    <x v="1"/>
    <s v="Organic Superfoods"/>
    <s v="Amla Powder"/>
    <n v="184"/>
    <n v="239"/>
    <n v="202"/>
    <n v="43.98"/>
    <n v="37.17"/>
    <n v="6.81"/>
    <n v="24.6"/>
    <n v="143"/>
    <s v="High"/>
    <s v="Supply Delay"/>
    <s v="Find Alternate Supplier"/>
    <s v="Tamil Nadu"/>
  </r>
  <r>
    <x v="1"/>
    <x v="8"/>
    <s v="Organic Grocery"/>
    <s v="Wheat Flour"/>
    <n v="334"/>
    <n v="289"/>
    <n v="151"/>
    <n v="96.53"/>
    <n v="50.43"/>
    <n v="46.09"/>
    <n v="21.8"/>
    <n v="37"/>
    <s v="Medium"/>
    <s v="Low Stock"/>
    <s v="Restock"/>
    <s v="Gujarat"/>
  </r>
  <r>
    <x v="1"/>
    <x v="10"/>
    <s v="Organic Spices"/>
    <s v="Red Chilli Powder"/>
    <n v="303"/>
    <n v="349"/>
    <n v="319"/>
    <n v="105.75"/>
    <n v="96.66"/>
    <n v="9.09"/>
    <n v="10.84"/>
    <n v="237"/>
    <s v="Low"/>
    <s v="None"/>
    <s v="Maintain"/>
    <s v="Gujarat"/>
  </r>
  <r>
    <x v="0"/>
    <x v="9"/>
    <s v="Organic Dairy"/>
    <s v="Curd"/>
    <n v="261"/>
    <n v="181"/>
    <n v="165"/>
    <n v="47.24"/>
    <n v="43.06"/>
    <n v="4.18"/>
    <n v="0.46"/>
    <n v="172"/>
    <s v="Medium"/>
    <s v="High Demand"/>
    <s v="Increase Stock"/>
    <s v="Karnataka"/>
  </r>
  <r>
    <x v="1"/>
    <x v="4"/>
    <s v="Organic Dairy"/>
    <s v="Curd"/>
    <n v="447"/>
    <n v="85"/>
    <n v="51"/>
    <n v="37.99"/>
    <n v="22.8"/>
    <n v="15.2"/>
    <n v="13.71"/>
    <n v="246"/>
    <s v="Medium"/>
    <s v="Supply Delay"/>
    <s v="Find Alternate Supplier"/>
    <s v="Rajasthan"/>
  </r>
  <r>
    <x v="0"/>
    <x v="11"/>
    <s v="Organic Superfoods"/>
    <s v="Amla Powder"/>
    <n v="163"/>
    <n v="389"/>
    <n v="166"/>
    <n v="63.41"/>
    <n v="27.06"/>
    <n v="36.35"/>
    <n v="18.37"/>
    <n v="229"/>
    <s v="Medium"/>
    <s v="High Demand"/>
    <s v="Increase Stock"/>
    <s v="Maharashtra"/>
  </r>
  <r>
    <x v="1"/>
    <x v="1"/>
    <s v="Organic Grocery"/>
    <s v="Wheat Flour"/>
    <n v="254"/>
    <n v="405"/>
    <n v="382"/>
    <n v="102.87"/>
    <n v="97.03"/>
    <n v="5.84"/>
    <n v="7.79"/>
    <n v="274"/>
    <s v="High"/>
    <s v="None"/>
    <s v="Maintain"/>
    <s v="Tamil Nadu"/>
  </r>
  <r>
    <x v="2"/>
    <x v="8"/>
    <s v="Organic Superfoods"/>
    <s v="Ashwagandha"/>
    <n v="330"/>
    <n v="319"/>
    <n v="229"/>
    <n v="105.27"/>
    <n v="75.569999999999993"/>
    <n v="29.7"/>
    <n v="-9.8000000000000007"/>
    <n v="241"/>
    <s v="Low"/>
    <s v="Low Stock"/>
    <s v="Restock"/>
    <s v="Karnataka"/>
  </r>
  <r>
    <x v="2"/>
    <x v="3"/>
    <s v="Organic Grocery"/>
    <s v="Rice"/>
    <n v="167"/>
    <n v="263"/>
    <n v="90"/>
    <n v="43.92"/>
    <n v="15.03"/>
    <n v="28.89"/>
    <n v="21.52"/>
    <n v="113"/>
    <s v="Medium"/>
    <s v="Supply Delay"/>
    <s v="Find Alternate Supplier"/>
    <s v="Karnataka"/>
  </r>
  <r>
    <x v="1"/>
    <x v="2"/>
    <s v="Organic Dairy"/>
    <s v="Curd"/>
    <n v="259"/>
    <n v="318"/>
    <n v="93"/>
    <n v="82.36"/>
    <n v="24.09"/>
    <n v="58.27"/>
    <n v="5.48"/>
    <n v="234"/>
    <s v="High"/>
    <s v="Supply Delay"/>
    <s v="Find Alternate Supplier"/>
    <s v="Gujarat"/>
  </r>
  <r>
    <x v="2"/>
    <x v="6"/>
    <s v="Organic Spices"/>
    <s v="Black Pepper"/>
    <n v="476"/>
    <n v="61"/>
    <n v="49"/>
    <n v="29.04"/>
    <n v="23.32"/>
    <n v="5.71"/>
    <n v="-2.57"/>
    <n v="37"/>
    <s v="High"/>
    <s v="High Demand"/>
    <s v="Increase Stock"/>
    <s v="Delhi"/>
  </r>
  <r>
    <x v="0"/>
    <x v="0"/>
    <s v="Organic Dairy"/>
    <s v="Curd"/>
    <n v="436"/>
    <n v="197"/>
    <n v="34"/>
    <n v="85.89"/>
    <n v="14.82"/>
    <n v="71.069999999999993"/>
    <n v="1.99"/>
    <n v="242"/>
    <s v="Medium"/>
    <s v="High Demand"/>
    <s v="Increase Stock"/>
    <s v="Karnataka"/>
  </r>
  <r>
    <x v="2"/>
    <x v="2"/>
    <s v="Organic Spices"/>
    <s v="Black Pepper"/>
    <n v="109"/>
    <n v="135"/>
    <n v="86"/>
    <n v="14.71"/>
    <n v="9.3699999999999992"/>
    <n v="5.34"/>
    <n v="-3.81"/>
    <n v="117"/>
    <s v="Low"/>
    <s v="Low Stock"/>
    <s v="Restock"/>
    <s v="Maharashtra"/>
  </r>
  <r>
    <x v="1"/>
    <x v="10"/>
    <s v="Organic Superfoods"/>
    <s v="Chia Seeds"/>
    <n v="67"/>
    <n v="229"/>
    <n v="203"/>
    <n v="15.34"/>
    <n v="13.6"/>
    <n v="1.74"/>
    <n v="24.72"/>
    <n v="238"/>
    <s v="Low"/>
    <s v="None"/>
    <s v="Maintain"/>
    <s v="Maharashtra"/>
  </r>
  <r>
    <x v="0"/>
    <x v="3"/>
    <s v="Organic Dairy"/>
    <s v="Curd"/>
    <n v="188"/>
    <n v="240"/>
    <n v="103"/>
    <n v="45.12"/>
    <n v="19.36"/>
    <n v="25.76"/>
    <n v="18.98"/>
    <n v="259"/>
    <s v="Medium"/>
    <s v="None"/>
    <s v="Maintain"/>
    <s v="Gujarat"/>
  </r>
  <r>
    <x v="0"/>
    <x v="1"/>
    <s v="Organic Spices"/>
    <s v="Turmeric Powder"/>
    <n v="147"/>
    <n v="169"/>
    <n v="56"/>
    <n v="24.84"/>
    <n v="8.23"/>
    <n v="16.61"/>
    <n v="6.58"/>
    <n v="132"/>
    <s v="Medium"/>
    <s v="Low Stock"/>
    <s v="Restock"/>
    <s v="Gujarat"/>
  </r>
  <r>
    <x v="0"/>
    <x v="3"/>
    <s v="Organic Grocery"/>
    <s v="Dals"/>
    <n v="52"/>
    <n v="417"/>
    <n v="78"/>
    <n v="21.68"/>
    <n v="4.0599999999999996"/>
    <n v="17.63"/>
    <n v="13.44"/>
    <n v="98"/>
    <s v="Low"/>
    <s v="None"/>
    <s v="Maintain"/>
    <s v="Gujarat"/>
  </r>
  <r>
    <x v="2"/>
    <x v="6"/>
    <s v="Organic Spices"/>
    <s v="Black Pepper"/>
    <n v="493"/>
    <n v="387"/>
    <n v="329"/>
    <n v="190.79"/>
    <n v="162.19999999999999"/>
    <n v="28.59"/>
    <n v="10.8"/>
    <n v="43"/>
    <s v="Low"/>
    <s v="High Demand"/>
    <s v="Increase Stock"/>
    <s v="Rajasthan"/>
  </r>
  <r>
    <x v="1"/>
    <x v="4"/>
    <s v="Organic Grocery"/>
    <s v="Wheat Flour"/>
    <n v="58"/>
    <n v="261"/>
    <n v="70"/>
    <n v="15.14"/>
    <n v="4.0599999999999996"/>
    <n v="11.08"/>
    <n v="16.7"/>
    <n v="91"/>
    <s v="Medium"/>
    <s v="Low Stock"/>
    <s v="Restock"/>
    <s v="Delhi"/>
  </r>
  <r>
    <x v="0"/>
    <x v="4"/>
    <s v="Organic Oils"/>
    <s v="Sunflower Oil"/>
    <n v="468"/>
    <n v="53"/>
    <n v="31"/>
    <n v="24.8"/>
    <n v="14.51"/>
    <n v="10.3"/>
    <n v="11.4"/>
    <n v="168"/>
    <s v="Low"/>
    <s v="High Demand"/>
    <s v="Increase Stock"/>
    <s v="Maharashtra"/>
  </r>
  <r>
    <x v="0"/>
    <x v="10"/>
    <s v="Organic Superfoods"/>
    <s v="Ashwagandha"/>
    <n v="325"/>
    <n v="153"/>
    <n v="62"/>
    <n v="49.73"/>
    <n v="20.149999999999999"/>
    <n v="29.58"/>
    <n v="13.37"/>
    <n v="282"/>
    <s v="Low"/>
    <s v="None"/>
    <s v="Maintain"/>
    <s v="Gujarat"/>
  </r>
  <r>
    <x v="2"/>
    <x v="11"/>
    <s v="Organic Spices"/>
    <s v="Turmeric Powder"/>
    <n v="394"/>
    <n v="439"/>
    <n v="246"/>
    <n v="172.97"/>
    <n v="96.92"/>
    <n v="76.040000000000006"/>
    <n v="21.52"/>
    <n v="31"/>
    <s v="High"/>
    <s v="Low Stock"/>
    <s v="Restock"/>
    <s v="Maharashtra"/>
  </r>
  <r>
    <x v="2"/>
    <x v="3"/>
    <s v="Organic Superfoods"/>
    <s v="Amla Powder"/>
    <n v="243"/>
    <n v="121"/>
    <n v="59"/>
    <n v="29.4"/>
    <n v="14.34"/>
    <n v="15.07"/>
    <n v="23.43"/>
    <n v="184"/>
    <s v="Medium"/>
    <s v="High Demand"/>
    <s v="Increase Stock"/>
    <s v="Karnataka"/>
  </r>
  <r>
    <x v="2"/>
    <x v="2"/>
    <s v="Organic Spices"/>
    <s v="Red Chilli Powder"/>
    <n v="231"/>
    <n v="143"/>
    <n v="96"/>
    <n v="33.03"/>
    <n v="22.18"/>
    <n v="10.86"/>
    <n v="10.58"/>
    <n v="233"/>
    <s v="High"/>
    <s v="Supply Delay"/>
    <s v="Find Alternate Supplier"/>
    <s v="Delhi"/>
  </r>
  <r>
    <x v="2"/>
    <x v="8"/>
    <s v="Organic Dairy"/>
    <s v="Paneer"/>
    <n v="170"/>
    <n v="58"/>
    <n v="45"/>
    <n v="9.86"/>
    <n v="7.65"/>
    <n v="2.21"/>
    <n v="-0.6"/>
    <n v="254"/>
    <s v="Low"/>
    <s v="None"/>
    <s v="Maintain"/>
    <s v="Gujarat"/>
  </r>
  <r>
    <x v="1"/>
    <x v="7"/>
    <s v="Organic Spices"/>
    <s v="Red Chilli Powder"/>
    <n v="260"/>
    <n v="108"/>
    <n v="85"/>
    <n v="28.08"/>
    <n v="22.1"/>
    <n v="5.98"/>
    <n v="19.63"/>
    <n v="266"/>
    <s v="Medium"/>
    <s v="Low Stock"/>
    <s v="Restock"/>
    <s v="Gujarat"/>
  </r>
  <r>
    <x v="2"/>
    <x v="8"/>
    <s v="Organic Spices"/>
    <s v="Red Chilli Powder"/>
    <n v="337"/>
    <n v="473"/>
    <n v="338"/>
    <n v="159.4"/>
    <n v="113.91"/>
    <n v="45.5"/>
    <n v="8.43"/>
    <n v="141"/>
    <s v="Low"/>
    <s v="High Demand"/>
    <s v="Increase Stock"/>
    <s v="Delhi"/>
  </r>
  <r>
    <x v="1"/>
    <x v="2"/>
    <s v="Organic Spices"/>
    <s v="Turmeric Powder"/>
    <n v="499"/>
    <n v="263"/>
    <n v="47"/>
    <n v="131.24"/>
    <n v="23.45"/>
    <n v="107.78"/>
    <n v="11.43"/>
    <n v="226"/>
    <s v="Medium"/>
    <s v="High Demand"/>
    <s v="Increase Stock"/>
    <s v="Rajasthan"/>
  </r>
  <r>
    <x v="0"/>
    <x v="2"/>
    <s v="Organic Superfoods"/>
    <s v="Amla Powder"/>
    <n v="213"/>
    <n v="313"/>
    <n v="173"/>
    <n v="66.67"/>
    <n v="36.85"/>
    <n v="29.82"/>
    <n v="16.350000000000001"/>
    <n v="245"/>
    <s v="High"/>
    <s v="Low Stock"/>
    <s v="Restock"/>
    <s v="Tamil Nadu"/>
  </r>
  <r>
    <x v="2"/>
    <x v="5"/>
    <s v="Organic Superfoods"/>
    <s v="Ashwagandha"/>
    <n v="267"/>
    <n v="182"/>
    <n v="112"/>
    <n v="48.59"/>
    <n v="29.9"/>
    <n v="18.690000000000001"/>
    <n v="20.45"/>
    <n v="300"/>
    <s v="High"/>
    <s v="Low Stock"/>
    <s v="Restock"/>
    <s v="Delhi"/>
  </r>
  <r>
    <x v="1"/>
    <x v="9"/>
    <s v="Organic Superfoods"/>
    <s v="Amla Powder"/>
    <n v="276"/>
    <n v="367"/>
    <n v="302"/>
    <n v="101.29"/>
    <n v="83.35"/>
    <n v="17.940000000000001"/>
    <n v="7.56"/>
    <n v="223"/>
    <s v="Low"/>
    <s v="None"/>
    <s v="Maintain"/>
    <s v="Tamil Nadu"/>
  </r>
  <r>
    <x v="1"/>
    <x v="8"/>
    <s v="Organic Superfoods"/>
    <s v="Ashwagandha"/>
    <n v="407"/>
    <n v="388"/>
    <n v="132"/>
    <n v="157.91999999999999"/>
    <n v="53.72"/>
    <n v="104.19"/>
    <n v="-9.1"/>
    <n v="184"/>
    <s v="Medium"/>
    <s v="None"/>
    <s v="Maintain"/>
    <s v="Gujarat"/>
  </r>
  <r>
    <x v="1"/>
    <x v="1"/>
    <s v="Organic Dairy"/>
    <s v="Milk"/>
    <n v="278"/>
    <n v="92"/>
    <n v="67"/>
    <n v="25.58"/>
    <n v="18.63"/>
    <n v="6.95"/>
    <n v="14.37"/>
    <n v="263"/>
    <s v="High"/>
    <s v="Low Stock"/>
    <s v="Restock"/>
    <s v="Delhi"/>
  </r>
  <r>
    <x v="2"/>
    <x v="1"/>
    <s v="Organic Dairy"/>
    <s v="Milk"/>
    <n v="84"/>
    <n v="265"/>
    <n v="215"/>
    <n v="22.26"/>
    <n v="18.059999999999999"/>
    <n v="4.2"/>
    <n v="-4.09"/>
    <n v="299"/>
    <s v="Medium"/>
    <s v="High Demand"/>
    <s v="Increase Stock"/>
    <s v="Karnataka"/>
  </r>
  <r>
    <x v="1"/>
    <x v="8"/>
    <s v="Organic Spices"/>
    <s v="Red Chilli Powder"/>
    <n v="164"/>
    <n v="240"/>
    <n v="93"/>
    <n v="39.36"/>
    <n v="15.25"/>
    <n v="24.11"/>
    <n v="9.49"/>
    <n v="273"/>
    <s v="High"/>
    <s v="Supply Delay"/>
    <s v="Find Alternate Supplier"/>
    <s v="Gujarat"/>
  </r>
  <r>
    <x v="0"/>
    <x v="1"/>
    <s v="Organic Dairy"/>
    <s v="Ghee"/>
    <n v="121"/>
    <n v="232"/>
    <n v="91"/>
    <n v="28.07"/>
    <n v="11.01"/>
    <n v="17.059999999999999"/>
    <n v="11.15"/>
    <n v="164"/>
    <s v="Low"/>
    <s v="Low Stock"/>
    <s v="Restock"/>
    <s v="Delhi"/>
  </r>
  <r>
    <x v="0"/>
    <x v="5"/>
    <s v="Organic Dairy"/>
    <s v="Ghee"/>
    <n v="468"/>
    <n v="226"/>
    <n v="104"/>
    <n v="105.77"/>
    <n v="48.67"/>
    <n v="57.1"/>
    <n v="13.42"/>
    <n v="193"/>
    <s v="Low"/>
    <s v="Supply Delay"/>
    <s v="Find Alternate Supplier"/>
    <s v="Karnataka"/>
  </r>
  <r>
    <x v="1"/>
    <x v="10"/>
    <s v="Organic Spices"/>
    <s v="Turmeric Powder"/>
    <n v="392"/>
    <n v="150"/>
    <n v="103"/>
    <n v="58.8"/>
    <n v="40.380000000000003"/>
    <n v="18.420000000000002"/>
    <n v="18.88"/>
    <n v="217"/>
    <s v="High"/>
    <s v="Supply Delay"/>
    <s v="Find Alternate Supplier"/>
    <s v="Karnataka"/>
  </r>
  <r>
    <x v="0"/>
    <x v="6"/>
    <s v="Organic Oils"/>
    <s v="Coconut Oil"/>
    <n v="381"/>
    <n v="217"/>
    <n v="185"/>
    <n v="82.68"/>
    <n v="70.48"/>
    <n v="12.19"/>
    <n v="-4.5199999999999996"/>
    <n v="259"/>
    <s v="Medium"/>
    <s v="Supply Delay"/>
    <s v="Find Alternate Supplier"/>
    <s v="Tamil Nadu"/>
  </r>
  <r>
    <x v="1"/>
    <x v="7"/>
    <s v="Organic Superfoods"/>
    <s v="Amla Powder"/>
    <n v="228"/>
    <n v="193"/>
    <n v="126"/>
    <n v="44"/>
    <n v="28.73"/>
    <n v="15.28"/>
    <n v="12.38"/>
    <n v="131"/>
    <s v="Low"/>
    <s v="High Demand"/>
    <s v="Increase Stock"/>
    <s v="Tamil Nadu"/>
  </r>
  <r>
    <x v="1"/>
    <x v="10"/>
    <s v="Organic Grocery"/>
    <s v="Dals"/>
    <n v="262"/>
    <n v="474"/>
    <n v="351"/>
    <n v="124.19"/>
    <n v="91.96"/>
    <n v="32.229999999999997"/>
    <n v="2.4900000000000002"/>
    <n v="192"/>
    <s v="High"/>
    <s v="None"/>
    <s v="Maintain"/>
    <s v="Maharashtra"/>
  </r>
  <r>
    <x v="2"/>
    <x v="9"/>
    <s v="Organic Dairy"/>
    <s v="Ghee"/>
    <n v="124"/>
    <n v="272"/>
    <n v="122"/>
    <n v="33.729999999999997"/>
    <n v="15.13"/>
    <n v="18.600000000000001"/>
    <n v="8"/>
    <n v="127"/>
    <s v="High"/>
    <s v="Low Stock"/>
    <s v="Restock"/>
    <s v="Tamil Nadu"/>
  </r>
  <r>
    <x v="2"/>
    <x v="8"/>
    <s v="Organic Dairy"/>
    <s v="Ghee"/>
    <n v="491"/>
    <n v="473"/>
    <n v="252"/>
    <n v="232.24"/>
    <n v="123.73"/>
    <n v="108.51"/>
    <n v="22.04"/>
    <n v="117"/>
    <s v="Medium"/>
    <s v="Low Stock"/>
    <s v="Restock"/>
    <s v="Gujarat"/>
  </r>
  <r>
    <x v="1"/>
    <x v="11"/>
    <s v="Organic Oils"/>
    <s v="Coconut Oil"/>
    <n v="491"/>
    <n v="427"/>
    <n v="382"/>
    <n v="209.66"/>
    <n v="187.56"/>
    <n v="22.09"/>
    <n v="15.64"/>
    <n v="211"/>
    <s v="Medium"/>
    <s v="Supply Delay"/>
    <s v="Find Alternate Supplier"/>
    <s v="Rajasthan"/>
  </r>
  <r>
    <x v="1"/>
    <x v="10"/>
    <s v="Organic Oils"/>
    <s v="Groundnut Oil"/>
    <n v="387"/>
    <n v="483"/>
    <n v="184"/>
    <n v="186.92"/>
    <n v="71.209999999999994"/>
    <n v="115.71"/>
    <n v="-8.64"/>
    <n v="42"/>
    <s v="High"/>
    <s v="Low Stock"/>
    <s v="Restock"/>
    <s v="Gujarat"/>
  </r>
  <r>
    <x v="1"/>
    <x v="1"/>
    <s v="Organic Superfoods"/>
    <s v="Amla Powder"/>
    <n v="451"/>
    <n v="135"/>
    <n v="95"/>
    <n v="60.88"/>
    <n v="42.84"/>
    <n v="18.04"/>
    <n v="2.34"/>
    <n v="102"/>
    <s v="Low"/>
    <s v="Supply Delay"/>
    <s v="Find Alternate Supplier"/>
    <s v="Maharashtra"/>
  </r>
  <r>
    <x v="2"/>
    <x v="8"/>
    <s v="Organic Oils"/>
    <s v="Sunflower Oil"/>
    <n v="271"/>
    <n v="138"/>
    <n v="45"/>
    <n v="37.4"/>
    <n v="12.2"/>
    <n v="25.2"/>
    <n v="3.73"/>
    <n v="269"/>
    <s v="High"/>
    <s v="Low Stock"/>
    <s v="Restock"/>
    <s v="Rajasthan"/>
  </r>
  <r>
    <x v="0"/>
    <x v="6"/>
    <s v="Organic Grocery"/>
    <s v="Rice"/>
    <n v="206"/>
    <n v="372"/>
    <n v="298"/>
    <n v="76.63"/>
    <n v="61.39"/>
    <n v="15.24"/>
    <n v="1.62"/>
    <n v="67"/>
    <s v="High"/>
    <s v="Supply Delay"/>
    <s v="Find Alternate Supplier"/>
    <s v="Tamil Nadu"/>
  </r>
  <r>
    <x v="0"/>
    <x v="11"/>
    <s v="Organic Superfoods"/>
    <s v="Ashwagandha"/>
    <n v="401"/>
    <n v="307"/>
    <n v="106"/>
    <n v="123.11"/>
    <n v="42.51"/>
    <n v="80.599999999999994"/>
    <n v="17.739999999999998"/>
    <n v="110"/>
    <s v="Medium"/>
    <s v="Supply Delay"/>
    <s v="Find Alternate Supplier"/>
    <s v="Karnataka"/>
  </r>
  <r>
    <x v="0"/>
    <x v="2"/>
    <s v="Organic Dairy"/>
    <s v="Paneer"/>
    <n v="159"/>
    <n v="386"/>
    <n v="216"/>
    <n v="61.37"/>
    <n v="34.340000000000003"/>
    <n v="27.03"/>
    <n v="-3.54"/>
    <n v="281"/>
    <s v="Low"/>
    <s v="Supply Delay"/>
    <s v="Find Alternate Supplier"/>
    <s v="Tamil Nadu"/>
  </r>
  <r>
    <x v="2"/>
    <x v="5"/>
    <s v="Organic Superfoods"/>
    <s v="Amla Powder"/>
    <n v="154"/>
    <n v="461"/>
    <n v="81"/>
    <n v="70.989999999999995"/>
    <n v="12.47"/>
    <n v="58.52"/>
    <n v="18.71"/>
    <n v="235"/>
    <s v="High"/>
    <s v="High Demand"/>
    <s v="Increase Stock"/>
    <s v="Delhi"/>
  </r>
  <r>
    <x v="1"/>
    <x v="6"/>
    <s v="Organic Grocery"/>
    <s v="Rice"/>
    <n v="247"/>
    <n v="286"/>
    <n v="275"/>
    <n v="70.64"/>
    <n v="67.92"/>
    <n v="2.72"/>
    <n v="3.65"/>
    <n v="182"/>
    <s v="Low"/>
    <s v="High Demand"/>
    <s v="Increase Stock"/>
    <s v="Karnataka"/>
  </r>
  <r>
    <x v="0"/>
    <x v="8"/>
    <s v="Organic Superfoods"/>
    <s v="Chia Seeds"/>
    <n v="479"/>
    <n v="380"/>
    <n v="155"/>
    <n v="182.02"/>
    <n v="74.25"/>
    <n v="107.78"/>
    <n v="24.75"/>
    <n v="168"/>
    <s v="High"/>
    <s v="Supply Delay"/>
    <s v="Find Alternate Supplier"/>
    <s v="Delhi"/>
  </r>
  <r>
    <x v="0"/>
    <x v="0"/>
    <s v="Organic Spices"/>
    <s v="Black Pepper"/>
    <n v="92"/>
    <n v="427"/>
    <n v="273"/>
    <n v="39.28"/>
    <n v="25.12"/>
    <n v="14.17"/>
    <n v="23.85"/>
    <n v="46"/>
    <s v="Medium"/>
    <s v="Supply Delay"/>
    <s v="Find Alternate Supplier"/>
    <s v="Tamil Nadu"/>
  </r>
  <r>
    <x v="2"/>
    <x v="6"/>
    <s v="Organic Spices"/>
    <s v="Black Pepper"/>
    <n v="104"/>
    <n v="431"/>
    <n v="416"/>
    <n v="44.82"/>
    <n v="43.26"/>
    <n v="1.56"/>
    <n v="19.78"/>
    <n v="80"/>
    <s v="Medium"/>
    <s v="High Demand"/>
    <s v="Increase Stock"/>
    <s v="Tamil Nadu"/>
  </r>
  <r>
    <x v="2"/>
    <x v="11"/>
    <s v="Organic Grocery"/>
    <s v="Rice"/>
    <n v="211"/>
    <n v="481"/>
    <n v="230"/>
    <n v="101.49"/>
    <n v="48.53"/>
    <n v="52.96"/>
    <n v="4.21"/>
    <n v="281"/>
    <s v="Medium"/>
    <s v="None"/>
    <s v="Maintain"/>
    <s v="Gujarat"/>
  </r>
  <r>
    <x v="1"/>
    <x v="5"/>
    <s v="Organic Grocery"/>
    <s v="Rice"/>
    <n v="482"/>
    <n v="304"/>
    <n v="54"/>
    <n v="146.53"/>
    <n v="26.03"/>
    <n v="120.5"/>
    <n v="17.96"/>
    <n v="170"/>
    <s v="Low"/>
    <s v="Supply Delay"/>
    <s v="Find Alternate Supplier"/>
    <s v="Maharashtra"/>
  </r>
  <r>
    <x v="2"/>
    <x v="1"/>
    <s v="Organic Dairy"/>
    <s v="Ghee"/>
    <n v="147"/>
    <n v="412"/>
    <n v="187"/>
    <n v="60.56"/>
    <n v="27.49"/>
    <n v="33.08"/>
    <n v="-7.1"/>
    <n v="180"/>
    <s v="High"/>
    <s v="Supply Delay"/>
    <s v="Find Alternate Supplier"/>
    <s v="Delhi"/>
  </r>
  <r>
    <x v="1"/>
    <x v="2"/>
    <s v="Organic Oils"/>
    <s v="Coconut Oil"/>
    <n v="441"/>
    <n v="196"/>
    <n v="145"/>
    <n v="86.44"/>
    <n v="63.95"/>
    <n v="22.49"/>
    <n v="-0.48"/>
    <n v="37"/>
    <s v="Low"/>
    <s v="Supply Delay"/>
    <s v="Find Alternate Supplier"/>
    <s v="Maharashtra"/>
  </r>
  <r>
    <x v="0"/>
    <x v="1"/>
    <s v="Organic Superfoods"/>
    <s v="Amla Powder"/>
    <n v="252"/>
    <n v="106"/>
    <n v="38"/>
    <n v="26.71"/>
    <n v="9.58"/>
    <n v="17.14"/>
    <n v="-0.18"/>
    <n v="218"/>
    <s v="Low"/>
    <s v="High Demand"/>
    <s v="Increase Stock"/>
    <s v="Rajasthan"/>
  </r>
  <r>
    <x v="2"/>
    <x v="9"/>
    <s v="Organic Dairy"/>
    <s v="Paneer"/>
    <n v="246"/>
    <n v="142"/>
    <n v="115"/>
    <n v="34.93"/>
    <n v="28.29"/>
    <n v="6.64"/>
    <n v="16.48"/>
    <n v="85"/>
    <s v="Low"/>
    <s v="None"/>
    <s v="Maintain"/>
    <s v="Tamil Nadu"/>
  </r>
  <r>
    <x v="2"/>
    <x v="3"/>
    <s v="Organic Dairy"/>
    <s v="Curd"/>
    <n v="194"/>
    <n v="95"/>
    <n v="84"/>
    <n v="18.43"/>
    <n v="16.3"/>
    <n v="2.13"/>
    <n v="19.84"/>
    <n v="101"/>
    <s v="Medium"/>
    <s v="Low Stock"/>
    <s v="Restock"/>
    <s v="Rajasthan"/>
  </r>
  <r>
    <x v="0"/>
    <x v="7"/>
    <s v="Organic Dairy"/>
    <s v="Paneer"/>
    <n v="168"/>
    <n v="284"/>
    <n v="153"/>
    <n v="47.71"/>
    <n v="25.7"/>
    <n v="22.01"/>
    <n v="9.4499999999999993"/>
    <n v="37"/>
    <s v="Low"/>
    <s v="None"/>
    <s v="Maintain"/>
    <s v="Maharashtra"/>
  </r>
  <r>
    <x v="2"/>
    <x v="9"/>
    <s v="Organic Spices"/>
    <s v="Black Pepper"/>
    <n v="474"/>
    <n v="56"/>
    <n v="39"/>
    <n v="26.54"/>
    <n v="18.489999999999998"/>
    <n v="8.06"/>
    <n v="15.55"/>
    <n v="59"/>
    <s v="Low"/>
    <s v="High Demand"/>
    <s v="Increase Stock"/>
    <s v="Tamil Nadu"/>
  </r>
  <r>
    <x v="0"/>
    <x v="3"/>
    <s v="Organic Spices"/>
    <s v="Red Chilli Powder"/>
    <n v="369"/>
    <n v="154"/>
    <n v="43"/>
    <n v="56.83"/>
    <n v="15.87"/>
    <n v="40.96"/>
    <n v="-0.31"/>
    <n v="43"/>
    <s v="High"/>
    <s v="High Demand"/>
    <s v="Increase Stock"/>
    <s v="Gujarat"/>
  </r>
  <r>
    <x v="1"/>
    <x v="11"/>
    <s v="Organic Dairy"/>
    <s v="Curd"/>
    <n v="122"/>
    <n v="489"/>
    <n v="437"/>
    <n v="59.66"/>
    <n v="53.31"/>
    <n v="6.34"/>
    <n v="8.08"/>
    <n v="260"/>
    <s v="Medium"/>
    <s v="Low Stock"/>
    <s v="Restock"/>
    <s v="Karnataka"/>
  </r>
  <r>
    <x v="0"/>
    <x v="2"/>
    <s v="Organic Superfoods"/>
    <s v="Chia Seeds"/>
    <n v="144"/>
    <n v="469"/>
    <n v="107"/>
    <n v="67.540000000000006"/>
    <n v="15.41"/>
    <n v="52.13"/>
    <n v="22.4"/>
    <n v="146"/>
    <s v="Medium"/>
    <s v="Low Stock"/>
    <s v="Restock"/>
    <s v="Rajasthan"/>
  </r>
  <r>
    <x v="1"/>
    <x v="8"/>
    <s v="Organic Superfoods"/>
    <s v="Amla Powder"/>
    <n v="247"/>
    <n v="123"/>
    <n v="81"/>
    <n v="30.38"/>
    <n v="20.010000000000002"/>
    <n v="10.37"/>
    <n v="-7.96"/>
    <n v="87"/>
    <s v="Low"/>
    <s v="High Demand"/>
    <s v="Increase Stock"/>
    <s v="Rajasthan"/>
  </r>
  <r>
    <x v="0"/>
    <x v="0"/>
    <s v="Organic Superfoods"/>
    <s v="Chia Seeds"/>
    <n v="207"/>
    <n v="485"/>
    <n v="44"/>
    <n v="100.39"/>
    <n v="9.11"/>
    <n v="91.29"/>
    <n v="22.41"/>
    <n v="31"/>
    <s v="High"/>
    <s v="None"/>
    <s v="Maintain"/>
    <s v="Maharashtra"/>
  </r>
  <r>
    <x v="0"/>
    <x v="10"/>
    <s v="Organic Spices"/>
    <s v="Red Chilli Powder"/>
    <n v="418"/>
    <n v="231"/>
    <n v="93"/>
    <n v="96.56"/>
    <n v="38.869999999999997"/>
    <n v="57.68"/>
    <n v="1.68"/>
    <n v="160"/>
    <s v="Low"/>
    <s v="None"/>
    <s v="Maintain"/>
    <s v="Karnataka"/>
  </r>
  <r>
    <x v="0"/>
    <x v="3"/>
    <s v="Organic Spices"/>
    <s v="Black Pepper"/>
    <n v="172"/>
    <n v="480"/>
    <n v="64"/>
    <n v="82.56"/>
    <n v="11.01"/>
    <n v="71.55"/>
    <n v="5.81"/>
    <n v="207"/>
    <s v="High"/>
    <s v="Supply Delay"/>
    <s v="Find Alternate Supplier"/>
    <s v="Maharashtra"/>
  </r>
  <r>
    <x v="2"/>
    <x v="5"/>
    <s v="Organic Grocery"/>
    <s v="Dals"/>
    <n v="350"/>
    <n v="345"/>
    <n v="330"/>
    <n v="120.75"/>
    <n v="115.5"/>
    <n v="5.25"/>
    <n v="22.28"/>
    <n v="32"/>
    <s v="High"/>
    <s v="High Demand"/>
    <s v="Increase Stock"/>
    <s v="Gujarat"/>
  </r>
  <r>
    <x v="2"/>
    <x v="10"/>
    <s v="Organic Dairy"/>
    <s v="Curd"/>
    <n v="245"/>
    <n v="272"/>
    <n v="100"/>
    <n v="66.64"/>
    <n v="24.5"/>
    <n v="42.14"/>
    <n v="9.4600000000000009"/>
    <n v="115"/>
    <s v="Medium"/>
    <s v="Supply Delay"/>
    <s v="Find Alternate Supplier"/>
    <s v="Rajasthan"/>
  </r>
  <r>
    <x v="0"/>
    <x v="5"/>
    <s v="Organic Dairy"/>
    <s v="Curd"/>
    <n v="141"/>
    <n v="280"/>
    <n v="246"/>
    <n v="39.479999999999997"/>
    <n v="34.69"/>
    <n v="4.79"/>
    <n v="13.29"/>
    <n v="46"/>
    <s v="Medium"/>
    <s v="Supply Delay"/>
    <s v="Find Alternate Supplier"/>
    <s v="Tamil Nadu"/>
  </r>
  <r>
    <x v="2"/>
    <x v="2"/>
    <s v="Organic Dairy"/>
    <s v="Milk"/>
    <n v="51"/>
    <n v="426"/>
    <n v="122"/>
    <n v="21.73"/>
    <n v="6.22"/>
    <n v="15.5"/>
    <n v="-6.88"/>
    <n v="38"/>
    <s v="High"/>
    <s v="High Demand"/>
    <s v="Increase Stock"/>
    <s v="Rajasthan"/>
  </r>
  <r>
    <x v="0"/>
    <x v="3"/>
    <s v="Organic Dairy"/>
    <s v="Milk"/>
    <n v="452"/>
    <n v="486"/>
    <n v="234"/>
    <n v="219.67"/>
    <n v="105.77"/>
    <n v="113.9"/>
    <n v="20.61"/>
    <n v="268"/>
    <s v="Low"/>
    <s v="Supply Delay"/>
    <s v="Find Alternate Supplier"/>
    <s v="Rajasthan"/>
  </r>
  <r>
    <x v="2"/>
    <x v="11"/>
    <s v="Organic Oils"/>
    <s v="Groundnut Oil"/>
    <n v="490"/>
    <n v="281"/>
    <n v="138"/>
    <n v="137.69"/>
    <n v="67.62"/>
    <n v="70.069999999999993"/>
    <n v="17.2"/>
    <n v="180"/>
    <s v="Low"/>
    <s v="Supply Delay"/>
    <s v="Find Alternate Supplier"/>
    <s v="Tamil Nadu"/>
  </r>
  <r>
    <x v="0"/>
    <x v="7"/>
    <s v="Organic Spices"/>
    <s v="Black Pepper"/>
    <n v="287"/>
    <n v="167"/>
    <n v="106"/>
    <n v="47.93"/>
    <n v="30.42"/>
    <n v="17.510000000000002"/>
    <n v="19.45"/>
    <n v="220"/>
    <s v="High"/>
    <s v="High Demand"/>
    <s v="Increase Stock"/>
    <s v="Maharashtra"/>
  </r>
  <r>
    <x v="2"/>
    <x v="3"/>
    <s v="Organic Oils"/>
    <s v="Groundnut Oil"/>
    <n v="476"/>
    <n v="433"/>
    <n v="334"/>
    <n v="206.11"/>
    <n v="158.97999999999999"/>
    <n v="47.12"/>
    <n v="19.23"/>
    <n v="270"/>
    <s v="Low"/>
    <s v="Supply Delay"/>
    <s v="Find Alternate Supplier"/>
    <s v="Rajasthan"/>
  </r>
  <r>
    <x v="0"/>
    <x v="1"/>
    <s v="Organic Superfoods"/>
    <s v="Amla Powder"/>
    <n v="288"/>
    <n v="52"/>
    <n v="34"/>
    <n v="14.98"/>
    <n v="9.7899999999999991"/>
    <n v="5.18"/>
    <n v="-3.05"/>
    <n v="103"/>
    <s v="Low"/>
    <s v="Supply Delay"/>
    <s v="Find Alternate Supplier"/>
    <s v="Gujarat"/>
  </r>
  <r>
    <x v="0"/>
    <x v="3"/>
    <s v="Organic Oils"/>
    <s v="Coconut Oil"/>
    <n v="144"/>
    <n v="240"/>
    <n v="44"/>
    <n v="34.56"/>
    <n v="6.34"/>
    <n v="28.22"/>
    <n v="23.06"/>
    <n v="293"/>
    <s v="High"/>
    <s v="None"/>
    <s v="Maintain"/>
    <s v="Rajasthan"/>
  </r>
  <r>
    <x v="0"/>
    <x v="3"/>
    <s v="Organic Grocery"/>
    <s v="Rice"/>
    <n v="242"/>
    <n v="437"/>
    <n v="325"/>
    <n v="105.75"/>
    <n v="78.650000000000006"/>
    <n v="27.1"/>
    <n v="6.53"/>
    <n v="138"/>
    <s v="High"/>
    <s v="Low Stock"/>
    <s v="Restock"/>
    <s v="Tamil Nadu"/>
  </r>
  <r>
    <x v="2"/>
    <x v="1"/>
    <s v="Organic Grocery"/>
    <s v="Pulses"/>
    <n v="180"/>
    <n v="488"/>
    <n v="31"/>
    <n v="87.84"/>
    <n v="5.58"/>
    <n v="82.26"/>
    <n v="18.350000000000001"/>
    <n v="121"/>
    <s v="High"/>
    <s v="Low Stock"/>
    <s v="Restock"/>
    <s v="Delhi"/>
  </r>
  <r>
    <x v="2"/>
    <x v="2"/>
    <s v="Organic Superfoods"/>
    <s v="Amla Powder"/>
    <n v="191"/>
    <n v="343"/>
    <n v="79"/>
    <n v="65.510000000000005"/>
    <n v="15.09"/>
    <n v="50.42"/>
    <n v="-0.01"/>
    <n v="168"/>
    <s v="Medium"/>
    <s v="None"/>
    <s v="Maintain"/>
    <s v="Rajasthan"/>
  </r>
  <r>
    <x v="2"/>
    <x v="4"/>
    <s v="Organic Oils"/>
    <s v="Sunflower Oil"/>
    <n v="214"/>
    <n v="265"/>
    <n v="76"/>
    <n v="56.71"/>
    <n v="16.260000000000002"/>
    <n v="40.450000000000003"/>
    <n v="-1.01"/>
    <n v="72"/>
    <s v="Low"/>
    <s v="High Demand"/>
    <s v="Increase Stock"/>
    <s v="Maharashtra"/>
  </r>
  <r>
    <x v="0"/>
    <x v="7"/>
    <s v="Organic Grocery"/>
    <s v="Pulses"/>
    <n v="166"/>
    <n v="110"/>
    <n v="100"/>
    <n v="18.260000000000002"/>
    <n v="16.600000000000001"/>
    <n v="1.66"/>
    <n v="-9.32"/>
    <n v="29"/>
    <s v="High"/>
    <s v="Supply Delay"/>
    <s v="Find Alternate Supplier"/>
    <s v="Karnataka"/>
  </r>
  <r>
    <x v="2"/>
    <x v="1"/>
    <s v="Organic Grocery"/>
    <s v="Wheat Flour"/>
    <n v="202"/>
    <n v="314"/>
    <n v="73"/>
    <n v="63.43"/>
    <n v="14.75"/>
    <n v="48.68"/>
    <n v="24.09"/>
    <n v="181"/>
    <s v="Low"/>
    <s v="High Demand"/>
    <s v="Increase Stock"/>
    <s v="Rajasthan"/>
  </r>
  <r>
    <x v="2"/>
    <x v="2"/>
    <s v="Organic Oils"/>
    <s v="Coconut Oil"/>
    <n v="321"/>
    <n v="131"/>
    <n v="44"/>
    <n v="42.05"/>
    <n v="14.12"/>
    <n v="27.93"/>
    <n v="21.09"/>
    <n v="129"/>
    <s v="High"/>
    <s v="Supply Delay"/>
    <s v="Find Alternate Supplier"/>
    <s v="Maharashtra"/>
  </r>
  <r>
    <x v="2"/>
    <x v="7"/>
    <s v="Organic Superfoods"/>
    <s v="Amla Powder"/>
    <n v="348"/>
    <n v="208"/>
    <n v="151"/>
    <n v="72.38"/>
    <n v="52.55"/>
    <n v="19.84"/>
    <n v="18.239999999999998"/>
    <n v="76"/>
    <s v="Low"/>
    <s v="High Demand"/>
    <s v="Increase Stock"/>
    <s v="Maharashtra"/>
  </r>
  <r>
    <x v="1"/>
    <x v="10"/>
    <s v="Organic Superfoods"/>
    <s v="Amla Powder"/>
    <n v="481"/>
    <n v="148"/>
    <n v="108"/>
    <n v="71.19"/>
    <n v="51.95"/>
    <n v="19.239999999999998"/>
    <n v="22.81"/>
    <n v="66"/>
    <s v="Low"/>
    <s v="High Demand"/>
    <s v="Increase Stock"/>
    <s v="Delhi"/>
  </r>
  <r>
    <x v="1"/>
    <x v="4"/>
    <s v="Organic Spices"/>
    <s v="Black Pepper"/>
    <n v="485"/>
    <n v="278"/>
    <n v="238"/>
    <n v="134.83000000000001"/>
    <n v="115.43"/>
    <n v="19.399999999999999"/>
    <n v="14.19"/>
    <n v="169"/>
    <s v="High"/>
    <s v="Supply Delay"/>
    <s v="Find Alternate Supplier"/>
    <s v="Tamil Nadu"/>
  </r>
  <r>
    <x v="2"/>
    <x v="10"/>
    <s v="Organic Superfoods"/>
    <s v="Chia Seeds"/>
    <n v="99"/>
    <n v="270"/>
    <n v="163"/>
    <n v="26.73"/>
    <n v="16.14"/>
    <n v="10.59"/>
    <n v="23.63"/>
    <n v="92"/>
    <s v="Low"/>
    <s v="High Demand"/>
    <s v="Increase Stock"/>
    <s v="Rajasthan"/>
  </r>
  <r>
    <x v="1"/>
    <x v="6"/>
    <s v="Organic Grocery"/>
    <s v="Wheat Flour"/>
    <n v="429"/>
    <n v="153"/>
    <n v="69"/>
    <n v="65.64"/>
    <n v="29.6"/>
    <n v="36.04"/>
    <n v="7.68"/>
    <n v="150"/>
    <s v="Low"/>
    <s v="Low Stock"/>
    <s v="Restock"/>
    <s v="Maharashtra"/>
  </r>
  <r>
    <x v="0"/>
    <x v="1"/>
    <s v="Organic Grocery"/>
    <s v="Dals"/>
    <n v="392"/>
    <n v="322"/>
    <n v="92"/>
    <n v="126.22"/>
    <n v="36.06"/>
    <n v="90.16"/>
    <n v="18.36"/>
    <n v="108"/>
    <s v="High"/>
    <s v="Supply Delay"/>
    <s v="Find Alternate Supplier"/>
    <s v="Rajasthan"/>
  </r>
  <r>
    <x v="0"/>
    <x v="6"/>
    <s v="Organic Oils"/>
    <s v="Sunflower Oil"/>
    <n v="218"/>
    <n v="89"/>
    <n v="39"/>
    <n v="19.399999999999999"/>
    <n v="8.5"/>
    <n v="10.9"/>
    <n v="1.17"/>
    <n v="51"/>
    <s v="High"/>
    <s v="Supply Delay"/>
    <s v="Find Alternate Supplier"/>
    <s v="Gujarat"/>
  </r>
  <r>
    <x v="0"/>
    <x v="2"/>
    <s v="Organic Oils"/>
    <s v="Coconut Oil"/>
    <n v="256"/>
    <n v="311"/>
    <n v="289"/>
    <n v="79.62"/>
    <n v="73.98"/>
    <n v="5.63"/>
    <n v="21.2"/>
    <n v="259"/>
    <s v="Low"/>
    <s v="Supply Delay"/>
    <s v="Find Alternate Supplier"/>
    <s v="Tamil Nadu"/>
  </r>
  <r>
    <x v="0"/>
    <x v="5"/>
    <s v="Organic Dairy"/>
    <s v="Ghee"/>
    <n v="191"/>
    <n v="452"/>
    <n v="330"/>
    <n v="86.33"/>
    <n v="63.03"/>
    <n v="23.3"/>
    <n v="-5.27"/>
    <n v="265"/>
    <s v="Medium"/>
    <s v="Low Stock"/>
    <s v="Restock"/>
    <s v="Karnataka"/>
  </r>
  <r>
    <x v="0"/>
    <x v="1"/>
    <s v="Organic Spices"/>
    <s v="Turmeric Powder"/>
    <n v="72"/>
    <n v="311"/>
    <n v="85"/>
    <n v="22.39"/>
    <n v="6.12"/>
    <n v="16.27"/>
    <n v="-1.69"/>
    <n v="141"/>
    <s v="Medium"/>
    <s v="Low Stock"/>
    <s v="Restock"/>
    <s v="Rajasthan"/>
  </r>
  <r>
    <x v="1"/>
    <x v="2"/>
    <s v="Organic Oils"/>
    <s v="Coconut Oil"/>
    <n v="248"/>
    <n v="277"/>
    <n v="85"/>
    <n v="68.7"/>
    <n v="21.08"/>
    <n v="47.62"/>
    <n v="2"/>
    <n v="200"/>
    <s v="High"/>
    <s v="None"/>
    <s v="Maintain"/>
    <s v="Maharashtra"/>
  </r>
  <r>
    <x v="1"/>
    <x v="9"/>
    <s v="Organic Spices"/>
    <s v="Turmeric Powder"/>
    <n v="132"/>
    <n v="336"/>
    <n v="241"/>
    <n v="44.35"/>
    <n v="31.81"/>
    <n v="12.54"/>
    <n v="-7.8"/>
    <n v="190"/>
    <s v="Medium"/>
    <s v="Low Stock"/>
    <s v="Restock"/>
    <s v="Gujarat"/>
  </r>
  <r>
    <x v="1"/>
    <x v="9"/>
    <s v="Organic Dairy"/>
    <s v="Ghee"/>
    <n v="297"/>
    <n v="387"/>
    <n v="208"/>
    <n v="114.94"/>
    <n v="61.78"/>
    <n v="53.16"/>
    <n v="8.99"/>
    <n v="169"/>
    <s v="Medium"/>
    <s v="Supply Delay"/>
    <s v="Find Alternate Supplier"/>
    <s v="Tamil Nadu"/>
  </r>
  <r>
    <x v="1"/>
    <x v="0"/>
    <s v="Organic Grocery"/>
    <s v="Wheat Flour"/>
    <n v="129"/>
    <n v="445"/>
    <n v="365"/>
    <n v="57.41"/>
    <n v="47.09"/>
    <n v="10.32"/>
    <n v="10.74"/>
    <n v="209"/>
    <s v="High"/>
    <s v="High Demand"/>
    <s v="Increase Stock"/>
    <s v="Gujarat"/>
  </r>
  <r>
    <x v="2"/>
    <x v="6"/>
    <s v="Organic Superfoods"/>
    <s v="Chia Seeds"/>
    <n v="295"/>
    <n v="394"/>
    <n v="278"/>
    <n v="116.23"/>
    <n v="82.01"/>
    <n v="34.22"/>
    <n v="12.4"/>
    <n v="193"/>
    <s v="Medium"/>
    <s v="Low Stock"/>
    <s v="Restock"/>
    <s v="Maharashtra"/>
  </r>
  <r>
    <x v="1"/>
    <x v="3"/>
    <s v="Organic Oils"/>
    <s v="Sunflower Oil"/>
    <n v="199"/>
    <n v="144"/>
    <n v="112"/>
    <n v="28.66"/>
    <n v="22.29"/>
    <n v="6.37"/>
    <n v="18.36"/>
    <n v="90"/>
    <s v="High"/>
    <s v="Supply Delay"/>
    <s v="Find Alternate Supplier"/>
    <s v="Maharashtra"/>
  </r>
  <r>
    <x v="0"/>
    <x v="5"/>
    <s v="Organic Oils"/>
    <s v="Sunflower Oil"/>
    <n v="193"/>
    <n v="277"/>
    <n v="130"/>
    <n v="53.46"/>
    <n v="25.09"/>
    <n v="28.37"/>
    <n v="24.64"/>
    <n v="101"/>
    <s v="Medium"/>
    <s v="Low Stock"/>
    <s v="Restock"/>
    <s v="Rajasthan"/>
  </r>
  <r>
    <x v="1"/>
    <x v="4"/>
    <s v="Organic Superfoods"/>
    <s v="Ashwagandha"/>
    <n v="322"/>
    <n v="498"/>
    <n v="176"/>
    <n v="160.36000000000001"/>
    <n v="56.67"/>
    <n v="103.68"/>
    <n v="2.29"/>
    <n v="238"/>
    <s v="Medium"/>
    <s v="None"/>
    <s v="Maintain"/>
    <s v="Rajasthan"/>
  </r>
  <r>
    <x v="0"/>
    <x v="5"/>
    <s v="Organic Dairy"/>
    <s v="Curd"/>
    <n v="240"/>
    <n v="284"/>
    <n v="96"/>
    <n v="68.16"/>
    <n v="23.04"/>
    <n v="45.12"/>
    <n v="-6.24"/>
    <n v="268"/>
    <s v="Medium"/>
    <s v="None"/>
    <s v="Maintain"/>
    <s v="Rajasthan"/>
  </r>
  <r>
    <x v="1"/>
    <x v="3"/>
    <s v="Organic Superfoods"/>
    <s v="Ashwagandha"/>
    <n v="450"/>
    <n v="322"/>
    <n v="40"/>
    <n v="144.9"/>
    <n v="18"/>
    <n v="126.9"/>
    <n v="20.190000000000001"/>
    <n v="270"/>
    <s v="Low"/>
    <s v="High Demand"/>
    <s v="Increase Stock"/>
    <s v="Tamil Nadu"/>
  </r>
  <r>
    <x v="1"/>
    <x v="10"/>
    <s v="Organic Dairy"/>
    <s v="Ghee"/>
    <n v="207"/>
    <n v="101"/>
    <n v="50"/>
    <n v="20.91"/>
    <n v="10.35"/>
    <n v="10.56"/>
    <n v="13.12"/>
    <n v="239"/>
    <s v="Low"/>
    <s v="Supply Delay"/>
    <s v="Find Alternate Supplier"/>
    <s v="Delhi"/>
  </r>
  <r>
    <x v="2"/>
    <x v="5"/>
    <s v="Organic Dairy"/>
    <s v="Ghee"/>
    <n v="372"/>
    <n v="307"/>
    <n v="153"/>
    <n v="114.2"/>
    <n v="56.92"/>
    <n v="57.29"/>
    <n v="-4.38"/>
    <n v="124"/>
    <s v="High"/>
    <s v="None"/>
    <s v="Maintain"/>
    <s v="Delhi"/>
  </r>
  <r>
    <x v="1"/>
    <x v="8"/>
    <s v="Organic Dairy"/>
    <s v="Curd"/>
    <n v="285"/>
    <n v="230"/>
    <n v="43"/>
    <n v="65.55"/>
    <n v="12.26"/>
    <n v="53.29"/>
    <n v="-9.69"/>
    <n v="122"/>
    <s v="Medium"/>
    <s v="None"/>
    <s v="Maintain"/>
    <s v="Maharashtra"/>
  </r>
  <r>
    <x v="2"/>
    <x v="2"/>
    <s v="Organic Spices"/>
    <s v="Red Chilli Powder"/>
    <n v="428"/>
    <n v="434"/>
    <n v="113"/>
    <n v="185.75"/>
    <n v="48.36"/>
    <n v="137.38999999999999"/>
    <n v="20.440000000000001"/>
    <n v="154"/>
    <s v="Low"/>
    <s v="Supply Delay"/>
    <s v="Find Alternate Supplier"/>
    <s v="Rajasthan"/>
  </r>
  <r>
    <x v="2"/>
    <x v="9"/>
    <s v="Organic Dairy"/>
    <s v="Paneer"/>
    <n v="370"/>
    <n v="469"/>
    <n v="44"/>
    <n v="173.53"/>
    <n v="16.28"/>
    <n v="157.25"/>
    <n v="7.88"/>
    <n v="227"/>
    <s v="High"/>
    <s v="None"/>
    <s v="Maintain"/>
    <s v="Maharashtra"/>
  </r>
  <r>
    <x v="0"/>
    <x v="4"/>
    <s v="Organic Oils"/>
    <s v="Coconut Oil"/>
    <n v="170"/>
    <n v="379"/>
    <n v="216"/>
    <n v="64.430000000000007"/>
    <n v="36.72"/>
    <n v="27.71"/>
    <n v="24.4"/>
    <n v="56"/>
    <s v="Medium"/>
    <s v="Supply Delay"/>
    <s v="Find Alternate Supplier"/>
    <s v="Rajasthan"/>
  </r>
  <r>
    <x v="0"/>
    <x v="1"/>
    <s v="Organic Spices"/>
    <s v="Turmeric Powder"/>
    <n v="267"/>
    <n v="477"/>
    <n v="57"/>
    <n v="127.36"/>
    <n v="15.22"/>
    <n v="112.14"/>
    <n v="12.86"/>
    <n v="101"/>
    <s v="Medium"/>
    <s v="None"/>
    <s v="Maintain"/>
    <s v="Delhi"/>
  </r>
  <r>
    <x v="0"/>
    <x v="5"/>
    <s v="Organic Superfoods"/>
    <s v="Chia Seeds"/>
    <n v="257"/>
    <n v="219"/>
    <n v="165"/>
    <n v="56.28"/>
    <n v="42.41"/>
    <n v="13.88"/>
    <n v="-3.39"/>
    <n v="49"/>
    <s v="Low"/>
    <s v="Low Stock"/>
    <s v="Restock"/>
    <s v="Karnataka"/>
  </r>
  <r>
    <x v="2"/>
    <x v="2"/>
    <s v="Organic Superfoods"/>
    <s v="Ashwagandha"/>
    <n v="427"/>
    <n v="160"/>
    <n v="31"/>
    <n v="68.319999999999993"/>
    <n v="13.24"/>
    <n v="55.08"/>
    <n v="24.16"/>
    <n v="223"/>
    <s v="High"/>
    <s v="Supply Delay"/>
    <s v="Find Alternate Supplier"/>
    <s v="Maharashtra"/>
  </r>
  <r>
    <x v="1"/>
    <x v="10"/>
    <s v="Organic Superfoods"/>
    <s v="Ashwagandha"/>
    <n v="139"/>
    <n v="60"/>
    <n v="38"/>
    <n v="8.34"/>
    <n v="5.28"/>
    <n v="3.06"/>
    <n v="1.31"/>
    <n v="79"/>
    <s v="High"/>
    <s v="High Demand"/>
    <s v="Increase Stock"/>
    <s v="Delhi"/>
  </r>
  <r>
    <x v="2"/>
    <x v="2"/>
    <s v="Organic Spices"/>
    <s v="Turmeric Powder"/>
    <n v="135"/>
    <n v="383"/>
    <n v="279"/>
    <n v="51.7"/>
    <n v="37.659999999999997"/>
    <n v="14.04"/>
    <n v="6.31"/>
    <n v="25"/>
    <s v="Low"/>
    <s v="Supply Delay"/>
    <s v="Find Alternate Supplier"/>
    <s v="Delhi"/>
  </r>
  <r>
    <x v="2"/>
    <x v="10"/>
    <s v="Organic Oils"/>
    <s v="Groundnut Oil"/>
    <n v="168"/>
    <n v="129"/>
    <n v="40"/>
    <n v="21.67"/>
    <n v="6.72"/>
    <n v="14.95"/>
    <n v="10.92"/>
    <n v="62"/>
    <s v="High"/>
    <s v="Supply Delay"/>
    <s v="Find Alternate Supplier"/>
    <s v="Rajasthan"/>
  </r>
  <r>
    <x v="1"/>
    <x v="10"/>
    <s v="Organic Oils"/>
    <s v="Coconut Oil"/>
    <n v="366"/>
    <n v="463"/>
    <n v="198"/>
    <n v="169.46"/>
    <n v="72.47"/>
    <n v="96.99"/>
    <n v="6.23"/>
    <n v="272"/>
    <s v="Low"/>
    <s v="Supply Delay"/>
    <s v="Find Alternate Supplier"/>
    <s v="Rajasthan"/>
  </r>
  <r>
    <x v="2"/>
    <x v="9"/>
    <s v="Organic Spices"/>
    <s v="Turmeric Powder"/>
    <n v="496"/>
    <n v="56"/>
    <n v="38"/>
    <n v="27.78"/>
    <n v="18.850000000000001"/>
    <n v="8.93"/>
    <n v="17.66"/>
    <n v="217"/>
    <s v="Low"/>
    <s v="Supply Delay"/>
    <s v="Find Alternate Supplier"/>
    <s v="Rajasthan"/>
  </r>
  <r>
    <x v="0"/>
    <x v="7"/>
    <s v="Organic Spices"/>
    <s v="Red Chilli Powder"/>
    <n v="433"/>
    <n v="487"/>
    <n v="48"/>
    <n v="210.87"/>
    <n v="20.78"/>
    <n v="190.09"/>
    <n v="3.39"/>
    <n v="211"/>
    <s v="High"/>
    <s v="Supply Delay"/>
    <s v="Find Alternate Supplier"/>
    <s v="Karnataka"/>
  </r>
  <r>
    <x v="1"/>
    <x v="2"/>
    <s v="Organic Grocery"/>
    <s v="Rice"/>
    <n v="421"/>
    <n v="330"/>
    <n v="231"/>
    <n v="138.93"/>
    <n v="97.25"/>
    <n v="41.68"/>
    <n v="-8.19"/>
    <n v="45"/>
    <s v="Low"/>
    <s v="None"/>
    <s v="Maintain"/>
    <s v="Karnataka"/>
  </r>
  <r>
    <x v="2"/>
    <x v="0"/>
    <s v="Organic Grocery"/>
    <s v="Wheat Flour"/>
    <n v="208"/>
    <n v="166"/>
    <n v="76"/>
    <n v="34.53"/>
    <n v="15.81"/>
    <n v="18.72"/>
    <n v="4.45"/>
    <n v="25"/>
    <s v="High"/>
    <s v="None"/>
    <s v="Maintain"/>
    <s v="Rajasthan"/>
  </r>
  <r>
    <x v="1"/>
    <x v="3"/>
    <s v="Organic Superfoods"/>
    <s v="Amla Powder"/>
    <n v="295"/>
    <n v="209"/>
    <n v="142"/>
    <n v="61.66"/>
    <n v="41.89"/>
    <n v="19.77"/>
    <n v="11.93"/>
    <n v="153"/>
    <s v="High"/>
    <s v="None"/>
    <s v="Maintain"/>
    <s v="Rajasthan"/>
  </r>
  <r>
    <x v="2"/>
    <x v="8"/>
    <s v="Organic Grocery"/>
    <s v="Dals"/>
    <n v="291"/>
    <n v="182"/>
    <n v="120"/>
    <n v="52.96"/>
    <n v="34.92"/>
    <n v="18.04"/>
    <n v="21"/>
    <n v="48"/>
    <s v="Medium"/>
    <s v="Supply Delay"/>
    <s v="Find Alternate Supplier"/>
    <s v="Gujarat"/>
  </r>
  <r>
    <x v="1"/>
    <x v="0"/>
    <s v="Organic Grocery"/>
    <s v="Rice"/>
    <n v="373"/>
    <n v="222"/>
    <n v="38"/>
    <n v="82.81"/>
    <n v="14.17"/>
    <n v="68.63"/>
    <n v="9.4600000000000009"/>
    <n v="132"/>
    <s v="Medium"/>
    <s v="Supply Delay"/>
    <s v="Find Alternate Supplier"/>
    <s v="Karnataka"/>
  </r>
  <r>
    <x v="1"/>
    <x v="6"/>
    <s v="Organic Grocery"/>
    <s v="Rice"/>
    <n v="80"/>
    <n v="85"/>
    <n v="53"/>
    <n v="6.8"/>
    <n v="4.24"/>
    <n v="2.56"/>
    <n v="6.55"/>
    <n v="297"/>
    <s v="Medium"/>
    <s v="Supply Delay"/>
    <s v="Find Alternate Supplier"/>
    <s v="Tamil Nadu"/>
  </r>
  <r>
    <x v="2"/>
    <x v="5"/>
    <s v="Organic Dairy"/>
    <s v="Ghee"/>
    <n v="238"/>
    <n v="180"/>
    <n v="111"/>
    <n v="42.84"/>
    <n v="26.42"/>
    <n v="16.420000000000002"/>
    <n v="17.739999999999998"/>
    <n v="168"/>
    <s v="High"/>
    <s v="None"/>
    <s v="Maintain"/>
    <s v="Rajasthan"/>
  </r>
  <r>
    <x v="2"/>
    <x v="11"/>
    <s v="Organic Oils"/>
    <s v="Groundnut Oil"/>
    <n v="152"/>
    <n v="349"/>
    <n v="82"/>
    <n v="53.05"/>
    <n v="12.46"/>
    <n v="40.58"/>
    <n v="-9.7899999999999991"/>
    <n v="37"/>
    <s v="Medium"/>
    <s v="Supply Delay"/>
    <s v="Find Alternate Supplier"/>
    <s v="Tamil Nadu"/>
  </r>
  <r>
    <x v="1"/>
    <x v="3"/>
    <s v="Organic Grocery"/>
    <s v="Dals"/>
    <n v="296"/>
    <n v="258"/>
    <n v="95"/>
    <n v="76.37"/>
    <n v="28.12"/>
    <n v="48.25"/>
    <n v="-6.3"/>
    <n v="164"/>
    <s v="Medium"/>
    <s v="Low Stock"/>
    <s v="Restock"/>
    <s v="Rajasthan"/>
  </r>
  <r>
    <x v="2"/>
    <x v="6"/>
    <s v="Organic Dairy"/>
    <s v="Curd"/>
    <n v="182"/>
    <n v="55"/>
    <n v="32"/>
    <n v="10.01"/>
    <n v="5.82"/>
    <n v="4.1900000000000004"/>
    <n v="-2.15"/>
    <n v="35"/>
    <s v="High"/>
    <s v="Low Stock"/>
    <s v="Restock"/>
    <s v="Delhi"/>
  </r>
  <r>
    <x v="1"/>
    <x v="8"/>
    <s v="Organic Superfoods"/>
    <s v="Chia Seeds"/>
    <n v="442"/>
    <n v="131"/>
    <n v="100"/>
    <n v="57.9"/>
    <n v="44.2"/>
    <n v="13.7"/>
    <n v="19.809999999999999"/>
    <n v="190"/>
    <s v="High"/>
    <s v="None"/>
    <s v="Maintain"/>
    <s v="Delhi"/>
  </r>
  <r>
    <x v="1"/>
    <x v="9"/>
    <s v="Organic Oils"/>
    <s v="Sunflower Oil"/>
    <n v="154"/>
    <n v="343"/>
    <n v="264"/>
    <n v="52.82"/>
    <n v="40.659999999999997"/>
    <n v="12.17"/>
    <n v="-1.41"/>
    <n v="287"/>
    <s v="Low"/>
    <s v="Supply Delay"/>
    <s v="Find Alternate Supplier"/>
    <s v="Karnataka"/>
  </r>
  <r>
    <x v="2"/>
    <x v="4"/>
    <s v="Organic Grocery"/>
    <s v="Dals"/>
    <n v="373"/>
    <n v="254"/>
    <n v="205"/>
    <n v="94.74"/>
    <n v="76.47"/>
    <n v="18.28"/>
    <n v="13.51"/>
    <n v="145"/>
    <s v="Medium"/>
    <s v="High Demand"/>
    <s v="Increase Stock"/>
    <s v="Maharashtra"/>
  </r>
  <r>
    <x v="1"/>
    <x v="6"/>
    <s v="Organic Dairy"/>
    <s v="Milk"/>
    <n v="264"/>
    <n v="327"/>
    <n v="48"/>
    <n v="86.33"/>
    <n v="12.67"/>
    <n v="73.66"/>
    <n v="-7.73"/>
    <n v="238"/>
    <s v="Low"/>
    <s v="Low Stock"/>
    <s v="Restock"/>
    <s v="Gujarat"/>
  </r>
  <r>
    <x v="0"/>
    <x v="5"/>
    <s v="Organic Grocery"/>
    <s v="Wheat Flour"/>
    <n v="206"/>
    <n v="296"/>
    <n v="285"/>
    <n v="60.98"/>
    <n v="58.71"/>
    <n v="2.27"/>
    <n v="11.11"/>
    <n v="252"/>
    <s v="Medium"/>
    <s v="Low Stock"/>
    <s v="Restock"/>
    <s v="Gujarat"/>
  </r>
  <r>
    <x v="2"/>
    <x v="1"/>
    <s v="Organic Grocery"/>
    <s v="Dals"/>
    <n v="445"/>
    <n v="165"/>
    <n v="73"/>
    <n v="73.42"/>
    <n v="32.479999999999997"/>
    <n v="40.94"/>
    <n v="23.4"/>
    <n v="58"/>
    <s v="Low"/>
    <s v="None"/>
    <s v="Maintain"/>
    <s v="Maharashtra"/>
  </r>
  <r>
    <x v="1"/>
    <x v="0"/>
    <s v="Organic Grocery"/>
    <s v="Wheat Flour"/>
    <n v="329"/>
    <n v="231"/>
    <n v="205"/>
    <n v="76"/>
    <n v="67.44"/>
    <n v="8.5500000000000007"/>
    <n v="3.22"/>
    <n v="101"/>
    <s v="High"/>
    <s v="Low Stock"/>
    <s v="Restock"/>
    <s v="Rajasthan"/>
  </r>
  <r>
    <x v="0"/>
    <x v="6"/>
    <s v="Organic Superfoods"/>
    <s v="Chia Seeds"/>
    <n v="150"/>
    <n v="308"/>
    <n v="186"/>
    <n v="46.2"/>
    <n v="27.9"/>
    <n v="18.3"/>
    <n v="19.079999999999998"/>
    <n v="36"/>
    <s v="High"/>
    <s v="Low Stock"/>
    <s v="Restock"/>
    <s v="Rajasthan"/>
  </r>
  <r>
    <x v="2"/>
    <x v="8"/>
    <s v="Organic Superfoods"/>
    <s v="Chia Seeds"/>
    <n v="410"/>
    <n v="454"/>
    <n v="323"/>
    <n v="186.14"/>
    <n v="132.43"/>
    <n v="53.71"/>
    <n v="-6.95"/>
    <n v="212"/>
    <s v="Medium"/>
    <s v="Supply Delay"/>
    <s v="Find Alternate Supplier"/>
    <s v="Delhi"/>
  </r>
  <r>
    <x v="1"/>
    <x v="11"/>
    <s v="Organic Grocery"/>
    <s v="Wheat Flour"/>
    <n v="424"/>
    <n v="280"/>
    <n v="122"/>
    <n v="118.72"/>
    <n v="51.73"/>
    <n v="66.989999999999995"/>
    <n v="-6.4"/>
    <n v="295"/>
    <s v="Medium"/>
    <s v="Low Stock"/>
    <s v="Restock"/>
    <s v="Karnataka"/>
  </r>
  <r>
    <x v="0"/>
    <x v="10"/>
    <s v="Organic Grocery"/>
    <s v="Wheat Flour"/>
    <n v="94"/>
    <n v="361"/>
    <n v="312"/>
    <n v="33.93"/>
    <n v="29.33"/>
    <n v="4.6100000000000003"/>
    <n v="-4.9000000000000004"/>
    <n v="221"/>
    <s v="Medium"/>
    <s v="Supply Delay"/>
    <s v="Find Alternate Supplier"/>
    <s v="Karnataka"/>
  </r>
  <r>
    <x v="1"/>
    <x v="7"/>
    <s v="Organic Oils"/>
    <s v="Sunflower Oil"/>
    <n v="438"/>
    <n v="203"/>
    <n v="167"/>
    <n v="88.91"/>
    <n v="73.150000000000006"/>
    <n v="15.77"/>
    <n v="20.58"/>
    <n v="125"/>
    <s v="Medium"/>
    <s v="Low Stock"/>
    <s v="Restock"/>
    <s v="Karnataka"/>
  </r>
  <r>
    <x v="2"/>
    <x v="7"/>
    <s v="Organic Grocery"/>
    <s v="Rice"/>
    <n v="380"/>
    <n v="268"/>
    <n v="172"/>
    <n v="101.84"/>
    <n v="65.36"/>
    <n v="36.479999999999997"/>
    <n v="18.829999999999998"/>
    <n v="278"/>
    <s v="High"/>
    <s v="Supply Delay"/>
    <s v="Find Alternate Supplier"/>
    <s v="Rajasthan"/>
  </r>
  <r>
    <x v="0"/>
    <x v="6"/>
    <s v="Organic Grocery"/>
    <s v="Pulses"/>
    <n v="184"/>
    <n v="375"/>
    <n v="342"/>
    <n v="69"/>
    <n v="62.93"/>
    <n v="6.07"/>
    <n v="8.4"/>
    <n v="268"/>
    <s v="Low"/>
    <s v="Low Stock"/>
    <s v="Restock"/>
    <s v="Maharashtra"/>
  </r>
  <r>
    <x v="1"/>
    <x v="11"/>
    <s v="Organic Grocery"/>
    <s v="Dals"/>
    <n v="356"/>
    <n v="229"/>
    <n v="34"/>
    <n v="81.52"/>
    <n v="12.1"/>
    <n v="69.42"/>
    <n v="13.16"/>
    <n v="105"/>
    <s v="High"/>
    <s v="High Demand"/>
    <s v="Increase Stock"/>
    <s v="Tamil Nadu"/>
  </r>
  <r>
    <x v="2"/>
    <x v="8"/>
    <s v="Organic Superfoods"/>
    <s v="Ashwagandha"/>
    <n v="354"/>
    <n v="79"/>
    <n v="30"/>
    <n v="27.97"/>
    <n v="10.62"/>
    <n v="17.350000000000001"/>
    <n v="-0.19"/>
    <n v="252"/>
    <s v="High"/>
    <s v="High Demand"/>
    <s v="Increase Stock"/>
    <s v="Gujarat"/>
  </r>
  <r>
    <x v="0"/>
    <x v="6"/>
    <s v="Organic Grocery"/>
    <s v="Pulses"/>
    <n v="352"/>
    <n v="368"/>
    <n v="210"/>
    <n v="129.54"/>
    <n v="73.92"/>
    <n v="55.62"/>
    <n v="-3.98"/>
    <n v="94"/>
    <s v="Low"/>
    <s v="High Demand"/>
    <s v="Increase Stock"/>
    <s v="Karnataka"/>
  </r>
  <r>
    <x v="1"/>
    <x v="9"/>
    <s v="Organic Dairy"/>
    <s v="Curd"/>
    <n v="214"/>
    <n v="76"/>
    <n v="44"/>
    <n v="16.260000000000002"/>
    <n v="9.42"/>
    <n v="6.85"/>
    <n v="12.62"/>
    <n v="219"/>
    <s v="High"/>
    <s v="Supply Delay"/>
    <s v="Find Alternate Supplier"/>
    <s v="Karnataka"/>
  </r>
  <r>
    <x v="1"/>
    <x v="6"/>
    <s v="Organic Dairy"/>
    <s v="Milk"/>
    <n v="308"/>
    <n v="413"/>
    <n v="195"/>
    <n v="127.2"/>
    <n v="60.06"/>
    <n v="67.14"/>
    <n v="-1.17"/>
    <n v="242"/>
    <s v="High"/>
    <s v="Low Stock"/>
    <s v="Restock"/>
    <s v="Gujarat"/>
  </r>
  <r>
    <x v="0"/>
    <x v="6"/>
    <s v="Organic Spices"/>
    <s v="Black Pepper"/>
    <n v="116"/>
    <n v="487"/>
    <n v="337"/>
    <n v="56.49"/>
    <n v="39.090000000000003"/>
    <n v="17.399999999999999"/>
    <n v="3.66"/>
    <n v="57"/>
    <s v="High"/>
    <s v="High Demand"/>
    <s v="Increase Stock"/>
    <s v="Maharashtra"/>
  </r>
  <r>
    <x v="2"/>
    <x v="0"/>
    <s v="Organic Oils"/>
    <s v="Sunflower Oil"/>
    <n v="371"/>
    <n v="376"/>
    <n v="102"/>
    <n v="139.5"/>
    <n v="37.840000000000003"/>
    <n v="101.65"/>
    <n v="-5.42"/>
    <n v="85"/>
    <s v="Low"/>
    <s v="None"/>
    <s v="Maintain"/>
    <s v="Karnataka"/>
  </r>
  <r>
    <x v="2"/>
    <x v="3"/>
    <s v="Organic Oils"/>
    <s v="Sunflower Oil"/>
    <n v="323"/>
    <n v="134"/>
    <n v="41"/>
    <n v="43.28"/>
    <n v="13.24"/>
    <n v="30.04"/>
    <n v="17.25"/>
    <n v="172"/>
    <s v="Medium"/>
    <s v="None"/>
    <s v="Maintain"/>
    <s v="Delhi"/>
  </r>
  <r>
    <x v="0"/>
    <x v="1"/>
    <s v="Organic Grocery"/>
    <s v="Dals"/>
    <n v="432"/>
    <n v="458"/>
    <n v="427"/>
    <n v="197.86"/>
    <n v="184.46"/>
    <n v="13.39"/>
    <n v="13.38"/>
    <n v="239"/>
    <s v="High"/>
    <s v="Supply Delay"/>
    <s v="Find Alternate Supplier"/>
    <s v="Gujarat"/>
  </r>
  <r>
    <x v="2"/>
    <x v="8"/>
    <s v="Organic Superfoods"/>
    <s v="Amla Powder"/>
    <n v="210"/>
    <n v="239"/>
    <n v="223"/>
    <n v="50.19"/>
    <n v="46.83"/>
    <n v="3.36"/>
    <n v="2.35"/>
    <n v="73"/>
    <s v="Low"/>
    <s v="Low Stock"/>
    <s v="Restock"/>
    <s v="Gujarat"/>
  </r>
  <r>
    <x v="1"/>
    <x v="8"/>
    <s v="Organic Spices"/>
    <s v="Black Pepper"/>
    <n v="424"/>
    <n v="223"/>
    <n v="201"/>
    <n v="94.55"/>
    <n v="85.22"/>
    <n v="9.33"/>
    <n v="6.94"/>
    <n v="300"/>
    <s v="High"/>
    <s v="Supply Delay"/>
    <s v="Find Alternate Supplier"/>
    <s v="Tamil Nadu"/>
  </r>
  <r>
    <x v="0"/>
    <x v="9"/>
    <s v="Organic Dairy"/>
    <s v="Milk"/>
    <n v="406"/>
    <n v="306"/>
    <n v="132"/>
    <n v="124.24"/>
    <n v="53.59"/>
    <n v="70.64"/>
    <n v="16.16"/>
    <n v="114"/>
    <s v="High"/>
    <s v="Supply Delay"/>
    <s v="Find Alternate Supplier"/>
    <s v="Delhi"/>
  </r>
  <r>
    <x v="0"/>
    <x v="3"/>
    <s v="Organic Oils"/>
    <s v="Sunflower Oil"/>
    <n v="268"/>
    <n v="394"/>
    <n v="196"/>
    <n v="105.59"/>
    <n v="52.53"/>
    <n v="53.06"/>
    <n v="10.52"/>
    <n v="169"/>
    <s v="Medium"/>
    <s v="Low Stock"/>
    <s v="Restock"/>
    <s v="Karnataka"/>
  </r>
  <r>
    <x v="1"/>
    <x v="2"/>
    <s v="Organic Spices"/>
    <s v="Black Pepper"/>
    <n v="79"/>
    <n v="219"/>
    <n v="198"/>
    <n v="17.3"/>
    <n v="15.64"/>
    <n v="1.66"/>
    <n v="23.49"/>
    <n v="223"/>
    <s v="Medium"/>
    <s v="Low Stock"/>
    <s v="Restock"/>
    <s v="Maharashtra"/>
  </r>
  <r>
    <x v="2"/>
    <x v="9"/>
    <s v="Organic Spices"/>
    <s v="Red Chilli Powder"/>
    <n v="405"/>
    <n v="334"/>
    <n v="212"/>
    <n v="135.27000000000001"/>
    <n v="85.86"/>
    <n v="49.41"/>
    <n v="18.239999999999998"/>
    <n v="98"/>
    <s v="Medium"/>
    <s v="Supply Delay"/>
    <s v="Find Alternate Supplier"/>
    <s v="Delhi"/>
  </r>
  <r>
    <x v="1"/>
    <x v="5"/>
    <s v="Organic Grocery"/>
    <s v="Rice"/>
    <n v="167"/>
    <n v="91"/>
    <n v="38"/>
    <n v="15.2"/>
    <n v="6.35"/>
    <n v="8.85"/>
    <n v="16.16"/>
    <n v="29"/>
    <s v="Medium"/>
    <s v="Low Stock"/>
    <s v="Restock"/>
    <s v="Maharashtra"/>
  </r>
  <r>
    <x v="0"/>
    <x v="8"/>
    <s v="Organic Dairy"/>
    <s v="Ghee"/>
    <n v="258"/>
    <n v="185"/>
    <n v="53"/>
    <n v="47.73"/>
    <n v="13.67"/>
    <n v="34.06"/>
    <n v="18.59"/>
    <n v="37"/>
    <s v="High"/>
    <s v="None"/>
    <s v="Maintain"/>
    <s v="Karnataka"/>
  </r>
  <r>
    <x v="1"/>
    <x v="10"/>
    <s v="Organic Grocery"/>
    <s v="Rice"/>
    <n v="127"/>
    <n v="214"/>
    <n v="186"/>
    <n v="27.18"/>
    <n v="23.62"/>
    <n v="3.56"/>
    <n v="8.14"/>
    <n v="247"/>
    <s v="Low"/>
    <s v="Supply Delay"/>
    <s v="Find Alternate Supplier"/>
    <s v="Gujarat"/>
  </r>
  <r>
    <x v="1"/>
    <x v="0"/>
    <s v="Organic Dairy"/>
    <s v="Milk"/>
    <n v="475"/>
    <n v="242"/>
    <n v="177"/>
    <n v="114.95"/>
    <n v="84.08"/>
    <n v="30.88"/>
    <n v="5.39"/>
    <n v="160"/>
    <s v="High"/>
    <s v="Low Stock"/>
    <s v="Restock"/>
    <s v="Rajasthan"/>
  </r>
  <r>
    <x v="0"/>
    <x v="2"/>
    <s v="Organic Oils"/>
    <s v="Groundnut Oil"/>
    <n v="433"/>
    <n v="309"/>
    <n v="184"/>
    <n v="133.80000000000001"/>
    <n v="79.67"/>
    <n v="54.12"/>
    <n v="15.35"/>
    <n v="147"/>
    <s v="Low"/>
    <s v="High Demand"/>
    <s v="Increase Stock"/>
    <s v="Rajasthan"/>
  </r>
  <r>
    <x v="0"/>
    <x v="0"/>
    <s v="Organic Spices"/>
    <s v="Black Pepper"/>
    <n v="360"/>
    <n v="476"/>
    <n v="46"/>
    <n v="171.36"/>
    <n v="16.559999999999999"/>
    <n v="154.80000000000001"/>
    <n v="13.77"/>
    <n v="148"/>
    <s v="High"/>
    <s v="Low Stock"/>
    <s v="Restock"/>
    <s v="Delhi"/>
  </r>
  <r>
    <x v="2"/>
    <x v="3"/>
    <s v="Organic Oils"/>
    <s v="Coconut Oil"/>
    <n v="165"/>
    <n v="224"/>
    <n v="141"/>
    <n v="36.96"/>
    <n v="23.27"/>
    <n v="13.7"/>
    <n v="-7.66"/>
    <n v="194"/>
    <s v="Medium"/>
    <s v="None"/>
    <s v="Maintain"/>
    <s v="Gujarat"/>
  </r>
  <r>
    <x v="0"/>
    <x v="7"/>
    <s v="Organic Grocery"/>
    <s v="Dals"/>
    <n v="481"/>
    <n v="342"/>
    <n v="190"/>
    <n v="164.5"/>
    <n v="91.39"/>
    <n v="73.11"/>
    <n v="1.89"/>
    <n v="127"/>
    <s v="Low"/>
    <s v="Low Stock"/>
    <s v="Restock"/>
    <s v="Rajasthan"/>
  </r>
  <r>
    <x v="2"/>
    <x v="7"/>
    <s v="Organic Superfoods"/>
    <s v="Amla Powder"/>
    <n v="496"/>
    <n v="351"/>
    <n v="278"/>
    <n v="174.1"/>
    <n v="137.88999999999999"/>
    <n v="36.21"/>
    <n v="-2.96"/>
    <n v="167"/>
    <s v="Low"/>
    <s v="None"/>
    <s v="Maintain"/>
    <s v="Maharashtra"/>
  </r>
  <r>
    <x v="0"/>
    <x v="1"/>
    <s v="Organic Oils"/>
    <s v="Groundnut Oil"/>
    <n v="78"/>
    <n v="156"/>
    <n v="134"/>
    <n v="12.17"/>
    <n v="10.45"/>
    <n v="1.72"/>
    <n v="-5.49"/>
    <n v="121"/>
    <s v="High"/>
    <s v="None"/>
    <s v="Maintain"/>
    <s v="Maharashtra"/>
  </r>
  <r>
    <x v="2"/>
    <x v="9"/>
    <s v="Organic Spices"/>
    <s v="Black Pepper"/>
    <n v="423"/>
    <n v="66"/>
    <n v="51"/>
    <n v="27.92"/>
    <n v="21.57"/>
    <n v="6.34"/>
    <n v="0.27"/>
    <n v="72"/>
    <s v="Medium"/>
    <s v="Supply Delay"/>
    <s v="Find Alternate Supplier"/>
    <s v="Maharashtra"/>
  </r>
  <r>
    <x v="1"/>
    <x v="4"/>
    <s v="Organic Superfoods"/>
    <s v="Ashwagandha"/>
    <n v="122"/>
    <n v="324"/>
    <n v="222"/>
    <n v="39.53"/>
    <n v="27.08"/>
    <n v="12.44"/>
    <n v="-5.09"/>
    <n v="115"/>
    <s v="High"/>
    <s v="Supply Delay"/>
    <s v="Find Alternate Supplier"/>
    <s v="Karnataka"/>
  </r>
  <r>
    <x v="1"/>
    <x v="9"/>
    <s v="Organic Oils"/>
    <s v="Groundnut Oil"/>
    <n v="354"/>
    <n v="348"/>
    <n v="125"/>
    <n v="123.19"/>
    <n v="44.25"/>
    <n v="78.94"/>
    <n v="6.22"/>
    <n v="183"/>
    <s v="High"/>
    <s v="High Demand"/>
    <s v="Increase Stock"/>
    <s v="Tamil Nadu"/>
  </r>
  <r>
    <x v="0"/>
    <x v="6"/>
    <s v="Organic Spices"/>
    <s v="Turmeric Powder"/>
    <n v="458"/>
    <n v="394"/>
    <n v="342"/>
    <n v="180.45"/>
    <n v="156.63999999999999"/>
    <n v="23.82"/>
    <n v="-4.62"/>
    <n v="40"/>
    <s v="Low"/>
    <s v="High Demand"/>
    <s v="Increase Stock"/>
    <s v="Maharashtra"/>
  </r>
  <r>
    <x v="0"/>
    <x v="2"/>
    <s v="Organic Oils"/>
    <s v="Groundnut Oil"/>
    <n v="165"/>
    <n v="70"/>
    <n v="38"/>
    <n v="11.55"/>
    <n v="6.27"/>
    <n v="5.28"/>
    <n v="9.56"/>
    <n v="269"/>
    <s v="High"/>
    <s v="Low Stock"/>
    <s v="Restock"/>
    <s v="Gujarat"/>
  </r>
  <r>
    <x v="2"/>
    <x v="0"/>
    <s v="Organic Grocery"/>
    <s v="Rice"/>
    <n v="274"/>
    <n v="133"/>
    <n v="69"/>
    <n v="36.44"/>
    <n v="18.91"/>
    <n v="17.54"/>
    <n v="22.72"/>
    <n v="82"/>
    <s v="Medium"/>
    <s v="Supply Delay"/>
    <s v="Find Alternate Supplier"/>
    <s v="Delhi"/>
  </r>
  <r>
    <x v="0"/>
    <x v="10"/>
    <s v="Organic Oils"/>
    <s v="Groundnut Oil"/>
    <n v="455"/>
    <n v="126"/>
    <n v="78"/>
    <n v="57.33"/>
    <n v="35.49"/>
    <n v="21.84"/>
    <n v="-6.11"/>
    <n v="132"/>
    <s v="High"/>
    <s v="Low Stock"/>
    <s v="Restock"/>
    <s v="Tamil Nadu"/>
  </r>
  <r>
    <x v="1"/>
    <x v="9"/>
    <s v="Organic Spices"/>
    <s v="Turmeric Powder"/>
    <n v="446"/>
    <n v="174"/>
    <n v="128"/>
    <n v="77.599999999999994"/>
    <n v="57.09"/>
    <n v="20.52"/>
    <n v="16.93"/>
    <n v="52"/>
    <s v="Low"/>
    <s v="None"/>
    <s v="Maintain"/>
    <s v="Karnataka"/>
  </r>
  <r>
    <x v="2"/>
    <x v="7"/>
    <s v="Organic Dairy"/>
    <s v="Milk"/>
    <n v="258"/>
    <n v="339"/>
    <n v="58"/>
    <n v="87.46"/>
    <n v="14.96"/>
    <n v="72.5"/>
    <n v="19.71"/>
    <n v="216"/>
    <s v="High"/>
    <s v="Low Stock"/>
    <s v="Restock"/>
    <s v="Gujarat"/>
  </r>
  <r>
    <x v="2"/>
    <x v="11"/>
    <s v="Organic Grocery"/>
    <s v="Pulses"/>
    <n v="321"/>
    <n v="246"/>
    <n v="137"/>
    <n v="78.97"/>
    <n v="43.98"/>
    <n v="34.99"/>
    <n v="-1.01"/>
    <n v="298"/>
    <s v="Low"/>
    <s v="Supply Delay"/>
    <s v="Find Alternate Supplier"/>
    <s v="Gujarat"/>
  </r>
  <r>
    <x v="0"/>
    <x v="7"/>
    <s v="Organic Spices"/>
    <s v="Red Chilli Powder"/>
    <n v="450"/>
    <n v="448"/>
    <n v="331"/>
    <n v="201.6"/>
    <n v="148.94999999999999"/>
    <n v="52.65"/>
    <n v="9.75"/>
    <n v="244"/>
    <s v="Low"/>
    <s v="High Demand"/>
    <s v="Increase Stock"/>
    <s v="Gujarat"/>
  </r>
  <r>
    <x v="0"/>
    <x v="2"/>
    <s v="Organic Spices"/>
    <s v="Black Pepper"/>
    <n v="254"/>
    <n v="61"/>
    <n v="45"/>
    <n v="15.49"/>
    <n v="11.43"/>
    <n v="4.0599999999999996"/>
    <n v="-8.0399999999999991"/>
    <n v="246"/>
    <s v="Low"/>
    <s v="Low Stock"/>
    <s v="Restock"/>
    <s v="Maharashtra"/>
  </r>
  <r>
    <x v="2"/>
    <x v="10"/>
    <s v="Organic Superfoods"/>
    <s v="Ashwagandha"/>
    <n v="258"/>
    <n v="220"/>
    <n v="189"/>
    <n v="56.76"/>
    <n v="48.76"/>
    <n v="8"/>
    <n v="22.57"/>
    <n v="248"/>
    <s v="Medium"/>
    <s v="None"/>
    <s v="Maintain"/>
    <s v="Tamil Nadu"/>
  </r>
  <r>
    <x v="2"/>
    <x v="11"/>
    <s v="Organic Grocery"/>
    <s v="Rice"/>
    <n v="172"/>
    <n v="61"/>
    <n v="30"/>
    <n v="10.49"/>
    <n v="5.16"/>
    <n v="5.33"/>
    <n v="2.94"/>
    <n v="211"/>
    <s v="Medium"/>
    <s v="High Demand"/>
    <s v="Increase Stock"/>
    <s v="Maharashtra"/>
  </r>
  <r>
    <x v="0"/>
    <x v="0"/>
    <s v="Organic Oils"/>
    <s v="Coconut Oil"/>
    <n v="70"/>
    <n v="92"/>
    <n v="74"/>
    <n v="6.44"/>
    <n v="5.18"/>
    <n v="1.26"/>
    <n v="0.75"/>
    <n v="279"/>
    <s v="Low"/>
    <s v="Supply Delay"/>
    <s v="Find Alternate Supplier"/>
    <s v="Tamil Nadu"/>
  </r>
  <r>
    <x v="0"/>
    <x v="8"/>
    <s v="Organic Grocery"/>
    <s v="Pulses"/>
    <n v="341"/>
    <n v="352"/>
    <n v="96"/>
    <n v="120.03"/>
    <n v="32.74"/>
    <n v="87.3"/>
    <n v="-6.39"/>
    <n v="65"/>
    <s v="Medium"/>
    <s v="High Demand"/>
    <s v="Increase Stock"/>
    <s v="Delhi"/>
  </r>
  <r>
    <x v="0"/>
    <x v="5"/>
    <s v="Organic Grocery"/>
    <s v="Rice"/>
    <n v="479"/>
    <n v="404"/>
    <n v="69"/>
    <n v="193.52"/>
    <n v="33.049999999999997"/>
    <n v="160.46"/>
    <n v="8.1300000000000008"/>
    <n v="265"/>
    <s v="High"/>
    <s v="None"/>
    <s v="Maintain"/>
    <s v="Rajasthan"/>
  </r>
  <r>
    <x v="1"/>
    <x v="11"/>
    <s v="Organic Grocery"/>
    <s v="Pulses"/>
    <n v="154"/>
    <n v="220"/>
    <n v="193"/>
    <n v="33.880000000000003"/>
    <n v="29.72"/>
    <n v="4.16"/>
    <n v="-6.31"/>
    <n v="172"/>
    <s v="Medium"/>
    <s v="Low Stock"/>
    <s v="Restock"/>
    <s v="Delhi"/>
  </r>
  <r>
    <x v="0"/>
    <x v="9"/>
    <s v="Organic Spices"/>
    <s v="Black Pepper"/>
    <n v="264"/>
    <n v="480"/>
    <n v="48"/>
    <n v="126.72"/>
    <n v="12.67"/>
    <n v="114.05"/>
    <n v="5.26"/>
    <n v="229"/>
    <s v="Low"/>
    <s v="None"/>
    <s v="Maintain"/>
    <s v="Maharashtra"/>
  </r>
  <r>
    <x v="2"/>
    <x v="9"/>
    <s v="Organic Dairy"/>
    <s v="Curd"/>
    <n v="270"/>
    <n v="182"/>
    <n v="151"/>
    <n v="49.14"/>
    <n v="40.770000000000003"/>
    <n v="8.3699999999999992"/>
    <n v="-0.5"/>
    <n v="195"/>
    <s v="Medium"/>
    <s v="None"/>
    <s v="Maintain"/>
    <s v="Rajasthan"/>
  </r>
  <r>
    <x v="0"/>
    <x v="3"/>
    <s v="Organic Grocery"/>
    <s v="Wheat Flour"/>
    <n v="344"/>
    <n v="279"/>
    <n v="78"/>
    <n v="95.98"/>
    <n v="26.83"/>
    <n v="69.14"/>
    <n v="7.69"/>
    <n v="76"/>
    <s v="High"/>
    <s v="Low Stock"/>
    <s v="Restock"/>
    <s v="Rajasthan"/>
  </r>
  <r>
    <x v="1"/>
    <x v="0"/>
    <s v="Organic Spices"/>
    <s v="Black Pepper"/>
    <n v="320"/>
    <n v="211"/>
    <n v="45"/>
    <n v="67.52"/>
    <n v="14.4"/>
    <n v="53.12"/>
    <n v="7.56"/>
    <n v="46"/>
    <s v="Medium"/>
    <s v="High Demand"/>
    <s v="Increase Stock"/>
    <s v="Karnataka"/>
  </r>
  <r>
    <x v="2"/>
    <x v="0"/>
    <s v="Organic Superfoods"/>
    <s v="Ashwagandha"/>
    <n v="81"/>
    <n v="277"/>
    <n v="165"/>
    <n v="22.44"/>
    <n v="13.37"/>
    <n v="9.07"/>
    <n v="-5.22"/>
    <n v="112"/>
    <s v="High"/>
    <s v="Supply Delay"/>
    <s v="Find Alternate Supplier"/>
    <s v="Tamil Nadu"/>
  </r>
  <r>
    <x v="0"/>
    <x v="6"/>
    <s v="Organic Oils"/>
    <s v="Coconut Oil"/>
    <n v="177"/>
    <n v="369"/>
    <n v="281"/>
    <n v="65.31"/>
    <n v="49.74"/>
    <n v="15.58"/>
    <n v="5.48"/>
    <n v="87"/>
    <s v="High"/>
    <s v="None"/>
    <s v="Maintain"/>
    <s v="Maharashtra"/>
  </r>
  <r>
    <x v="2"/>
    <x v="1"/>
    <s v="Organic Superfoods"/>
    <s v="Chia Seeds"/>
    <n v="312"/>
    <n v="223"/>
    <n v="30"/>
    <n v="69.58"/>
    <n v="9.36"/>
    <n v="60.22"/>
    <n v="8.5299999999999994"/>
    <n v="189"/>
    <s v="Low"/>
    <s v="Supply Delay"/>
    <s v="Find Alternate Supplier"/>
    <s v="Maharashtra"/>
  </r>
  <r>
    <x v="2"/>
    <x v="10"/>
    <s v="Organic Superfoods"/>
    <s v="Chia Seeds"/>
    <n v="92"/>
    <n v="124"/>
    <n v="99"/>
    <n v="11.41"/>
    <n v="9.11"/>
    <n v="2.2999999999999998"/>
    <n v="4.18"/>
    <n v="284"/>
    <s v="High"/>
    <s v="High Demand"/>
    <s v="Increase Stock"/>
    <s v="Gujarat"/>
  </r>
  <r>
    <x v="2"/>
    <x v="1"/>
    <s v="Organic Grocery"/>
    <s v="Rice"/>
    <n v="442"/>
    <n v="66"/>
    <n v="30"/>
    <n v="29.17"/>
    <n v="13.26"/>
    <n v="15.91"/>
    <n v="20.84"/>
    <n v="184"/>
    <s v="High"/>
    <s v="Low Stock"/>
    <s v="Restock"/>
    <s v="Karnataka"/>
  </r>
  <r>
    <x v="0"/>
    <x v="8"/>
    <s v="Organic Oils"/>
    <s v="Sunflower Oil"/>
    <n v="169"/>
    <n v="419"/>
    <n v="319"/>
    <n v="70.81"/>
    <n v="53.91"/>
    <n v="16.899999999999999"/>
    <n v="8.77"/>
    <n v="185"/>
    <s v="High"/>
    <s v="Low Stock"/>
    <s v="Restock"/>
    <s v="Maharashtra"/>
  </r>
  <r>
    <x v="1"/>
    <x v="1"/>
    <s v="Organic Grocery"/>
    <s v="Pulses"/>
    <n v="334"/>
    <n v="486"/>
    <n v="290"/>
    <n v="162.32"/>
    <n v="96.86"/>
    <n v="65.459999999999994"/>
    <n v="24.12"/>
    <n v="100"/>
    <s v="Low"/>
    <s v="Supply Delay"/>
    <s v="Find Alternate Supplier"/>
    <s v="Gujarat"/>
  </r>
  <r>
    <x v="1"/>
    <x v="8"/>
    <s v="Organic Dairy"/>
    <s v="Curd"/>
    <n v="242"/>
    <n v="315"/>
    <n v="149"/>
    <n v="76.23"/>
    <n v="36.06"/>
    <n v="40.17"/>
    <n v="-0.37"/>
    <n v="245"/>
    <s v="High"/>
    <s v="None"/>
    <s v="Maintain"/>
    <s v="Maharashtra"/>
  </r>
  <r>
    <x v="1"/>
    <x v="2"/>
    <s v="Organic Dairy"/>
    <s v="Curd"/>
    <n v="496"/>
    <n v="101"/>
    <n v="53"/>
    <n v="50.1"/>
    <n v="26.29"/>
    <n v="23.81"/>
    <n v="17.54"/>
    <n v="47"/>
    <s v="Low"/>
    <s v="Supply Delay"/>
    <s v="Find Alternate Supplier"/>
    <s v="Maharashtra"/>
  </r>
  <r>
    <x v="0"/>
    <x v="11"/>
    <s v="Organic Grocery"/>
    <s v="Pulses"/>
    <n v="288"/>
    <n v="385"/>
    <n v="328"/>
    <n v="110.88"/>
    <n v="94.46"/>
    <n v="16.420000000000002"/>
    <n v="22.01"/>
    <n v="122"/>
    <s v="Low"/>
    <s v="None"/>
    <s v="Maintain"/>
    <s v="Maharashtra"/>
  </r>
  <r>
    <x v="2"/>
    <x v="9"/>
    <s v="Organic Spices"/>
    <s v="Black Pepper"/>
    <n v="404"/>
    <n v="350"/>
    <n v="218"/>
    <n v="141.4"/>
    <n v="88.07"/>
    <n v="53.33"/>
    <n v="14.23"/>
    <n v="166"/>
    <s v="Low"/>
    <s v="Low Stock"/>
    <s v="Restock"/>
    <s v="Delhi"/>
  </r>
  <r>
    <x v="0"/>
    <x v="9"/>
    <s v="Organic Oils"/>
    <s v="Sunflower Oil"/>
    <n v="414"/>
    <n v="183"/>
    <n v="148"/>
    <n v="75.760000000000005"/>
    <n v="61.27"/>
    <n v="14.49"/>
    <n v="0.46"/>
    <n v="299"/>
    <s v="High"/>
    <s v="High Demand"/>
    <s v="Increase Stock"/>
    <s v="Karnataka"/>
  </r>
  <r>
    <x v="1"/>
    <x v="1"/>
    <s v="Organic Oils"/>
    <s v="Coconut Oil"/>
    <n v="319"/>
    <n v="341"/>
    <n v="36"/>
    <n v="108.78"/>
    <n v="11.48"/>
    <n v="97.3"/>
    <n v="12.28"/>
    <n v="37"/>
    <s v="Low"/>
    <s v="High Demand"/>
    <s v="Increase Stock"/>
    <s v="Maharashtra"/>
  </r>
  <r>
    <x v="2"/>
    <x v="11"/>
    <s v="Organic Spices"/>
    <s v="Turmeric Powder"/>
    <n v="352"/>
    <n v="387"/>
    <n v="216"/>
    <n v="136.22"/>
    <n v="76.03"/>
    <n v="60.19"/>
    <n v="6.55"/>
    <n v="126"/>
    <s v="Low"/>
    <s v="Supply Delay"/>
    <s v="Find Alternate Supplier"/>
    <s v="Maharashtra"/>
  </r>
  <r>
    <x v="0"/>
    <x v="1"/>
    <s v="Organic Dairy"/>
    <s v="Ghee"/>
    <n v="140"/>
    <n v="97"/>
    <n v="42"/>
    <n v="13.58"/>
    <n v="5.88"/>
    <n v="7.7"/>
    <n v="17.920000000000002"/>
    <n v="263"/>
    <s v="Low"/>
    <s v="Low Stock"/>
    <s v="Restock"/>
    <s v="Maharashtra"/>
  </r>
  <r>
    <x v="2"/>
    <x v="10"/>
    <s v="Organic Dairy"/>
    <s v="Curd"/>
    <n v="200"/>
    <n v="416"/>
    <n v="193"/>
    <n v="83.2"/>
    <n v="38.6"/>
    <n v="44.6"/>
    <n v="4.22"/>
    <n v="147"/>
    <s v="High"/>
    <s v="None"/>
    <s v="Maintain"/>
    <s v="Tamil Nadu"/>
  </r>
  <r>
    <x v="2"/>
    <x v="3"/>
    <s v="Organic Grocery"/>
    <s v="Wheat Flour"/>
    <n v="158"/>
    <n v="84"/>
    <n v="39"/>
    <n v="13.27"/>
    <n v="6.16"/>
    <n v="7.11"/>
    <n v="-7.31"/>
    <n v="264"/>
    <s v="Medium"/>
    <s v="Low Stock"/>
    <s v="Restock"/>
    <s v="Delhi"/>
  </r>
  <r>
    <x v="2"/>
    <x v="0"/>
    <s v="Organic Superfoods"/>
    <s v="Chia Seeds"/>
    <n v="463"/>
    <n v="291"/>
    <n v="74"/>
    <n v="134.72999999999999"/>
    <n v="34.26"/>
    <n v="100.47"/>
    <n v="19.350000000000001"/>
    <n v="219"/>
    <s v="Medium"/>
    <s v="High Demand"/>
    <s v="Increase Stock"/>
    <s v="Karnataka"/>
  </r>
  <r>
    <x v="1"/>
    <x v="11"/>
    <s v="Organic Superfoods"/>
    <s v="Amla Powder"/>
    <n v="355"/>
    <n v="337"/>
    <n v="196"/>
    <n v="119.64"/>
    <n v="69.58"/>
    <n v="50.06"/>
    <n v="19.940000000000001"/>
    <n v="234"/>
    <s v="Low"/>
    <s v="Supply Delay"/>
    <s v="Find Alternate Supplier"/>
    <s v="Maharashtra"/>
  </r>
  <r>
    <x v="1"/>
    <x v="9"/>
    <s v="Organic Oils"/>
    <s v="Sunflower Oil"/>
    <n v="67"/>
    <n v="419"/>
    <n v="47"/>
    <n v="28.07"/>
    <n v="3.15"/>
    <n v="24.92"/>
    <n v="7.65"/>
    <n v="285"/>
    <s v="Medium"/>
    <s v="Supply Delay"/>
    <s v="Find Alternate Supplier"/>
    <s v="Karnataka"/>
  </r>
  <r>
    <x v="0"/>
    <x v="4"/>
    <s v="Organic Superfoods"/>
    <s v="Amla Powder"/>
    <n v="56"/>
    <n v="291"/>
    <n v="87"/>
    <n v="16.3"/>
    <n v="4.87"/>
    <n v="11.42"/>
    <n v="10.42"/>
    <n v="164"/>
    <s v="Medium"/>
    <s v="Supply Delay"/>
    <s v="Find Alternate Supplier"/>
    <s v="Maharashtra"/>
  </r>
  <r>
    <x v="0"/>
    <x v="10"/>
    <s v="Organic Oils"/>
    <s v="Groundnut Oil"/>
    <n v="213"/>
    <n v="250"/>
    <n v="133"/>
    <n v="53.25"/>
    <n v="28.33"/>
    <n v="24.92"/>
    <n v="19.48"/>
    <n v="152"/>
    <s v="Low"/>
    <s v="None"/>
    <s v="Maintain"/>
    <s v="Maharashtra"/>
  </r>
  <r>
    <x v="1"/>
    <x v="11"/>
    <s v="Organic Dairy"/>
    <s v="Paneer"/>
    <n v="354"/>
    <n v="313"/>
    <n v="287"/>
    <n v="110.8"/>
    <n v="101.6"/>
    <n v="9.1999999999999993"/>
    <n v="8.2899999999999991"/>
    <n v="234"/>
    <s v="High"/>
    <s v="High Demand"/>
    <s v="Increase Stock"/>
    <s v="Delhi"/>
  </r>
  <r>
    <x v="2"/>
    <x v="0"/>
    <s v="Organic Oils"/>
    <s v="Groundnut Oil"/>
    <n v="250"/>
    <n v="128"/>
    <n v="50"/>
    <n v="32"/>
    <n v="12.5"/>
    <n v="19.5"/>
    <n v="13.6"/>
    <n v="230"/>
    <s v="Low"/>
    <s v="None"/>
    <s v="Maintain"/>
    <s v="Rajasthan"/>
  </r>
  <r>
    <x v="0"/>
    <x v="9"/>
    <s v="Organic Grocery"/>
    <s v="Wheat Flour"/>
    <n v="172"/>
    <n v="459"/>
    <n v="219"/>
    <n v="78.95"/>
    <n v="37.67"/>
    <n v="41.28"/>
    <n v="0.17"/>
    <n v="43"/>
    <s v="Low"/>
    <s v="None"/>
    <s v="Maintain"/>
    <s v="Rajasthan"/>
  </r>
  <r>
    <x v="2"/>
    <x v="0"/>
    <s v="Organic Dairy"/>
    <s v="Ghee"/>
    <n v="260"/>
    <n v="59"/>
    <n v="44"/>
    <n v="15.34"/>
    <n v="11.44"/>
    <n v="3.9"/>
    <n v="14.89"/>
    <n v="49"/>
    <s v="Low"/>
    <s v="High Demand"/>
    <s v="Increase Stock"/>
    <s v="Karnataka"/>
  </r>
  <r>
    <x v="2"/>
    <x v="9"/>
    <s v="Organic Superfoods"/>
    <s v="Ashwagandha"/>
    <n v="85"/>
    <n v="57"/>
    <n v="31"/>
    <n v="4.84"/>
    <n v="2.63"/>
    <n v="2.21"/>
    <n v="6.07"/>
    <n v="223"/>
    <s v="Medium"/>
    <s v="Low Stock"/>
    <s v="Restock"/>
    <s v="Maharashtra"/>
  </r>
  <r>
    <x v="1"/>
    <x v="7"/>
    <s v="Organic Oils"/>
    <s v="Groundnut Oil"/>
    <n v="392"/>
    <n v="186"/>
    <n v="134"/>
    <n v="72.91"/>
    <n v="52.53"/>
    <n v="20.38"/>
    <n v="-2.82"/>
    <n v="22"/>
    <s v="High"/>
    <s v="None"/>
    <s v="Maintain"/>
    <s v="Gujarat"/>
  </r>
  <r>
    <x v="0"/>
    <x v="9"/>
    <s v="Organic Grocery"/>
    <s v="Wheat Flour"/>
    <n v="192"/>
    <n v="463"/>
    <n v="276"/>
    <n v="88.9"/>
    <n v="52.99"/>
    <n v="35.9"/>
    <n v="0.66"/>
    <n v="198"/>
    <s v="Medium"/>
    <s v="Supply Delay"/>
    <s v="Find Alternate Supplier"/>
    <s v="Gujarat"/>
  </r>
  <r>
    <x v="0"/>
    <x v="2"/>
    <s v="Organic Grocery"/>
    <s v="Dals"/>
    <n v="366"/>
    <n v="456"/>
    <n v="75"/>
    <n v="166.9"/>
    <n v="27.45"/>
    <n v="139.44999999999999"/>
    <n v="3.65"/>
    <n v="245"/>
    <s v="Low"/>
    <s v="High Demand"/>
    <s v="Increase Stock"/>
    <s v="Tamil Nadu"/>
  </r>
  <r>
    <x v="1"/>
    <x v="4"/>
    <s v="Organic Dairy"/>
    <s v="Ghee"/>
    <n v="126"/>
    <n v="287"/>
    <n v="120"/>
    <n v="36.159999999999997"/>
    <n v="15.12"/>
    <n v="21.04"/>
    <n v="-4.49"/>
    <n v="85"/>
    <s v="Medium"/>
    <s v="None"/>
    <s v="Maintain"/>
    <s v="Karnataka"/>
  </r>
  <r>
    <x v="2"/>
    <x v="2"/>
    <s v="Organic Oils"/>
    <s v="Coconut Oil"/>
    <n v="482"/>
    <n v="283"/>
    <n v="166"/>
    <n v="136.41"/>
    <n v="80.010000000000005"/>
    <n v="56.39"/>
    <n v="7.19"/>
    <n v="186"/>
    <s v="Medium"/>
    <s v="Supply Delay"/>
    <s v="Find Alternate Supplier"/>
    <s v="Rajasthan"/>
  </r>
  <r>
    <x v="0"/>
    <x v="6"/>
    <s v="Organic Grocery"/>
    <s v="Rice"/>
    <n v="355"/>
    <n v="350"/>
    <n v="57"/>
    <n v="124.25"/>
    <n v="20.23"/>
    <n v="104.02"/>
    <n v="-1.77"/>
    <n v="268"/>
    <s v="Medium"/>
    <s v="High Demand"/>
    <s v="Increase Stock"/>
    <s v="Rajasthan"/>
  </r>
  <r>
    <x v="1"/>
    <x v="5"/>
    <s v="Organic Grocery"/>
    <s v="Dals"/>
    <n v="129"/>
    <n v="304"/>
    <n v="238"/>
    <n v="39.22"/>
    <n v="30.7"/>
    <n v="8.51"/>
    <n v="-7.86"/>
    <n v="30"/>
    <s v="High"/>
    <s v="Supply Delay"/>
    <s v="Find Alternate Supplier"/>
    <s v="Delhi"/>
  </r>
  <r>
    <x v="0"/>
    <x v="3"/>
    <s v="Organic Superfoods"/>
    <s v="Chia Seeds"/>
    <n v="277"/>
    <n v="140"/>
    <n v="112"/>
    <n v="38.78"/>
    <n v="31.02"/>
    <n v="7.76"/>
    <n v="0.95"/>
    <n v="88"/>
    <s v="Medium"/>
    <s v="Low Stock"/>
    <s v="Restock"/>
    <s v="Rajasthan"/>
  </r>
  <r>
    <x v="2"/>
    <x v="0"/>
    <s v="Organic Dairy"/>
    <s v="Curd"/>
    <n v="448"/>
    <n v="499"/>
    <n v="319"/>
    <n v="223.55"/>
    <n v="142.91"/>
    <n v="80.64"/>
    <n v="13.57"/>
    <n v="169"/>
    <s v="High"/>
    <s v="Supply Delay"/>
    <s v="Find Alternate Supplier"/>
    <s v="Gujarat"/>
  </r>
  <r>
    <x v="0"/>
    <x v="3"/>
    <s v="Organic Oils"/>
    <s v="Coconut Oil"/>
    <n v="51"/>
    <n v="446"/>
    <n v="126"/>
    <n v="22.75"/>
    <n v="6.43"/>
    <n v="16.32"/>
    <n v="3.78"/>
    <n v="228"/>
    <s v="Low"/>
    <s v="Low Stock"/>
    <s v="Restock"/>
    <s v="Gujarat"/>
  </r>
  <r>
    <x v="0"/>
    <x v="8"/>
    <s v="Organic Superfoods"/>
    <s v="Chia Seeds"/>
    <n v="112"/>
    <n v="293"/>
    <n v="257"/>
    <n v="32.82"/>
    <n v="28.78"/>
    <n v="4.03"/>
    <n v="4.16"/>
    <n v="259"/>
    <s v="Medium"/>
    <s v="None"/>
    <s v="Maintain"/>
    <s v="Tamil Nadu"/>
  </r>
  <r>
    <x v="1"/>
    <x v="11"/>
    <s v="Organic Spices"/>
    <s v="Black Pepper"/>
    <n v="160"/>
    <n v="309"/>
    <n v="183"/>
    <n v="49.44"/>
    <n v="29.28"/>
    <n v="20.16"/>
    <n v="10.39"/>
    <n v="285"/>
    <s v="Low"/>
    <s v="High Demand"/>
    <s v="Increase Stock"/>
    <s v="Delhi"/>
  </r>
  <r>
    <x v="0"/>
    <x v="1"/>
    <s v="Organic Grocery"/>
    <s v="Rice"/>
    <n v="76"/>
    <n v="258"/>
    <n v="227"/>
    <n v="19.61"/>
    <n v="17.25"/>
    <n v="2.36"/>
    <n v="12.49"/>
    <n v="208"/>
    <s v="Medium"/>
    <s v="High Demand"/>
    <s v="Increase Stock"/>
    <s v="Tamil Nadu"/>
  </r>
  <r>
    <x v="0"/>
    <x v="4"/>
    <s v="Organic Superfoods"/>
    <s v="Ashwagandha"/>
    <n v="325"/>
    <n v="79"/>
    <n v="36"/>
    <n v="25.68"/>
    <n v="11.7"/>
    <n v="13.98"/>
    <n v="2.1800000000000002"/>
    <n v="127"/>
    <s v="Medium"/>
    <s v="Low Stock"/>
    <s v="Restock"/>
    <s v="Gujarat"/>
  </r>
  <r>
    <x v="0"/>
    <x v="1"/>
    <s v="Organic Oils"/>
    <s v="Groundnut Oil"/>
    <n v="97"/>
    <n v="93"/>
    <n v="52"/>
    <n v="9.02"/>
    <n v="5.04"/>
    <n v="3.98"/>
    <n v="8.18"/>
    <n v="101"/>
    <s v="High"/>
    <s v="High Demand"/>
    <s v="Increase Stock"/>
    <s v="Maharashtra"/>
  </r>
  <r>
    <x v="2"/>
    <x v="7"/>
    <s v="Organic Oils"/>
    <s v="Sunflower Oil"/>
    <n v="217"/>
    <n v="84"/>
    <n v="38"/>
    <n v="18.23"/>
    <n v="8.25"/>
    <n v="9.98"/>
    <n v="10.039999999999999"/>
    <n v="164"/>
    <s v="High"/>
    <s v="Low Stock"/>
    <s v="Restock"/>
    <s v="Rajasthan"/>
  </r>
  <r>
    <x v="2"/>
    <x v="11"/>
    <s v="Organic Dairy"/>
    <s v="Curd"/>
    <n v="124"/>
    <n v="281"/>
    <n v="185"/>
    <n v="34.840000000000003"/>
    <n v="22.94"/>
    <n v="11.9"/>
    <n v="20.13"/>
    <n v="220"/>
    <s v="High"/>
    <s v="None"/>
    <s v="Maintain"/>
    <s v="Maharashtra"/>
  </r>
  <r>
    <x v="1"/>
    <x v="5"/>
    <s v="Organic Dairy"/>
    <s v="Ghee"/>
    <n v="148"/>
    <n v="192"/>
    <n v="165"/>
    <n v="28.42"/>
    <n v="24.42"/>
    <n v="4"/>
    <n v="4.88"/>
    <n v="37"/>
    <s v="High"/>
    <s v="High Demand"/>
    <s v="Increase Stock"/>
    <s v="Tamil Nadu"/>
  </r>
  <r>
    <x v="1"/>
    <x v="10"/>
    <s v="Organic Superfoods"/>
    <s v="Ashwagandha"/>
    <n v="213"/>
    <n v="396"/>
    <n v="256"/>
    <n v="84.35"/>
    <n v="54.53"/>
    <n v="29.82"/>
    <n v="19.440000000000001"/>
    <n v="260"/>
    <s v="Medium"/>
    <s v="High Demand"/>
    <s v="Increase Stock"/>
    <s v="Gujarat"/>
  </r>
  <r>
    <x v="0"/>
    <x v="9"/>
    <s v="Organic Spices"/>
    <s v="Turmeric Powder"/>
    <n v="179"/>
    <n v="236"/>
    <n v="187"/>
    <n v="42.24"/>
    <n v="33.47"/>
    <n v="8.77"/>
    <n v="7.67"/>
    <n v="162"/>
    <s v="Low"/>
    <s v="None"/>
    <s v="Maintain"/>
    <s v="Delhi"/>
  </r>
  <r>
    <x v="2"/>
    <x v="0"/>
    <s v="Organic Grocery"/>
    <s v="Wheat Flour"/>
    <n v="353"/>
    <n v="461"/>
    <n v="401"/>
    <n v="162.72999999999999"/>
    <n v="141.55000000000001"/>
    <n v="21.18"/>
    <n v="1.3"/>
    <n v="167"/>
    <s v="High"/>
    <s v="None"/>
    <s v="Maintain"/>
    <s v="Tamil Nadu"/>
  </r>
  <r>
    <x v="2"/>
    <x v="1"/>
    <s v="Organic Oils"/>
    <s v="Groundnut Oil"/>
    <n v="255"/>
    <n v="284"/>
    <n v="168"/>
    <n v="72.42"/>
    <n v="42.84"/>
    <n v="29.58"/>
    <n v="11.94"/>
    <n v="133"/>
    <s v="Medium"/>
    <s v="None"/>
    <s v="Maintain"/>
    <s v="Rajasthan"/>
  </r>
  <r>
    <x v="1"/>
    <x v="9"/>
    <s v="Organic Grocery"/>
    <s v="Pulses"/>
    <n v="449"/>
    <n v="430"/>
    <n v="62"/>
    <n v="193.07"/>
    <n v="27.84"/>
    <n v="165.23"/>
    <n v="0.87"/>
    <n v="155"/>
    <s v="High"/>
    <s v="None"/>
    <s v="Maintain"/>
    <s v="Karnataka"/>
  </r>
  <r>
    <x v="2"/>
    <x v="4"/>
    <s v="Organic Spices"/>
    <s v="Red Chilli Powder"/>
    <n v="360"/>
    <n v="247"/>
    <n v="73"/>
    <n v="88.92"/>
    <n v="26.28"/>
    <n v="62.64"/>
    <n v="14.17"/>
    <n v="64"/>
    <s v="Medium"/>
    <s v="Low Stock"/>
    <s v="Restock"/>
    <s v="Karnataka"/>
  </r>
  <r>
    <x v="1"/>
    <x v="2"/>
    <s v="Organic Oils"/>
    <s v="Sunflower Oil"/>
    <n v="74"/>
    <n v="429"/>
    <n v="115"/>
    <n v="31.75"/>
    <n v="8.51"/>
    <n v="23.24"/>
    <n v="22.7"/>
    <n v="284"/>
    <s v="Low"/>
    <s v="Low Stock"/>
    <s v="Restock"/>
    <s v="Tamil Nadu"/>
  </r>
  <r>
    <x v="2"/>
    <x v="9"/>
    <s v="Organic Grocery"/>
    <s v="Pulses"/>
    <n v="199"/>
    <n v="174"/>
    <n v="41"/>
    <n v="34.630000000000003"/>
    <n v="8.16"/>
    <n v="26.47"/>
    <n v="22.87"/>
    <n v="24"/>
    <s v="Low"/>
    <s v="Low Stock"/>
    <s v="Restock"/>
    <s v="Karnataka"/>
  </r>
  <r>
    <x v="0"/>
    <x v="2"/>
    <s v="Organic Spices"/>
    <s v="Turmeric Powder"/>
    <n v="203"/>
    <n v="430"/>
    <n v="222"/>
    <n v="87.29"/>
    <n v="45.07"/>
    <n v="42.22"/>
    <n v="-0.04"/>
    <n v="135"/>
    <s v="High"/>
    <s v="High Demand"/>
    <s v="Increase Stock"/>
    <s v="Tamil Nadu"/>
  </r>
  <r>
    <x v="1"/>
    <x v="9"/>
    <s v="Organic Superfoods"/>
    <s v="Ashwagandha"/>
    <n v="461"/>
    <n v="422"/>
    <n v="117"/>
    <n v="194.54"/>
    <n v="53.94"/>
    <n v="140.61000000000001"/>
    <n v="-1"/>
    <n v="256"/>
    <s v="Medium"/>
    <s v="Low Stock"/>
    <s v="Restock"/>
    <s v="Maharashtra"/>
  </r>
  <r>
    <x v="0"/>
    <x v="8"/>
    <s v="Organic Superfoods"/>
    <s v="Chia Seeds"/>
    <n v="463"/>
    <n v="57"/>
    <n v="37"/>
    <n v="26.39"/>
    <n v="17.13"/>
    <n v="9.26"/>
    <n v="-2.4700000000000002"/>
    <n v="257"/>
    <s v="Medium"/>
    <s v="Supply Delay"/>
    <s v="Find Alternate Supplier"/>
    <s v="Delhi"/>
  </r>
  <r>
    <x v="2"/>
    <x v="4"/>
    <s v="Organic Spices"/>
    <s v="Turmeric Powder"/>
    <n v="216"/>
    <n v="469"/>
    <n v="93"/>
    <n v="101.3"/>
    <n v="20.09"/>
    <n v="81.22"/>
    <n v="-4.2"/>
    <n v="191"/>
    <s v="Medium"/>
    <s v="Low Stock"/>
    <s v="Restock"/>
    <s v="Maharashtra"/>
  </r>
  <r>
    <x v="2"/>
    <x v="0"/>
    <s v="Organic Spices"/>
    <s v="Red Chilli Powder"/>
    <n v="445"/>
    <n v="460"/>
    <n v="333"/>
    <n v="204.7"/>
    <n v="148.19"/>
    <n v="56.51"/>
    <n v="15.39"/>
    <n v="52"/>
    <s v="Low"/>
    <s v="None"/>
    <s v="Maintain"/>
    <s v="Gujarat"/>
  </r>
  <r>
    <x v="2"/>
    <x v="1"/>
    <s v="Organic Spices"/>
    <s v="Turmeric Powder"/>
    <n v="236"/>
    <n v="397"/>
    <n v="316"/>
    <n v="93.69"/>
    <n v="74.58"/>
    <n v="19.12"/>
    <n v="6.46"/>
    <n v="198"/>
    <s v="Low"/>
    <s v="None"/>
    <s v="Maintain"/>
    <s v="Rajasthan"/>
  </r>
  <r>
    <x v="0"/>
    <x v="3"/>
    <s v="Organic Oils"/>
    <s v="Sunflower Oil"/>
    <n v="128"/>
    <n v="410"/>
    <n v="276"/>
    <n v="52.48"/>
    <n v="35.33"/>
    <n v="17.149999999999999"/>
    <n v="-5.68"/>
    <n v="128"/>
    <s v="High"/>
    <s v="Supply Delay"/>
    <s v="Find Alternate Supplier"/>
    <s v="Maharashtra"/>
  </r>
  <r>
    <x v="0"/>
    <x v="4"/>
    <s v="Organic Dairy"/>
    <s v="Paneer"/>
    <n v="458"/>
    <n v="102"/>
    <n v="54"/>
    <n v="46.72"/>
    <n v="24.73"/>
    <n v="21.98"/>
    <n v="-2.67"/>
    <n v="92"/>
    <s v="High"/>
    <s v="None"/>
    <s v="Maintain"/>
    <s v="Delhi"/>
  </r>
  <r>
    <x v="1"/>
    <x v="5"/>
    <s v="Organic Spices"/>
    <s v="Black Pepper"/>
    <n v="353"/>
    <n v="423"/>
    <n v="350"/>
    <n v="149.32"/>
    <n v="123.55"/>
    <n v="25.77"/>
    <n v="3.1"/>
    <n v="110"/>
    <s v="Low"/>
    <s v="Low Stock"/>
    <s v="Restock"/>
    <s v="Rajasthan"/>
  </r>
  <r>
    <x v="2"/>
    <x v="0"/>
    <s v="Organic Dairy"/>
    <s v="Curd"/>
    <n v="291"/>
    <n v="250"/>
    <n v="193"/>
    <n v="72.75"/>
    <n v="56.16"/>
    <n v="16.59"/>
    <n v="4.29"/>
    <n v="51"/>
    <s v="Low"/>
    <s v="High Demand"/>
    <s v="Increase Stock"/>
    <s v="Tamil Nadu"/>
  </r>
  <r>
    <x v="1"/>
    <x v="0"/>
    <s v="Organic Oils"/>
    <s v="Coconut Oil"/>
    <n v="224"/>
    <n v="73"/>
    <n v="45"/>
    <n v="16.350000000000001"/>
    <n v="10.08"/>
    <n v="6.27"/>
    <n v="-0.51"/>
    <n v="171"/>
    <s v="Medium"/>
    <s v="Supply Delay"/>
    <s v="Find Alternate Supplier"/>
    <s v="Maharashtra"/>
  </r>
  <r>
    <x v="2"/>
    <x v="1"/>
    <s v="Organic Spices"/>
    <s v="Black Pepper"/>
    <n v="289"/>
    <n v="303"/>
    <n v="236"/>
    <n v="87.57"/>
    <n v="68.2"/>
    <n v="19.36"/>
    <n v="17.45"/>
    <n v="152"/>
    <s v="High"/>
    <s v="High Demand"/>
    <s v="Increase Stock"/>
    <s v="Tamil Nadu"/>
  </r>
  <r>
    <x v="1"/>
    <x v="10"/>
    <s v="Organic Grocery"/>
    <s v="Wheat Flour"/>
    <n v="366"/>
    <n v="168"/>
    <n v="92"/>
    <n v="61.49"/>
    <n v="33.67"/>
    <n v="27.82"/>
    <n v="7.14"/>
    <n v="205"/>
    <s v="Low"/>
    <s v="High Demand"/>
    <s v="Increase Stock"/>
    <s v="Karnataka"/>
  </r>
  <r>
    <x v="1"/>
    <x v="10"/>
    <s v="Organic Spices"/>
    <s v="Red Chilli Powder"/>
    <n v="442"/>
    <n v="204"/>
    <n v="122"/>
    <n v="90.17"/>
    <n v="53.92"/>
    <n v="36.24"/>
    <n v="19.68"/>
    <n v="37"/>
    <s v="Low"/>
    <s v="Low Stock"/>
    <s v="Restock"/>
    <s v="Karnataka"/>
  </r>
  <r>
    <x v="1"/>
    <x v="2"/>
    <s v="Organic Dairy"/>
    <s v="Curd"/>
    <n v="297"/>
    <n v="486"/>
    <n v="293"/>
    <n v="144.34"/>
    <n v="87.02"/>
    <n v="57.32"/>
    <n v="22.77"/>
    <n v="121"/>
    <s v="Low"/>
    <s v="High Demand"/>
    <s v="Increase Stock"/>
    <s v="Karnataka"/>
  </r>
  <r>
    <x v="0"/>
    <x v="0"/>
    <s v="Organic Oils"/>
    <s v="Coconut Oil"/>
    <n v="123"/>
    <n v="326"/>
    <n v="157"/>
    <n v="40.1"/>
    <n v="19.309999999999999"/>
    <n v="20.79"/>
    <n v="1.45"/>
    <n v="35"/>
    <s v="High"/>
    <s v="Low Stock"/>
    <s v="Restock"/>
    <s v="Delhi"/>
  </r>
  <r>
    <x v="1"/>
    <x v="8"/>
    <s v="Organic Spices"/>
    <s v="Red Chilli Powder"/>
    <n v="457"/>
    <n v="428"/>
    <n v="203"/>
    <n v="195.6"/>
    <n v="92.77"/>
    <n v="102.83"/>
    <n v="7.73"/>
    <n v="148"/>
    <s v="High"/>
    <s v="Low Stock"/>
    <s v="Restock"/>
    <s v="Gujarat"/>
  </r>
  <r>
    <x v="1"/>
    <x v="2"/>
    <s v="Organic Oils"/>
    <s v="Groundnut Oil"/>
    <n v="388"/>
    <n v="111"/>
    <n v="90"/>
    <n v="43.07"/>
    <n v="34.92"/>
    <n v="8.15"/>
    <n v="21.08"/>
    <n v="228"/>
    <s v="Medium"/>
    <s v="Supply Delay"/>
    <s v="Find Alternate Supplier"/>
    <s v="Tamil Nadu"/>
  </r>
  <r>
    <x v="1"/>
    <x v="7"/>
    <s v="Organic Oils"/>
    <s v="Coconut Oil"/>
    <n v="332"/>
    <n v="373"/>
    <n v="31"/>
    <n v="123.84"/>
    <n v="10.29"/>
    <n v="113.54"/>
    <n v="2.5499999999999998"/>
    <n v="31"/>
    <s v="Medium"/>
    <s v="High Demand"/>
    <s v="Increase Stock"/>
    <s v="Tamil Nadu"/>
  </r>
  <r>
    <x v="1"/>
    <x v="8"/>
    <s v="Organic Grocery"/>
    <s v="Wheat Flour"/>
    <n v="99"/>
    <n v="366"/>
    <n v="340"/>
    <n v="36.229999999999997"/>
    <n v="33.659999999999997"/>
    <n v="2.57"/>
    <n v="1.75"/>
    <n v="189"/>
    <s v="Low"/>
    <s v="None"/>
    <s v="Maintain"/>
    <s v="Maharashtra"/>
  </r>
  <r>
    <x v="1"/>
    <x v="7"/>
    <s v="Organic Superfoods"/>
    <s v="Ashwagandha"/>
    <n v="53"/>
    <n v="270"/>
    <n v="239"/>
    <n v="14.31"/>
    <n v="12.67"/>
    <n v="1.64"/>
    <n v="1.01"/>
    <n v="128"/>
    <s v="Medium"/>
    <s v="None"/>
    <s v="Maintain"/>
    <s v="Rajasthan"/>
  </r>
  <r>
    <x v="0"/>
    <x v="4"/>
    <s v="Organic Oils"/>
    <s v="Groundnut Oil"/>
    <n v="122"/>
    <n v="399"/>
    <n v="338"/>
    <n v="48.68"/>
    <n v="41.24"/>
    <n v="7.44"/>
    <n v="17.25"/>
    <n v="194"/>
    <s v="Low"/>
    <s v="High Demand"/>
    <s v="Increase Stock"/>
    <s v="Maharashtra"/>
  </r>
  <r>
    <x v="1"/>
    <x v="1"/>
    <s v="Organic Dairy"/>
    <s v="Paneer"/>
    <n v="398"/>
    <n v="278"/>
    <n v="73"/>
    <n v="110.64"/>
    <n v="29.05"/>
    <n v="81.59"/>
    <n v="18.670000000000002"/>
    <n v="114"/>
    <s v="High"/>
    <s v="Supply Delay"/>
    <s v="Find Alternate Supplier"/>
    <s v="Karnataka"/>
  </r>
  <r>
    <x v="1"/>
    <x v="4"/>
    <s v="Organic Spices"/>
    <s v="Turmeric Powder"/>
    <n v="103"/>
    <n v="95"/>
    <n v="70"/>
    <n v="9.7899999999999991"/>
    <n v="7.21"/>
    <n v="2.58"/>
    <n v="0.97"/>
    <n v="24"/>
    <s v="High"/>
    <s v="High Demand"/>
    <s v="Increase Stock"/>
    <s v="Rajasthan"/>
  </r>
  <r>
    <x v="1"/>
    <x v="3"/>
    <s v="Organic Superfoods"/>
    <s v="Ashwagandha"/>
    <n v="460"/>
    <n v="253"/>
    <n v="219"/>
    <n v="116.38"/>
    <n v="100.74"/>
    <n v="15.64"/>
    <n v="-7.1"/>
    <n v="163"/>
    <s v="Medium"/>
    <s v="High Demand"/>
    <s v="Increase Stock"/>
    <s v="Karnataka"/>
  </r>
  <r>
    <x v="0"/>
    <x v="8"/>
    <s v="Organic Spices"/>
    <s v="Black Pepper"/>
    <n v="93"/>
    <n v="118"/>
    <n v="31"/>
    <n v="10.97"/>
    <n v="2.88"/>
    <n v="8.09"/>
    <n v="7.22"/>
    <n v="237"/>
    <s v="Medium"/>
    <s v="Low Stock"/>
    <s v="Restock"/>
    <s v="Delhi"/>
  </r>
  <r>
    <x v="1"/>
    <x v="4"/>
    <s v="Organic Oils"/>
    <s v="Sunflower Oil"/>
    <n v="96"/>
    <n v="393"/>
    <n v="364"/>
    <n v="37.729999999999997"/>
    <n v="34.94"/>
    <n v="2.78"/>
    <n v="-2.59"/>
    <n v="274"/>
    <s v="Low"/>
    <s v="Low Stock"/>
    <s v="Restock"/>
    <s v="Delhi"/>
  </r>
  <r>
    <x v="2"/>
    <x v="6"/>
    <s v="Organic Oils"/>
    <s v="Coconut Oil"/>
    <n v="96"/>
    <n v="474"/>
    <n v="169"/>
    <n v="45.5"/>
    <n v="16.22"/>
    <n v="29.28"/>
    <n v="23.2"/>
    <n v="262"/>
    <s v="Low"/>
    <s v="Supply Delay"/>
    <s v="Find Alternate Supplier"/>
    <s v="Delhi"/>
  </r>
  <r>
    <x v="2"/>
    <x v="7"/>
    <s v="Organic Spices"/>
    <s v="Black Pepper"/>
    <n v="214"/>
    <n v="330"/>
    <n v="165"/>
    <n v="70.62"/>
    <n v="35.31"/>
    <n v="35.31"/>
    <n v="11.64"/>
    <n v="48"/>
    <s v="Low"/>
    <s v="High Demand"/>
    <s v="Increase Stock"/>
    <s v="Rajasthan"/>
  </r>
  <r>
    <x v="2"/>
    <x v="5"/>
    <s v="Organic Spices"/>
    <s v="Turmeric Powder"/>
    <n v="222"/>
    <n v="301"/>
    <n v="92"/>
    <n v="66.819999999999993"/>
    <n v="20.420000000000002"/>
    <n v="46.4"/>
    <n v="15.04"/>
    <n v="166"/>
    <s v="High"/>
    <s v="None"/>
    <s v="Maintain"/>
    <s v="Gujarat"/>
  </r>
  <r>
    <x v="1"/>
    <x v="10"/>
    <s v="Organic Superfoods"/>
    <s v="Ashwagandha"/>
    <n v="278"/>
    <n v="81"/>
    <n v="34"/>
    <n v="22.52"/>
    <n v="9.4499999999999993"/>
    <n v="13.07"/>
    <n v="17.36"/>
    <n v="230"/>
    <s v="Medium"/>
    <s v="High Demand"/>
    <s v="Increase Stock"/>
    <s v="Rajasthan"/>
  </r>
  <r>
    <x v="2"/>
    <x v="5"/>
    <s v="Organic Oils"/>
    <s v="Groundnut Oil"/>
    <n v="216"/>
    <n v="248"/>
    <n v="46"/>
    <n v="53.57"/>
    <n v="9.94"/>
    <n v="43.63"/>
    <n v="2.04"/>
    <n v="89"/>
    <s v="Low"/>
    <s v="Supply Delay"/>
    <s v="Find Alternate Supplier"/>
    <s v="Rajasthan"/>
  </r>
  <r>
    <x v="0"/>
    <x v="6"/>
    <s v="Organic Dairy"/>
    <s v="Paneer"/>
    <n v="355"/>
    <n v="397"/>
    <n v="74"/>
    <n v="140.94"/>
    <n v="26.27"/>
    <n v="114.67"/>
    <n v="20.14"/>
    <n v="193"/>
    <s v="High"/>
    <s v="None"/>
    <s v="Maintain"/>
    <s v="Delhi"/>
  </r>
  <r>
    <x v="1"/>
    <x v="5"/>
    <s v="Organic Superfoods"/>
    <s v="Ashwagandha"/>
    <n v="220"/>
    <n v="315"/>
    <n v="52"/>
    <n v="69.3"/>
    <n v="11.44"/>
    <n v="57.86"/>
    <n v="14.24"/>
    <n v="130"/>
    <s v="Low"/>
    <s v="Supply Delay"/>
    <s v="Find Alternate Supplier"/>
    <s v="Delhi"/>
  </r>
  <r>
    <x v="0"/>
    <x v="0"/>
    <s v="Organic Spices"/>
    <s v="Red Chilli Powder"/>
    <n v="191"/>
    <n v="128"/>
    <n v="43"/>
    <n v="24.45"/>
    <n v="8.2100000000000009"/>
    <n v="16.23"/>
    <n v="9.89"/>
    <n v="241"/>
    <s v="Low"/>
    <s v="Supply Delay"/>
    <s v="Find Alternate Supplier"/>
    <s v="Rajasthan"/>
  </r>
  <r>
    <x v="0"/>
    <x v="8"/>
    <s v="Organic Grocery"/>
    <s v="Dals"/>
    <n v="384"/>
    <n v="67"/>
    <n v="52"/>
    <n v="25.73"/>
    <n v="19.97"/>
    <n v="5.76"/>
    <n v="16.37"/>
    <n v="102"/>
    <s v="High"/>
    <s v="Low Stock"/>
    <s v="Restock"/>
    <s v="Karnataka"/>
  </r>
  <r>
    <x v="0"/>
    <x v="2"/>
    <s v="Organic Grocery"/>
    <s v="Pulses"/>
    <n v="344"/>
    <n v="387"/>
    <n v="111"/>
    <n v="133.13"/>
    <n v="38.18"/>
    <n v="94.94"/>
    <n v="13.68"/>
    <n v="45"/>
    <s v="Medium"/>
    <s v="High Demand"/>
    <s v="Increase Stock"/>
    <s v="Rajasthan"/>
  </r>
  <r>
    <x v="2"/>
    <x v="10"/>
    <s v="Organic Superfoods"/>
    <s v="Ashwagandha"/>
    <n v="198"/>
    <n v="206"/>
    <n v="40"/>
    <n v="40.79"/>
    <n v="7.92"/>
    <n v="32.869999999999997"/>
    <n v="2.12"/>
    <n v="283"/>
    <s v="Low"/>
    <s v="High Demand"/>
    <s v="Increase Stock"/>
    <s v="Tamil Nadu"/>
  </r>
  <r>
    <x v="0"/>
    <x v="1"/>
    <s v="Organic Spices"/>
    <s v="Red Chilli Powder"/>
    <n v="377"/>
    <n v="418"/>
    <n v="368"/>
    <n v="157.59"/>
    <n v="138.74"/>
    <n v="18.850000000000001"/>
    <n v="11.34"/>
    <n v="73"/>
    <s v="Medium"/>
    <s v="High Demand"/>
    <s v="Increase Stock"/>
    <s v="Delhi"/>
  </r>
  <r>
    <x v="2"/>
    <x v="4"/>
    <s v="Organic Spices"/>
    <s v="Black Pepper"/>
    <n v="390"/>
    <n v="169"/>
    <n v="88"/>
    <n v="65.91"/>
    <n v="34.32"/>
    <n v="31.59"/>
    <n v="-3.16"/>
    <n v="196"/>
    <s v="High"/>
    <s v="Supply Delay"/>
    <s v="Find Alternate Supplier"/>
    <s v="Karnataka"/>
  </r>
  <r>
    <x v="0"/>
    <x v="9"/>
    <s v="Organic Oils"/>
    <s v="Sunflower Oil"/>
    <n v="490"/>
    <n v="102"/>
    <n v="90"/>
    <n v="49.98"/>
    <n v="44.1"/>
    <n v="5.88"/>
    <n v="20.83"/>
    <n v="256"/>
    <s v="High"/>
    <s v="High Demand"/>
    <s v="Increase Stock"/>
    <s v="Rajasthan"/>
  </r>
  <r>
    <x v="2"/>
    <x v="0"/>
    <s v="Organic Dairy"/>
    <s v="Ghee"/>
    <n v="159"/>
    <n v="233"/>
    <n v="113"/>
    <n v="37.049999999999997"/>
    <n v="17.97"/>
    <n v="19.079999999999998"/>
    <n v="6.99"/>
    <n v="205"/>
    <s v="Low"/>
    <s v="None"/>
    <s v="Maintain"/>
    <s v="Maharashtra"/>
  </r>
  <r>
    <x v="0"/>
    <x v="2"/>
    <s v="Organic Oils"/>
    <s v="Coconut Oil"/>
    <n v="55"/>
    <n v="188"/>
    <n v="33"/>
    <n v="10.34"/>
    <n v="1.81"/>
    <n v="8.5299999999999994"/>
    <n v="11.58"/>
    <n v="161"/>
    <s v="Medium"/>
    <s v="Supply Delay"/>
    <s v="Find Alternate Supplier"/>
    <s v="Karnataka"/>
  </r>
  <r>
    <x v="1"/>
    <x v="8"/>
    <s v="Organic Superfoods"/>
    <s v="Chia Seeds"/>
    <n v="310"/>
    <n v="495"/>
    <n v="107"/>
    <n v="153.44999999999999"/>
    <n v="33.17"/>
    <n v="120.28"/>
    <n v="3.59"/>
    <n v="214"/>
    <s v="Medium"/>
    <s v="Low Stock"/>
    <s v="Restock"/>
    <s v="Karnataka"/>
  </r>
  <r>
    <x v="0"/>
    <x v="4"/>
    <s v="Organic Dairy"/>
    <s v="Paneer"/>
    <n v="488"/>
    <n v="153"/>
    <n v="31"/>
    <n v="74.66"/>
    <n v="15.13"/>
    <n v="59.54"/>
    <n v="12.72"/>
    <n v="233"/>
    <s v="Medium"/>
    <s v="Supply Delay"/>
    <s v="Find Alternate Supplier"/>
    <s v="Rajasthan"/>
  </r>
  <r>
    <x v="1"/>
    <x v="4"/>
    <s v="Organic Grocery"/>
    <s v="Pulses"/>
    <n v="121"/>
    <n v="303"/>
    <n v="119"/>
    <n v="36.659999999999997"/>
    <n v="14.4"/>
    <n v="22.26"/>
    <n v="1.92"/>
    <n v="228"/>
    <s v="Low"/>
    <s v="Supply Delay"/>
    <s v="Find Alternate Supplier"/>
    <s v="Rajasthan"/>
  </r>
  <r>
    <x v="1"/>
    <x v="7"/>
    <s v="Organic Spices"/>
    <s v="Red Chilli Powder"/>
    <n v="221"/>
    <n v="223"/>
    <n v="191"/>
    <n v="49.28"/>
    <n v="42.21"/>
    <n v="7.07"/>
    <n v="-7.27"/>
    <n v="176"/>
    <s v="Low"/>
    <s v="High Demand"/>
    <s v="Increase Stock"/>
    <s v="Gujarat"/>
  </r>
  <r>
    <x v="0"/>
    <x v="11"/>
    <s v="Organic Grocery"/>
    <s v="Dals"/>
    <n v="236"/>
    <n v="164"/>
    <n v="55"/>
    <n v="38.700000000000003"/>
    <n v="12.98"/>
    <n v="25.72"/>
    <n v="9.35"/>
    <n v="34"/>
    <s v="Medium"/>
    <s v="High Demand"/>
    <s v="Increase Stock"/>
    <s v="Delhi"/>
  </r>
  <r>
    <x v="1"/>
    <x v="11"/>
    <s v="Organic Dairy"/>
    <s v="Curd"/>
    <n v="313"/>
    <n v="116"/>
    <n v="60"/>
    <n v="36.31"/>
    <n v="18.78"/>
    <n v="17.53"/>
    <n v="6.65"/>
    <n v="231"/>
    <s v="High"/>
    <s v="Supply Delay"/>
    <s v="Find Alternate Supplier"/>
    <s v="Karnataka"/>
  </r>
  <r>
    <x v="0"/>
    <x v="0"/>
    <s v="Organic Oils"/>
    <s v="Sunflower Oil"/>
    <n v="460"/>
    <n v="391"/>
    <n v="153"/>
    <n v="179.86"/>
    <n v="70.38"/>
    <n v="109.48"/>
    <n v="4.9000000000000004"/>
    <n v="284"/>
    <s v="High"/>
    <s v="Supply Delay"/>
    <s v="Find Alternate Supplier"/>
    <s v="Delhi"/>
  </r>
  <r>
    <x v="0"/>
    <x v="1"/>
    <s v="Organic Superfoods"/>
    <s v="Ashwagandha"/>
    <n v="151"/>
    <n v="306"/>
    <n v="190"/>
    <n v="46.21"/>
    <n v="28.69"/>
    <n v="17.52"/>
    <n v="-1.26"/>
    <n v="214"/>
    <s v="Medium"/>
    <s v="High Demand"/>
    <s v="Increase Stock"/>
    <s v="Delhi"/>
  </r>
  <r>
    <x v="0"/>
    <x v="11"/>
    <s v="Organic Grocery"/>
    <s v="Pulses"/>
    <n v="141"/>
    <n v="261"/>
    <n v="84"/>
    <n v="36.799999999999997"/>
    <n v="11.84"/>
    <n v="24.96"/>
    <n v="-4.78"/>
    <n v="49"/>
    <s v="Medium"/>
    <s v="High Demand"/>
    <s v="Increase Stock"/>
    <s v="Gujarat"/>
  </r>
  <r>
    <x v="0"/>
    <x v="4"/>
    <s v="Organic Superfoods"/>
    <s v="Chia Seeds"/>
    <n v="208"/>
    <n v="220"/>
    <n v="31"/>
    <n v="45.76"/>
    <n v="6.45"/>
    <n v="39.31"/>
    <n v="-3.03"/>
    <n v="64"/>
    <s v="High"/>
    <s v="Supply Delay"/>
    <s v="Find Alternate Supplier"/>
    <s v="Karnataka"/>
  </r>
  <r>
    <x v="2"/>
    <x v="7"/>
    <s v="Organic Spices"/>
    <s v="Turmeric Powder"/>
    <n v="451"/>
    <n v="237"/>
    <n v="212"/>
    <n v="106.89"/>
    <n v="95.61"/>
    <n v="11.28"/>
    <n v="14.76"/>
    <n v="200"/>
    <s v="High"/>
    <s v="Low Stock"/>
    <s v="Restock"/>
    <s v="Karnataka"/>
  </r>
  <r>
    <x v="0"/>
    <x v="10"/>
    <s v="Organic Grocery"/>
    <s v="Dals"/>
    <n v="339"/>
    <n v="263"/>
    <n v="224"/>
    <n v="89.16"/>
    <n v="75.94"/>
    <n v="13.22"/>
    <n v="0.35"/>
    <n v="169"/>
    <s v="Low"/>
    <s v="High Demand"/>
    <s v="Increase Stock"/>
    <s v="Delhi"/>
  </r>
  <r>
    <x v="2"/>
    <x v="11"/>
    <s v="Organic Grocery"/>
    <s v="Wheat Flour"/>
    <n v="123"/>
    <n v="458"/>
    <n v="362"/>
    <n v="56.33"/>
    <n v="44.53"/>
    <n v="11.81"/>
    <n v="9.57"/>
    <n v="108"/>
    <s v="Low"/>
    <s v="None"/>
    <s v="Maintain"/>
    <s v="Delhi"/>
  </r>
  <r>
    <x v="1"/>
    <x v="4"/>
    <s v="Organic Dairy"/>
    <s v="Milk"/>
    <n v="112"/>
    <n v="330"/>
    <n v="156"/>
    <n v="36.96"/>
    <n v="17.47"/>
    <n v="19.489999999999998"/>
    <n v="21.18"/>
    <n v="23"/>
    <s v="High"/>
    <s v="None"/>
    <s v="Maintain"/>
    <s v="Gujarat"/>
  </r>
  <r>
    <x v="2"/>
    <x v="11"/>
    <s v="Organic Oils"/>
    <s v="Groundnut Oil"/>
    <n v="94"/>
    <n v="219"/>
    <n v="117"/>
    <n v="20.59"/>
    <n v="11"/>
    <n v="9.59"/>
    <n v="7.65"/>
    <n v="186"/>
    <s v="Low"/>
    <s v="Low Stock"/>
    <s v="Restock"/>
    <s v="Rajasthan"/>
  </r>
  <r>
    <x v="0"/>
    <x v="11"/>
    <s v="Organic Grocery"/>
    <s v="Rice"/>
    <n v="464"/>
    <n v="244"/>
    <n v="164"/>
    <n v="113.22"/>
    <n v="76.099999999999994"/>
    <n v="37.119999999999997"/>
    <n v="5.56"/>
    <n v="273"/>
    <s v="Low"/>
    <s v="None"/>
    <s v="Maintain"/>
    <s v="Delhi"/>
  </r>
  <r>
    <x v="0"/>
    <x v="10"/>
    <s v="Organic Oils"/>
    <s v="Sunflower Oil"/>
    <n v="445"/>
    <n v="343"/>
    <n v="69"/>
    <n v="152.63"/>
    <n v="30.7"/>
    <n v="121.93"/>
    <n v="15.43"/>
    <n v="78"/>
    <s v="High"/>
    <s v="Supply Delay"/>
    <s v="Find Alternate Supplier"/>
    <s v="Rajasthan"/>
  </r>
  <r>
    <x v="1"/>
    <x v="0"/>
    <s v="Organic Superfoods"/>
    <s v="Amla Powder"/>
    <n v="370"/>
    <n v="466"/>
    <n v="218"/>
    <n v="172.42"/>
    <n v="80.66"/>
    <n v="91.76"/>
    <n v="-7.66"/>
    <n v="262"/>
    <s v="Medium"/>
    <s v="High Demand"/>
    <s v="Increase Stock"/>
    <s v="Karnataka"/>
  </r>
  <r>
    <x v="0"/>
    <x v="7"/>
    <s v="Organic Superfoods"/>
    <s v="Ashwagandha"/>
    <n v="390"/>
    <n v="401"/>
    <n v="302"/>
    <n v="156.38999999999999"/>
    <n v="117.78"/>
    <n v="38.61"/>
    <n v="18.98"/>
    <n v="179"/>
    <s v="High"/>
    <s v="Low Stock"/>
    <s v="Restock"/>
    <s v="Gujarat"/>
  </r>
  <r>
    <x v="0"/>
    <x v="11"/>
    <s v="Organic Oils"/>
    <s v="Groundnut Oil"/>
    <n v="493"/>
    <n v="173"/>
    <n v="102"/>
    <n v="85.29"/>
    <n v="50.29"/>
    <n v="35"/>
    <n v="10.59"/>
    <n v="293"/>
    <s v="Medium"/>
    <s v="Supply Delay"/>
    <s v="Find Alternate Supplier"/>
    <s v="Karnataka"/>
  </r>
  <r>
    <x v="1"/>
    <x v="4"/>
    <s v="Organic Grocery"/>
    <s v="Wheat Flour"/>
    <n v="53"/>
    <n v="352"/>
    <n v="138"/>
    <n v="18.66"/>
    <n v="7.31"/>
    <n v="11.34"/>
    <n v="20.329999999999998"/>
    <n v="187"/>
    <s v="Low"/>
    <s v="High Demand"/>
    <s v="Increase Stock"/>
    <s v="Karnataka"/>
  </r>
  <r>
    <x v="0"/>
    <x v="10"/>
    <s v="Organic Superfoods"/>
    <s v="Amla Powder"/>
    <n v="76"/>
    <n v="51"/>
    <n v="36"/>
    <n v="3.88"/>
    <n v="2.74"/>
    <n v="1.1399999999999999"/>
    <n v="2.4500000000000002"/>
    <n v="24"/>
    <s v="Low"/>
    <s v="None"/>
    <s v="Maintain"/>
    <s v="Karnataka"/>
  </r>
  <r>
    <x v="1"/>
    <x v="2"/>
    <s v="Organic Spices"/>
    <s v="Turmeric Powder"/>
    <n v="127"/>
    <n v="477"/>
    <n v="143"/>
    <n v="60.58"/>
    <n v="18.16"/>
    <n v="42.42"/>
    <n v="-6.86"/>
    <n v="93"/>
    <s v="Medium"/>
    <s v="Low Stock"/>
    <s v="Restock"/>
    <s v="Maharashtra"/>
  </r>
  <r>
    <x v="0"/>
    <x v="3"/>
    <s v="Organic Grocery"/>
    <s v="Dals"/>
    <n v="194"/>
    <n v="330"/>
    <n v="68"/>
    <n v="64.02"/>
    <n v="13.19"/>
    <n v="50.83"/>
    <n v="14.84"/>
    <n v="67"/>
    <s v="High"/>
    <s v="Low Stock"/>
    <s v="Restock"/>
    <s v="Gujarat"/>
  </r>
  <r>
    <x v="1"/>
    <x v="2"/>
    <s v="Organic Dairy"/>
    <s v="Milk"/>
    <n v="277"/>
    <n v="315"/>
    <n v="158"/>
    <n v="87.25"/>
    <n v="43.77"/>
    <n v="43.49"/>
    <n v="-6.44"/>
    <n v="70"/>
    <s v="Medium"/>
    <s v="Supply Delay"/>
    <s v="Find Alternate Supplier"/>
    <s v="Delhi"/>
  </r>
  <r>
    <x v="1"/>
    <x v="6"/>
    <s v="Organic Dairy"/>
    <s v="Paneer"/>
    <n v="419"/>
    <n v="88"/>
    <n v="46"/>
    <n v="36.869999999999997"/>
    <n v="19.27"/>
    <n v="17.600000000000001"/>
    <n v="8.89"/>
    <n v="20"/>
    <s v="High"/>
    <s v="High Demand"/>
    <s v="Increase Stock"/>
    <s v="Tamil Nadu"/>
  </r>
  <r>
    <x v="1"/>
    <x v="10"/>
    <s v="Organic Oils"/>
    <s v="Groundnut Oil"/>
    <n v="498"/>
    <n v="187"/>
    <n v="94"/>
    <n v="93.13"/>
    <n v="46.81"/>
    <n v="46.31"/>
    <n v="7.88"/>
    <n v="268"/>
    <s v="Low"/>
    <s v="None"/>
    <s v="Maintain"/>
    <s v="Gujarat"/>
  </r>
  <r>
    <x v="0"/>
    <x v="6"/>
    <s v="Organic Superfoods"/>
    <s v="Chia Seeds"/>
    <n v="185"/>
    <n v="84"/>
    <n v="58"/>
    <n v="15.54"/>
    <n v="10.73"/>
    <n v="4.8099999999999996"/>
    <n v="6.49"/>
    <n v="199"/>
    <s v="High"/>
    <s v="Supply Delay"/>
    <s v="Find Alternate Supplier"/>
    <s v="Karnataka"/>
  </r>
  <r>
    <x v="2"/>
    <x v="6"/>
    <s v="Organic Grocery"/>
    <s v="Wheat Flour"/>
    <n v="219"/>
    <n v="91"/>
    <n v="60"/>
    <n v="19.93"/>
    <n v="13.14"/>
    <n v="6.79"/>
    <n v="-2.23"/>
    <n v="192"/>
    <s v="High"/>
    <s v="Supply Delay"/>
    <s v="Find Alternate Supplier"/>
    <s v="Maharashtra"/>
  </r>
  <r>
    <x v="1"/>
    <x v="5"/>
    <s v="Organic Oils"/>
    <s v="Coconut Oil"/>
    <n v="287"/>
    <n v="180"/>
    <n v="80"/>
    <n v="51.66"/>
    <n v="22.96"/>
    <n v="28.7"/>
    <n v="-6.49"/>
    <n v="266"/>
    <s v="Medium"/>
    <s v="Low Stock"/>
    <s v="Restock"/>
    <s v="Delhi"/>
  </r>
  <r>
    <x v="1"/>
    <x v="4"/>
    <s v="Organic Oils"/>
    <s v="Groundnut Oil"/>
    <n v="406"/>
    <n v="219"/>
    <n v="44"/>
    <n v="88.91"/>
    <n v="17.86"/>
    <n v="71.05"/>
    <n v="2.1"/>
    <n v="234"/>
    <s v="High"/>
    <s v="Low Stock"/>
    <s v="Restock"/>
    <s v="Rajasthan"/>
  </r>
  <r>
    <x v="2"/>
    <x v="0"/>
    <s v="Organic Oils"/>
    <s v="Sunflower Oil"/>
    <n v="353"/>
    <n v="179"/>
    <n v="67"/>
    <n v="63.19"/>
    <n v="23.65"/>
    <n v="39.54"/>
    <n v="16.850000000000001"/>
    <n v="216"/>
    <s v="High"/>
    <s v="Supply Delay"/>
    <s v="Find Alternate Supplier"/>
    <s v="Tamil Nadu"/>
  </r>
  <r>
    <x v="2"/>
    <x v="0"/>
    <s v="Organic Oils"/>
    <s v="Coconut Oil"/>
    <n v="344"/>
    <n v="336"/>
    <n v="232"/>
    <n v="115.58"/>
    <n v="79.81"/>
    <n v="35.78"/>
    <n v="22.19"/>
    <n v="240"/>
    <s v="Medium"/>
    <s v="Supply Delay"/>
    <s v="Find Alternate Supplier"/>
    <s v="Rajasthan"/>
  </r>
  <r>
    <x v="0"/>
    <x v="3"/>
    <s v="Organic Oils"/>
    <s v="Coconut Oil"/>
    <n v="253"/>
    <n v="267"/>
    <n v="37"/>
    <n v="67.55"/>
    <n v="9.36"/>
    <n v="58.19"/>
    <n v="-9.4600000000000009"/>
    <n v="167"/>
    <s v="Medium"/>
    <s v="None"/>
    <s v="Maintain"/>
    <s v="Gujarat"/>
  </r>
  <r>
    <x v="1"/>
    <x v="2"/>
    <s v="Organic Grocery"/>
    <s v="Rice"/>
    <n v="102"/>
    <n v="471"/>
    <n v="42"/>
    <n v="48.04"/>
    <n v="4.28"/>
    <n v="43.76"/>
    <n v="-7.42"/>
    <n v="178"/>
    <s v="Low"/>
    <s v="High Demand"/>
    <s v="Increase Stock"/>
    <s v="Rajasthan"/>
  </r>
  <r>
    <x v="2"/>
    <x v="1"/>
    <s v="Organic Spices"/>
    <s v="Black Pepper"/>
    <n v="225"/>
    <n v="268"/>
    <n v="146"/>
    <n v="60.3"/>
    <n v="32.85"/>
    <n v="27.45"/>
    <n v="-2.31"/>
    <n v="268"/>
    <s v="Low"/>
    <s v="Supply Delay"/>
    <s v="Find Alternate Supplier"/>
    <s v="Delhi"/>
  </r>
  <r>
    <x v="0"/>
    <x v="2"/>
    <s v="Organic Oils"/>
    <s v="Groundnut Oil"/>
    <n v="286"/>
    <n v="175"/>
    <n v="132"/>
    <n v="50.05"/>
    <n v="37.75"/>
    <n v="12.3"/>
    <n v="-9.99"/>
    <n v="205"/>
    <s v="Medium"/>
    <s v="Low Stock"/>
    <s v="Restock"/>
    <s v="Delhi"/>
  </r>
  <r>
    <x v="0"/>
    <x v="7"/>
    <s v="Organic Grocery"/>
    <s v="Rice"/>
    <n v="410"/>
    <n v="291"/>
    <n v="154"/>
    <n v="119.31"/>
    <n v="63.14"/>
    <n v="56.17"/>
    <n v="-7.7"/>
    <n v="239"/>
    <s v="Low"/>
    <s v="Supply Delay"/>
    <s v="Find Alternate Supplier"/>
    <s v="Tamil Nadu"/>
  </r>
  <r>
    <x v="0"/>
    <x v="4"/>
    <s v="Organic Spices"/>
    <s v="Red Chilli Powder"/>
    <n v="158"/>
    <n v="67"/>
    <n v="45"/>
    <n v="10.59"/>
    <n v="7.11"/>
    <n v="3.48"/>
    <n v="-7.76"/>
    <n v="221"/>
    <s v="Low"/>
    <s v="Supply Delay"/>
    <s v="Find Alternate Supplier"/>
    <s v="Maharashtra"/>
  </r>
  <r>
    <x v="1"/>
    <x v="7"/>
    <s v="Organic Oils"/>
    <s v="Sunflower Oil"/>
    <n v="159"/>
    <n v="90"/>
    <n v="34"/>
    <n v="14.31"/>
    <n v="5.41"/>
    <n v="8.9"/>
    <n v="14.18"/>
    <n v="186"/>
    <s v="Low"/>
    <s v="High Demand"/>
    <s v="Increase Stock"/>
    <s v="Maharashtra"/>
  </r>
  <r>
    <x v="1"/>
    <x v="0"/>
    <s v="Organic Grocery"/>
    <s v="Wheat Flour"/>
    <n v="195"/>
    <n v="415"/>
    <n v="394"/>
    <n v="80.92"/>
    <n v="76.83"/>
    <n v="4.09"/>
    <n v="3.64"/>
    <n v="156"/>
    <s v="Low"/>
    <s v="None"/>
    <s v="Maintain"/>
    <s v="Delhi"/>
  </r>
  <r>
    <x v="1"/>
    <x v="7"/>
    <s v="Organic Dairy"/>
    <s v="Paneer"/>
    <n v="482"/>
    <n v="96"/>
    <n v="52"/>
    <n v="46.27"/>
    <n v="25.06"/>
    <n v="21.21"/>
    <n v="18.21"/>
    <n v="206"/>
    <s v="Low"/>
    <s v="Supply Delay"/>
    <s v="Find Alternate Supplier"/>
    <s v="Delhi"/>
  </r>
  <r>
    <x v="1"/>
    <x v="11"/>
    <s v="Organic Dairy"/>
    <s v="Ghee"/>
    <n v="133"/>
    <n v="218"/>
    <n v="65"/>
    <n v="28.99"/>
    <n v="8.64"/>
    <n v="20.350000000000001"/>
    <n v="16.350000000000001"/>
    <n v="114"/>
    <s v="Low"/>
    <s v="Supply Delay"/>
    <s v="Find Alternate Supplier"/>
    <s v="Maharashtra"/>
  </r>
  <r>
    <x v="0"/>
    <x v="5"/>
    <s v="Organic Superfoods"/>
    <s v="Ashwagandha"/>
    <n v="275"/>
    <n v="178"/>
    <n v="53"/>
    <n v="48.95"/>
    <n v="14.57"/>
    <n v="34.380000000000003"/>
    <n v="2.74"/>
    <n v="134"/>
    <s v="Low"/>
    <s v="High Demand"/>
    <s v="Increase Stock"/>
    <s v="Rajasthan"/>
  </r>
  <r>
    <x v="1"/>
    <x v="3"/>
    <s v="Organic Dairy"/>
    <s v="Paneer"/>
    <n v="283"/>
    <n v="332"/>
    <n v="311"/>
    <n v="93.96"/>
    <n v="88.01"/>
    <n v="5.94"/>
    <n v="14.36"/>
    <n v="169"/>
    <s v="Medium"/>
    <s v="None"/>
    <s v="Maintain"/>
    <s v="Gujarat"/>
  </r>
  <r>
    <x v="2"/>
    <x v="2"/>
    <s v="Organic Superfoods"/>
    <s v="Ashwagandha"/>
    <n v="98"/>
    <n v="427"/>
    <n v="258"/>
    <n v="41.85"/>
    <n v="25.28"/>
    <n v="16.559999999999999"/>
    <n v="7.34"/>
    <n v="39"/>
    <s v="High"/>
    <s v="Low Stock"/>
    <s v="Restock"/>
    <s v="Gujarat"/>
  </r>
  <r>
    <x v="0"/>
    <x v="1"/>
    <s v="Organic Oils"/>
    <s v="Groundnut Oil"/>
    <n v="192"/>
    <n v="333"/>
    <n v="51"/>
    <n v="63.94"/>
    <n v="9.7899999999999991"/>
    <n v="54.14"/>
    <n v="13.43"/>
    <n v="241"/>
    <s v="High"/>
    <s v="Low Stock"/>
    <s v="Restock"/>
    <s v="Rajasthan"/>
  </r>
  <r>
    <x v="0"/>
    <x v="4"/>
    <s v="Organic Grocery"/>
    <s v="Pulses"/>
    <n v="65"/>
    <n v="335"/>
    <n v="205"/>
    <n v="21.77"/>
    <n v="13.32"/>
    <n v="8.4499999999999993"/>
    <n v="7.01"/>
    <n v="224"/>
    <s v="Low"/>
    <s v="None"/>
    <s v="Maintain"/>
    <s v="Tamil Nadu"/>
  </r>
  <r>
    <x v="1"/>
    <x v="6"/>
    <s v="Organic Grocery"/>
    <s v="Dals"/>
    <n v="130"/>
    <n v="103"/>
    <n v="77"/>
    <n v="13.39"/>
    <n v="10.01"/>
    <n v="3.38"/>
    <n v="-4.46"/>
    <n v="273"/>
    <s v="Low"/>
    <s v="Low Stock"/>
    <s v="Restock"/>
    <s v="Gujarat"/>
  </r>
  <r>
    <x v="0"/>
    <x v="0"/>
    <s v="Organic Superfoods"/>
    <s v="Amla Powder"/>
    <n v="127"/>
    <n v="278"/>
    <n v="139"/>
    <n v="35.31"/>
    <n v="17.649999999999999"/>
    <n v="17.649999999999999"/>
    <n v="7.72"/>
    <n v="21"/>
    <s v="Medium"/>
    <s v="Low Stock"/>
    <s v="Restock"/>
    <s v="Gujarat"/>
  </r>
  <r>
    <x v="2"/>
    <x v="7"/>
    <s v="Organic Dairy"/>
    <s v="Ghee"/>
    <n v="269"/>
    <n v="182"/>
    <n v="63"/>
    <n v="48.96"/>
    <n v="16.95"/>
    <n v="32.01"/>
    <n v="4.79"/>
    <n v="124"/>
    <s v="Medium"/>
    <s v="Low Stock"/>
    <s v="Restock"/>
    <s v="Maharashtra"/>
  </r>
  <r>
    <x v="1"/>
    <x v="11"/>
    <s v="Organic Spices"/>
    <s v="Turmeric Powder"/>
    <n v="374"/>
    <n v="436"/>
    <n v="108"/>
    <n v="163.06"/>
    <n v="40.39"/>
    <n v="122.67"/>
    <n v="18.420000000000002"/>
    <n v="64"/>
    <s v="Medium"/>
    <s v="Supply Delay"/>
    <s v="Find Alternate Supplier"/>
    <s v="Delhi"/>
  </r>
  <r>
    <x v="2"/>
    <x v="2"/>
    <s v="Organic Dairy"/>
    <s v="Curd"/>
    <n v="389"/>
    <n v="370"/>
    <n v="275"/>
    <n v="143.93"/>
    <n v="106.97"/>
    <n v="36.96"/>
    <n v="-9.68"/>
    <n v="230"/>
    <s v="Medium"/>
    <s v="None"/>
    <s v="Maintain"/>
    <s v="Maharashtra"/>
  </r>
  <r>
    <x v="2"/>
    <x v="7"/>
    <s v="Organic Spices"/>
    <s v="Red Chilli Powder"/>
    <n v="455"/>
    <n v="129"/>
    <n v="66"/>
    <n v="58.7"/>
    <n v="30.03"/>
    <n v="28.66"/>
    <n v="-7.79"/>
    <n v="141"/>
    <s v="High"/>
    <s v="High Demand"/>
    <s v="Increase Stock"/>
    <s v="Rajasthan"/>
  </r>
  <r>
    <x v="2"/>
    <x v="8"/>
    <s v="Organic Spices"/>
    <s v="Turmeric Powder"/>
    <n v="124"/>
    <n v="332"/>
    <n v="176"/>
    <n v="41.17"/>
    <n v="21.82"/>
    <n v="19.34"/>
    <n v="-7.49"/>
    <n v="70"/>
    <s v="Medium"/>
    <s v="None"/>
    <s v="Maintain"/>
    <s v="Rajasthan"/>
  </r>
  <r>
    <x v="0"/>
    <x v="9"/>
    <s v="Organic Dairy"/>
    <s v="Paneer"/>
    <n v="141"/>
    <n v="354"/>
    <n v="130"/>
    <n v="49.91"/>
    <n v="18.329999999999998"/>
    <n v="31.58"/>
    <n v="13.61"/>
    <n v="269"/>
    <s v="High"/>
    <s v="None"/>
    <s v="Maintain"/>
    <s v="Karnataka"/>
  </r>
  <r>
    <x v="2"/>
    <x v="9"/>
    <s v="Organic Superfoods"/>
    <s v="Amla Powder"/>
    <n v="407"/>
    <n v="268"/>
    <n v="78"/>
    <n v="109.08"/>
    <n v="31.75"/>
    <n v="77.33"/>
    <n v="10.81"/>
    <n v="50"/>
    <s v="Medium"/>
    <s v="Low Stock"/>
    <s v="Restock"/>
    <s v="Karnataka"/>
  </r>
  <r>
    <x v="1"/>
    <x v="3"/>
    <s v="Organic Spices"/>
    <s v="Red Chilli Powder"/>
    <n v="323"/>
    <n v="87"/>
    <n v="74"/>
    <n v="28.1"/>
    <n v="23.9"/>
    <n v="4.2"/>
    <n v="-2.79"/>
    <n v="288"/>
    <s v="Medium"/>
    <s v="Low Stock"/>
    <s v="Restock"/>
    <s v="Tamil Nadu"/>
  </r>
  <r>
    <x v="2"/>
    <x v="11"/>
    <s v="Organic Dairy"/>
    <s v="Milk"/>
    <n v="224"/>
    <n v="220"/>
    <n v="205"/>
    <n v="49.28"/>
    <n v="45.92"/>
    <n v="3.36"/>
    <n v="0.09"/>
    <n v="259"/>
    <s v="High"/>
    <s v="Low Stock"/>
    <s v="Restock"/>
    <s v="Delhi"/>
  </r>
  <r>
    <x v="0"/>
    <x v="11"/>
    <s v="Organic Grocery"/>
    <s v="Wheat Flour"/>
    <n v="319"/>
    <n v="378"/>
    <n v="39"/>
    <n v="120.58"/>
    <n v="12.44"/>
    <n v="108.14"/>
    <n v="-3.8"/>
    <n v="257"/>
    <s v="High"/>
    <s v="Supply Delay"/>
    <s v="Find Alternate Supplier"/>
    <s v="Delhi"/>
  </r>
  <r>
    <x v="2"/>
    <x v="1"/>
    <s v="Organic Dairy"/>
    <s v="Ghee"/>
    <n v="392"/>
    <n v="421"/>
    <n v="62"/>
    <n v="165.03"/>
    <n v="24.3"/>
    <n v="140.72999999999999"/>
    <n v="10.119999999999999"/>
    <n v="187"/>
    <s v="High"/>
    <s v="Low Stock"/>
    <s v="Restock"/>
    <s v="Tamil Nadu"/>
  </r>
  <r>
    <x v="0"/>
    <x v="7"/>
    <s v="Organic Oils"/>
    <s v="Groundnut Oil"/>
    <n v="244"/>
    <n v="371"/>
    <n v="302"/>
    <n v="90.52"/>
    <n v="73.69"/>
    <n v="16.84"/>
    <n v="-9.84"/>
    <n v="161"/>
    <s v="Medium"/>
    <s v="Low Stock"/>
    <s v="Restock"/>
    <s v="Rajasthan"/>
  </r>
  <r>
    <x v="1"/>
    <x v="11"/>
    <s v="Organic Spices"/>
    <s v="Turmeric Powder"/>
    <n v="96"/>
    <n v="203"/>
    <n v="60"/>
    <n v="19.489999999999998"/>
    <n v="5.76"/>
    <n v="13.73"/>
    <n v="-0.79"/>
    <n v="202"/>
    <s v="Low"/>
    <s v="High Demand"/>
    <s v="Increase Stock"/>
    <s v="Gujarat"/>
  </r>
  <r>
    <x v="2"/>
    <x v="7"/>
    <s v="Organic Dairy"/>
    <s v="Paneer"/>
    <n v="155"/>
    <n v="241"/>
    <n v="122"/>
    <n v="37.35"/>
    <n v="18.91"/>
    <n v="18.440000000000001"/>
    <n v="17.829999999999998"/>
    <n v="64"/>
    <s v="High"/>
    <s v="Supply Delay"/>
    <s v="Find Alternate Supplier"/>
    <s v="Delhi"/>
  </r>
  <r>
    <x v="0"/>
    <x v="4"/>
    <s v="Organic Grocery"/>
    <s v="Rice"/>
    <n v="134"/>
    <n v="205"/>
    <n v="93"/>
    <n v="27.47"/>
    <n v="12.46"/>
    <n v="15.01"/>
    <n v="22.49"/>
    <n v="187"/>
    <s v="Low"/>
    <s v="None"/>
    <s v="Maintain"/>
    <s v="Tamil Nadu"/>
  </r>
  <r>
    <x v="1"/>
    <x v="3"/>
    <s v="Organic Spices"/>
    <s v="Black Pepper"/>
    <n v="107"/>
    <n v="157"/>
    <n v="71"/>
    <n v="16.8"/>
    <n v="7.6"/>
    <n v="9.1999999999999993"/>
    <n v="12.74"/>
    <n v="211"/>
    <s v="High"/>
    <s v="Supply Delay"/>
    <s v="Find Alternate Supplier"/>
    <s v="Gujarat"/>
  </r>
  <r>
    <x v="0"/>
    <x v="3"/>
    <s v="Organic Superfoods"/>
    <s v="Ashwagandha"/>
    <n v="267"/>
    <n v="225"/>
    <n v="167"/>
    <n v="60.08"/>
    <n v="44.59"/>
    <n v="15.49"/>
    <n v="16.77"/>
    <n v="200"/>
    <s v="High"/>
    <s v="None"/>
    <s v="Maintain"/>
    <s v="Gujarat"/>
  </r>
  <r>
    <x v="1"/>
    <x v="3"/>
    <s v="Organic Dairy"/>
    <s v="Curd"/>
    <n v="259"/>
    <n v="67"/>
    <n v="52"/>
    <n v="17.350000000000001"/>
    <n v="13.47"/>
    <n v="3.89"/>
    <n v="4.93"/>
    <n v="49"/>
    <s v="High"/>
    <s v="High Demand"/>
    <s v="Increase Stock"/>
    <s v="Karnataka"/>
  </r>
  <r>
    <x v="2"/>
    <x v="4"/>
    <s v="Organic Oils"/>
    <s v="Groundnut Oil"/>
    <n v="228"/>
    <n v="70"/>
    <n v="59"/>
    <n v="15.96"/>
    <n v="13.45"/>
    <n v="2.5099999999999998"/>
    <n v="0"/>
    <n v="250"/>
    <s v="High"/>
    <s v="Supply Delay"/>
    <s v="Find Alternate Supplier"/>
    <s v="Karnataka"/>
  </r>
  <r>
    <x v="0"/>
    <x v="2"/>
    <s v="Organic Dairy"/>
    <s v="Paneer"/>
    <n v="238"/>
    <n v="154"/>
    <n v="132"/>
    <n v="36.65"/>
    <n v="31.42"/>
    <n v="5.24"/>
    <n v="7.18"/>
    <n v="184"/>
    <s v="Medium"/>
    <s v="Low Stock"/>
    <s v="Restock"/>
    <s v="Tamil Nadu"/>
  </r>
  <r>
    <x v="2"/>
    <x v="10"/>
    <s v="Organic Oils"/>
    <s v="Sunflower Oil"/>
    <n v="303"/>
    <n v="410"/>
    <n v="166"/>
    <n v="124.23"/>
    <n v="50.3"/>
    <n v="73.930000000000007"/>
    <n v="-0.51"/>
    <n v="88"/>
    <s v="Low"/>
    <s v="Low Stock"/>
    <s v="Restock"/>
    <s v="Karnataka"/>
  </r>
  <r>
    <x v="1"/>
    <x v="1"/>
    <s v="Organic Superfoods"/>
    <s v="Chia Seeds"/>
    <n v="294"/>
    <n v="412"/>
    <n v="214"/>
    <n v="121.13"/>
    <n v="62.92"/>
    <n v="58.21"/>
    <n v="4.32"/>
    <n v="43"/>
    <s v="Medium"/>
    <s v="High Demand"/>
    <s v="Increase Stock"/>
    <s v="Tamil Nadu"/>
  </r>
  <r>
    <x v="1"/>
    <x v="5"/>
    <s v="Organic Grocery"/>
    <s v="Dals"/>
    <n v="286"/>
    <n v="293"/>
    <n v="235"/>
    <n v="83.8"/>
    <n v="67.209999999999994"/>
    <n v="16.59"/>
    <n v="-4.99"/>
    <n v="269"/>
    <s v="High"/>
    <s v="Low Stock"/>
    <s v="Restock"/>
    <s v="Delhi"/>
  </r>
  <r>
    <x v="1"/>
    <x v="1"/>
    <s v="Organic Dairy"/>
    <s v="Paneer"/>
    <n v="325"/>
    <n v="410"/>
    <n v="244"/>
    <n v="133.25"/>
    <n v="79.3"/>
    <n v="53.95"/>
    <n v="15.14"/>
    <n v="62"/>
    <s v="High"/>
    <s v="High Demand"/>
    <s v="Increase Stock"/>
    <s v="Maharashtra"/>
  </r>
  <r>
    <x v="1"/>
    <x v="8"/>
    <s v="Organic Superfoods"/>
    <s v="Amla Powder"/>
    <n v="90"/>
    <n v="246"/>
    <n v="72"/>
    <n v="22.14"/>
    <n v="6.48"/>
    <n v="15.66"/>
    <n v="9.58"/>
    <n v="135"/>
    <s v="Medium"/>
    <s v="High Demand"/>
    <s v="Increase Stock"/>
    <s v="Rajasthan"/>
  </r>
  <r>
    <x v="2"/>
    <x v="4"/>
    <s v="Organic Grocery"/>
    <s v="Rice"/>
    <n v="299"/>
    <n v="302"/>
    <n v="199"/>
    <n v="90.3"/>
    <n v="59.5"/>
    <n v="30.8"/>
    <n v="10.7"/>
    <n v="144"/>
    <s v="Low"/>
    <s v="None"/>
    <s v="Maintain"/>
    <s v="Gujarat"/>
  </r>
  <r>
    <x v="2"/>
    <x v="7"/>
    <s v="Organic Superfoods"/>
    <s v="Ashwagandha"/>
    <n v="490"/>
    <n v="399"/>
    <n v="311"/>
    <n v="195.51"/>
    <n v="152.38999999999999"/>
    <n v="43.12"/>
    <n v="-2.87"/>
    <n v="172"/>
    <s v="High"/>
    <s v="High Demand"/>
    <s v="Increase Stock"/>
    <s v="Karnataka"/>
  </r>
  <r>
    <x v="0"/>
    <x v="10"/>
    <s v="Organic Oils"/>
    <s v="Coconut Oil"/>
    <n v="161"/>
    <n v="320"/>
    <n v="157"/>
    <n v="51.52"/>
    <n v="25.28"/>
    <n v="26.24"/>
    <n v="19.010000000000002"/>
    <n v="216"/>
    <s v="Low"/>
    <s v="Low Stock"/>
    <s v="Restock"/>
    <s v="Maharashtra"/>
  </r>
  <r>
    <x v="1"/>
    <x v="5"/>
    <s v="Organic Dairy"/>
    <s v="Milk"/>
    <n v="59"/>
    <n v="263"/>
    <n v="36"/>
    <n v="15.52"/>
    <n v="2.12"/>
    <n v="13.39"/>
    <n v="24.15"/>
    <n v="191"/>
    <s v="Medium"/>
    <s v="Supply Delay"/>
    <s v="Find Alternate Supplier"/>
    <s v="Delhi"/>
  </r>
  <r>
    <x v="0"/>
    <x v="6"/>
    <s v="Organic Spices"/>
    <s v="Red Chilli Powder"/>
    <n v="439"/>
    <n v="440"/>
    <n v="266"/>
    <n v="193.16"/>
    <n v="116.77"/>
    <n v="76.39"/>
    <n v="10.06"/>
    <n v="135"/>
    <s v="Low"/>
    <s v="None"/>
    <s v="Maintain"/>
    <s v="Tamil Nadu"/>
  </r>
  <r>
    <x v="0"/>
    <x v="10"/>
    <s v="Organic Grocery"/>
    <s v="Rice"/>
    <n v="232"/>
    <n v="257"/>
    <n v="201"/>
    <n v="59.62"/>
    <n v="46.63"/>
    <n v="12.99"/>
    <n v="21.75"/>
    <n v="68"/>
    <s v="Low"/>
    <s v="Low Stock"/>
    <s v="Restock"/>
    <s v="Maharashtra"/>
  </r>
  <r>
    <x v="2"/>
    <x v="10"/>
    <s v="Organic Dairy"/>
    <s v="Curd"/>
    <n v="488"/>
    <n v="412"/>
    <n v="226"/>
    <n v="201.06"/>
    <n v="110.29"/>
    <n v="90.77"/>
    <n v="10.37"/>
    <n v="199"/>
    <s v="Medium"/>
    <s v="High Demand"/>
    <s v="Increase Stock"/>
    <s v="Tamil Nadu"/>
  </r>
  <r>
    <x v="2"/>
    <x v="5"/>
    <s v="Organic Dairy"/>
    <s v="Ghee"/>
    <n v="177"/>
    <n v="391"/>
    <n v="340"/>
    <n v="69.209999999999994"/>
    <n v="60.18"/>
    <n v="9.0299999999999994"/>
    <n v="-0.17"/>
    <n v="249"/>
    <s v="Low"/>
    <s v="None"/>
    <s v="Maintain"/>
    <s v="Tamil Nadu"/>
  </r>
  <r>
    <x v="1"/>
    <x v="11"/>
    <s v="Organic Oils"/>
    <s v="Sunflower Oil"/>
    <n v="87"/>
    <n v="119"/>
    <n v="48"/>
    <n v="10.35"/>
    <n v="4.18"/>
    <n v="6.18"/>
    <n v="17.440000000000001"/>
    <n v="36"/>
    <s v="Medium"/>
    <s v="Supply Delay"/>
    <s v="Find Alternate Supplier"/>
    <s v="Rajasthan"/>
  </r>
  <r>
    <x v="0"/>
    <x v="2"/>
    <s v="Organic Oils"/>
    <s v="Coconut Oil"/>
    <n v="73"/>
    <n v="326"/>
    <n v="241"/>
    <n v="23.8"/>
    <n v="17.59"/>
    <n v="6.2"/>
    <n v="16.489999999999998"/>
    <n v="187"/>
    <s v="Medium"/>
    <s v="Low Stock"/>
    <s v="Restock"/>
    <s v="Karnataka"/>
  </r>
  <r>
    <x v="0"/>
    <x v="2"/>
    <s v="Organic Superfoods"/>
    <s v="Amla Powder"/>
    <n v="257"/>
    <n v="271"/>
    <n v="46"/>
    <n v="69.650000000000006"/>
    <n v="11.82"/>
    <n v="57.83"/>
    <n v="6.13"/>
    <n v="115"/>
    <s v="Medium"/>
    <s v="None"/>
    <s v="Maintain"/>
    <s v="Maharashtra"/>
  </r>
  <r>
    <x v="0"/>
    <x v="9"/>
    <s v="Organic Superfoods"/>
    <s v="Ashwagandha"/>
    <n v="160"/>
    <n v="448"/>
    <n v="209"/>
    <n v="71.680000000000007"/>
    <n v="33.44"/>
    <n v="38.24"/>
    <n v="23.55"/>
    <n v="99"/>
    <s v="High"/>
    <s v="None"/>
    <s v="Maintain"/>
    <s v="Gujarat"/>
  </r>
  <r>
    <x v="1"/>
    <x v="11"/>
    <s v="Organic Grocery"/>
    <s v="Pulses"/>
    <n v="194"/>
    <n v="444"/>
    <n v="398"/>
    <n v="86.14"/>
    <n v="77.209999999999994"/>
    <n v="8.92"/>
    <n v="17.239999999999998"/>
    <n v="125"/>
    <s v="Low"/>
    <s v="High Demand"/>
    <s v="Increase Stock"/>
    <s v="Delhi"/>
  </r>
  <r>
    <x v="2"/>
    <x v="8"/>
    <s v="Organic Dairy"/>
    <s v="Milk"/>
    <n v="413"/>
    <n v="302"/>
    <n v="215"/>
    <n v="124.73"/>
    <n v="88.8"/>
    <n v="35.93"/>
    <n v="23.23"/>
    <n v="27"/>
    <s v="Low"/>
    <s v="None"/>
    <s v="Maintain"/>
    <s v="Tamil Nadu"/>
  </r>
  <r>
    <x v="1"/>
    <x v="8"/>
    <s v="Organic Dairy"/>
    <s v="Ghee"/>
    <n v="265"/>
    <n v="185"/>
    <n v="35"/>
    <n v="49.02"/>
    <n v="9.2799999999999994"/>
    <n v="39.75"/>
    <n v="6.4"/>
    <n v="134"/>
    <s v="Low"/>
    <s v="High Demand"/>
    <s v="Increase Stock"/>
    <s v="Gujarat"/>
  </r>
  <r>
    <x v="2"/>
    <x v="2"/>
    <s v="Organic Superfoods"/>
    <s v="Ashwagandha"/>
    <n v="252"/>
    <n v="274"/>
    <n v="109"/>
    <n v="69.05"/>
    <n v="27.47"/>
    <n v="41.58"/>
    <n v="4.22"/>
    <n v="106"/>
    <s v="High"/>
    <s v="None"/>
    <s v="Maintain"/>
    <s v="Gujarat"/>
  </r>
  <r>
    <x v="0"/>
    <x v="4"/>
    <s v="Organic Grocery"/>
    <s v="Rice"/>
    <n v="419"/>
    <n v="303"/>
    <n v="209"/>
    <n v="126.96"/>
    <n v="87.57"/>
    <n v="39.39"/>
    <n v="14.63"/>
    <n v="114"/>
    <s v="Low"/>
    <s v="High Demand"/>
    <s v="Increase Stock"/>
    <s v="Maharashtra"/>
  </r>
  <r>
    <x v="1"/>
    <x v="9"/>
    <s v="Organic Spices"/>
    <s v="Red Chilli Powder"/>
    <n v="288"/>
    <n v="404"/>
    <n v="249"/>
    <n v="116.35"/>
    <n v="71.709999999999994"/>
    <n v="44.64"/>
    <n v="2.68"/>
    <n v="136"/>
    <s v="Low"/>
    <s v="High Demand"/>
    <s v="Increase Stock"/>
    <s v="Karnataka"/>
  </r>
  <r>
    <x v="2"/>
    <x v="3"/>
    <s v="Organic Oils"/>
    <s v="Groundnut Oil"/>
    <n v="125"/>
    <n v="346"/>
    <n v="330"/>
    <n v="43.25"/>
    <n v="41.25"/>
    <n v="2"/>
    <n v="-0.56000000000000005"/>
    <n v="99"/>
    <s v="High"/>
    <s v="High Demand"/>
    <s v="Increase Stock"/>
    <s v="Karnataka"/>
  </r>
  <r>
    <x v="1"/>
    <x v="10"/>
    <s v="Organic Dairy"/>
    <s v="Milk"/>
    <n v="443"/>
    <n v="425"/>
    <n v="228"/>
    <n v="188.28"/>
    <n v="101"/>
    <n v="87.27"/>
    <n v="14.39"/>
    <n v="206"/>
    <s v="High"/>
    <s v="Supply Delay"/>
    <s v="Find Alternate Supplier"/>
    <s v="Gujarat"/>
  </r>
  <r>
    <x v="0"/>
    <x v="6"/>
    <s v="Organic Oils"/>
    <s v="Groundnut Oil"/>
    <n v="219"/>
    <n v="197"/>
    <n v="131"/>
    <n v="43.14"/>
    <n v="28.69"/>
    <n v="14.45"/>
    <n v="-0.51"/>
    <n v="244"/>
    <s v="Low"/>
    <s v="None"/>
    <s v="Maintain"/>
    <s v="Delhi"/>
  </r>
  <r>
    <x v="0"/>
    <x v="3"/>
    <s v="Organic Dairy"/>
    <s v="Ghee"/>
    <n v="364"/>
    <n v="418"/>
    <n v="356"/>
    <n v="152.15"/>
    <n v="129.58000000000001"/>
    <n v="22.57"/>
    <n v="14.48"/>
    <n v="27"/>
    <s v="Low"/>
    <s v="Low Stock"/>
    <s v="Restock"/>
    <s v="Maharashtra"/>
  </r>
  <r>
    <x v="2"/>
    <x v="9"/>
    <s v="Organic Grocery"/>
    <s v="Rice"/>
    <n v="316"/>
    <n v="248"/>
    <n v="98"/>
    <n v="78.37"/>
    <n v="30.97"/>
    <n v="47.4"/>
    <n v="-3.04"/>
    <n v="121"/>
    <s v="Low"/>
    <s v="Supply Delay"/>
    <s v="Find Alternate Supplier"/>
    <s v="Delhi"/>
  </r>
  <r>
    <x v="0"/>
    <x v="1"/>
    <s v="Organic Oils"/>
    <s v="Groundnut Oil"/>
    <n v="118"/>
    <n v="231"/>
    <n v="111"/>
    <n v="27.26"/>
    <n v="13.1"/>
    <n v="14.16"/>
    <n v="3.51"/>
    <n v="35"/>
    <s v="Medium"/>
    <s v="None"/>
    <s v="Maintain"/>
    <s v="Tamil Nadu"/>
  </r>
  <r>
    <x v="0"/>
    <x v="7"/>
    <s v="Organic Spices"/>
    <s v="Turmeric Powder"/>
    <n v="335"/>
    <n v="126"/>
    <n v="62"/>
    <n v="42.21"/>
    <n v="20.77"/>
    <n v="21.44"/>
    <n v="9.3800000000000008"/>
    <n v="127"/>
    <s v="Medium"/>
    <s v="Low Stock"/>
    <s v="Restock"/>
    <s v="Rajasthan"/>
  </r>
  <r>
    <x v="1"/>
    <x v="6"/>
    <s v="Organic Spices"/>
    <s v="Red Chilli Powder"/>
    <n v="375"/>
    <n v="249"/>
    <n v="80"/>
    <n v="93.38"/>
    <n v="30"/>
    <n v="63.38"/>
    <n v="4.59"/>
    <n v="34"/>
    <s v="Medium"/>
    <s v="High Demand"/>
    <s v="Increase Stock"/>
    <s v="Tamil Nadu"/>
  </r>
  <r>
    <x v="1"/>
    <x v="2"/>
    <s v="Organic Grocery"/>
    <s v="Rice"/>
    <n v="189"/>
    <n v="314"/>
    <n v="253"/>
    <n v="59.35"/>
    <n v="47.82"/>
    <n v="11.53"/>
    <n v="3.64"/>
    <n v="48"/>
    <s v="High"/>
    <s v="Supply Delay"/>
    <s v="Find Alternate Supplier"/>
    <s v="Maharashtra"/>
  </r>
  <r>
    <x v="2"/>
    <x v="5"/>
    <s v="Organic Spices"/>
    <s v="Turmeric Powder"/>
    <n v="388"/>
    <n v="133"/>
    <n v="90"/>
    <n v="51.6"/>
    <n v="34.92"/>
    <n v="16.68"/>
    <n v="-5.0199999999999996"/>
    <n v="92"/>
    <s v="Low"/>
    <s v="Low Stock"/>
    <s v="Restock"/>
    <s v="Tamil Nadu"/>
  </r>
  <r>
    <x v="0"/>
    <x v="2"/>
    <s v="Organic Grocery"/>
    <s v="Wheat Flour"/>
    <n v="347"/>
    <n v="163"/>
    <n v="30"/>
    <n v="56.56"/>
    <n v="10.41"/>
    <n v="46.15"/>
    <n v="9.1999999999999993"/>
    <n v="205"/>
    <s v="Low"/>
    <s v="Low Stock"/>
    <s v="Restock"/>
    <s v="Maharashtra"/>
  </r>
  <r>
    <x v="1"/>
    <x v="9"/>
    <s v="Organic Spices"/>
    <s v="Black Pepper"/>
    <n v="92"/>
    <n v="240"/>
    <n v="173"/>
    <n v="22.08"/>
    <n v="15.92"/>
    <n v="6.16"/>
    <n v="5.69"/>
    <n v="267"/>
    <s v="Low"/>
    <s v="Supply Delay"/>
    <s v="Find Alternate Supplier"/>
    <s v="Gujarat"/>
  </r>
  <r>
    <x v="1"/>
    <x v="0"/>
    <s v="Organic Oils"/>
    <s v="Groundnut Oil"/>
    <n v="372"/>
    <n v="159"/>
    <n v="73"/>
    <n v="59.15"/>
    <n v="27.16"/>
    <n v="31.99"/>
    <n v="24.99"/>
    <n v="255"/>
    <s v="Medium"/>
    <s v="Low Stock"/>
    <s v="Restock"/>
    <s v="Rajasthan"/>
  </r>
  <r>
    <x v="0"/>
    <x v="0"/>
    <s v="Organic Superfoods"/>
    <s v="Amla Powder"/>
    <n v="209"/>
    <n v="277"/>
    <n v="215"/>
    <n v="57.89"/>
    <n v="44.94"/>
    <n v="12.96"/>
    <n v="-7.93"/>
    <n v="278"/>
    <s v="High"/>
    <s v="Low Stock"/>
    <s v="Restock"/>
    <s v="Tamil Nadu"/>
  </r>
  <r>
    <x v="2"/>
    <x v="5"/>
    <s v="Organic Superfoods"/>
    <s v="Ashwagandha"/>
    <n v="89"/>
    <n v="354"/>
    <n v="279"/>
    <n v="31.51"/>
    <n v="24.83"/>
    <n v="6.68"/>
    <n v="-6.65"/>
    <n v="285"/>
    <s v="Medium"/>
    <s v="None"/>
    <s v="Maintain"/>
    <s v="Rajasthan"/>
  </r>
  <r>
    <x v="0"/>
    <x v="10"/>
    <s v="Organic Oils"/>
    <s v="Coconut Oil"/>
    <n v="401"/>
    <n v="281"/>
    <n v="144"/>
    <n v="112.68"/>
    <n v="57.74"/>
    <n v="54.94"/>
    <n v="-9.8699999999999992"/>
    <n v="126"/>
    <s v="Medium"/>
    <s v="None"/>
    <s v="Maintain"/>
    <s v="Rajasthan"/>
  </r>
  <r>
    <x v="1"/>
    <x v="9"/>
    <s v="Organic Superfoods"/>
    <s v="Amla Powder"/>
    <n v="306"/>
    <n v="472"/>
    <n v="228"/>
    <n v="144.43"/>
    <n v="69.77"/>
    <n v="74.66"/>
    <n v="23.22"/>
    <n v="279"/>
    <s v="Low"/>
    <s v="High Demand"/>
    <s v="Increase Stock"/>
    <s v="Karnataka"/>
  </r>
  <r>
    <x v="0"/>
    <x v="10"/>
    <s v="Organic Dairy"/>
    <s v="Curd"/>
    <n v="347"/>
    <n v="413"/>
    <n v="317"/>
    <n v="143.31"/>
    <n v="110"/>
    <n v="33.31"/>
    <n v="9.0399999999999991"/>
    <n v="269"/>
    <s v="Low"/>
    <s v="High Demand"/>
    <s v="Increase Stock"/>
    <s v="Rajasthan"/>
  </r>
  <r>
    <x v="0"/>
    <x v="1"/>
    <s v="Organic Dairy"/>
    <s v="Paneer"/>
    <n v="89"/>
    <n v="339"/>
    <n v="109"/>
    <n v="30.17"/>
    <n v="9.6999999999999993"/>
    <n v="20.47"/>
    <n v="7"/>
    <n v="21"/>
    <s v="High"/>
    <s v="Low Stock"/>
    <s v="Restock"/>
    <s v="Delhi"/>
  </r>
  <r>
    <x v="2"/>
    <x v="0"/>
    <s v="Organic Dairy"/>
    <s v="Curd"/>
    <n v="158"/>
    <n v="82"/>
    <n v="46"/>
    <n v="12.96"/>
    <n v="7.27"/>
    <n v="5.69"/>
    <n v="15.15"/>
    <n v="87"/>
    <s v="High"/>
    <s v="Supply Delay"/>
    <s v="Find Alternate Supplier"/>
    <s v="Delhi"/>
  </r>
  <r>
    <x v="2"/>
    <x v="3"/>
    <s v="Organic Oils"/>
    <s v="Sunflower Oil"/>
    <n v="480"/>
    <n v="319"/>
    <n v="296"/>
    <n v="153.12"/>
    <n v="142.08000000000001"/>
    <n v="11.04"/>
    <n v="-2.6"/>
    <n v="69"/>
    <s v="High"/>
    <s v="Supply Delay"/>
    <s v="Find Alternate Supplier"/>
    <s v="Delhi"/>
  </r>
  <r>
    <x v="1"/>
    <x v="4"/>
    <s v="Organic Spices"/>
    <s v="Red Chilli Powder"/>
    <n v="181"/>
    <n v="265"/>
    <n v="215"/>
    <n v="47.97"/>
    <n v="38.909999999999997"/>
    <n v="9.0500000000000007"/>
    <n v="4.55"/>
    <n v="277"/>
    <s v="Medium"/>
    <s v="Supply Delay"/>
    <s v="Find Alternate Supplier"/>
    <s v="Karnataka"/>
  </r>
  <r>
    <x v="0"/>
    <x v="6"/>
    <s v="Organic Dairy"/>
    <s v="Milk"/>
    <n v="455"/>
    <n v="375"/>
    <n v="133"/>
    <n v="170.62"/>
    <n v="60.52"/>
    <n v="110.11"/>
    <n v="15.34"/>
    <n v="61"/>
    <s v="Medium"/>
    <s v="None"/>
    <s v="Maintain"/>
    <s v="Tamil Nadu"/>
  </r>
  <r>
    <x v="0"/>
    <x v="11"/>
    <s v="Organic Dairy"/>
    <s v="Curd"/>
    <n v="162"/>
    <n v="292"/>
    <n v="142"/>
    <n v="47.3"/>
    <n v="23"/>
    <n v="24.3"/>
    <n v="23.17"/>
    <n v="183"/>
    <s v="High"/>
    <s v="Low Stock"/>
    <s v="Restock"/>
    <s v="Delhi"/>
  </r>
  <r>
    <x v="1"/>
    <x v="0"/>
    <s v="Organic Spices"/>
    <s v="Turmeric Powder"/>
    <n v="288"/>
    <n v="220"/>
    <n v="187"/>
    <n v="63.36"/>
    <n v="53.86"/>
    <n v="9.5"/>
    <n v="-2.7"/>
    <n v="237"/>
    <s v="Low"/>
    <s v="Low Stock"/>
    <s v="Restock"/>
    <s v="Rajasthan"/>
  </r>
  <r>
    <x v="1"/>
    <x v="5"/>
    <s v="Organic Superfoods"/>
    <s v="Chia Seeds"/>
    <n v="138"/>
    <n v="138"/>
    <n v="52"/>
    <n v="19.04"/>
    <n v="7.18"/>
    <n v="11.87"/>
    <n v="5.42"/>
    <n v="77"/>
    <s v="High"/>
    <s v="Supply Delay"/>
    <s v="Find Alternate Supplier"/>
    <s v="Karnataka"/>
  </r>
  <r>
    <x v="2"/>
    <x v="10"/>
    <s v="Organic Oils"/>
    <s v="Coconut Oil"/>
    <n v="248"/>
    <n v="361"/>
    <n v="347"/>
    <n v="89.53"/>
    <n v="86.06"/>
    <n v="3.47"/>
    <n v="4.1399999999999997"/>
    <n v="111"/>
    <s v="Low"/>
    <s v="Low Stock"/>
    <s v="Restock"/>
    <s v="Tamil Nadu"/>
  </r>
  <r>
    <x v="2"/>
    <x v="3"/>
    <s v="Organic Superfoods"/>
    <s v="Ashwagandha"/>
    <n v="279"/>
    <n v="189"/>
    <n v="110"/>
    <n v="52.73"/>
    <n v="30.69"/>
    <n v="22.04"/>
    <n v="-6.07"/>
    <n v="143"/>
    <s v="Medium"/>
    <s v="High Demand"/>
    <s v="Increase Stock"/>
    <s v="Rajasthan"/>
  </r>
  <r>
    <x v="1"/>
    <x v="8"/>
    <s v="Organic Dairy"/>
    <s v="Curd"/>
    <n v="438"/>
    <n v="387"/>
    <n v="134"/>
    <n v="169.51"/>
    <n v="58.69"/>
    <n v="110.81"/>
    <n v="1.31"/>
    <n v="260"/>
    <s v="High"/>
    <s v="Low Stock"/>
    <s v="Restock"/>
    <s v="Rajasthan"/>
  </r>
  <r>
    <x v="1"/>
    <x v="8"/>
    <s v="Organic Dairy"/>
    <s v="Paneer"/>
    <n v="132"/>
    <n v="375"/>
    <n v="129"/>
    <n v="49.5"/>
    <n v="17.03"/>
    <n v="32.47"/>
    <n v="2.4500000000000002"/>
    <n v="138"/>
    <s v="High"/>
    <s v="None"/>
    <s v="Maintain"/>
    <s v="Tamil Nadu"/>
  </r>
  <r>
    <x v="0"/>
    <x v="5"/>
    <s v="Organic Oils"/>
    <s v="Groundnut Oil"/>
    <n v="191"/>
    <n v="394"/>
    <n v="273"/>
    <n v="75.25"/>
    <n v="52.14"/>
    <n v="23.11"/>
    <n v="-6.16"/>
    <n v="75"/>
    <s v="Low"/>
    <s v="None"/>
    <s v="Maintain"/>
    <s v="Maharashtra"/>
  </r>
  <r>
    <x v="1"/>
    <x v="9"/>
    <s v="Organic Grocery"/>
    <s v="Dals"/>
    <n v="130"/>
    <n v="342"/>
    <n v="224"/>
    <n v="44.46"/>
    <n v="29.12"/>
    <n v="15.34"/>
    <n v="11.85"/>
    <n v="213"/>
    <s v="High"/>
    <s v="None"/>
    <s v="Maintain"/>
    <s v="Rajasthan"/>
  </r>
  <r>
    <x v="0"/>
    <x v="4"/>
    <s v="Organic Spices"/>
    <s v="Turmeric Powder"/>
    <n v="416"/>
    <n v="500"/>
    <n v="245"/>
    <n v="208"/>
    <n v="101.92"/>
    <n v="106.08"/>
    <n v="-3.89"/>
    <n v="230"/>
    <s v="Low"/>
    <s v="Supply Delay"/>
    <s v="Find Alternate Supplier"/>
    <s v="Gujarat"/>
  </r>
  <r>
    <x v="1"/>
    <x v="9"/>
    <s v="Organic Dairy"/>
    <s v="Curd"/>
    <n v="203"/>
    <n v="213"/>
    <n v="195"/>
    <n v="43.24"/>
    <n v="39.590000000000003"/>
    <n v="3.65"/>
    <n v="6.19"/>
    <n v="69"/>
    <s v="Medium"/>
    <s v="Supply Delay"/>
    <s v="Find Alternate Supplier"/>
    <s v="Delhi"/>
  </r>
  <r>
    <x v="0"/>
    <x v="7"/>
    <s v="Organic Grocery"/>
    <s v="Dals"/>
    <n v="423"/>
    <n v="297"/>
    <n v="97"/>
    <n v="125.63"/>
    <n v="41.03"/>
    <n v="84.6"/>
    <n v="13.01"/>
    <n v="295"/>
    <s v="Medium"/>
    <s v="None"/>
    <s v="Maintain"/>
    <s v="Rajasthan"/>
  </r>
  <r>
    <x v="0"/>
    <x v="7"/>
    <s v="Organic Superfoods"/>
    <s v="Amla Powder"/>
    <n v="136"/>
    <n v="459"/>
    <n v="182"/>
    <n v="62.42"/>
    <n v="24.75"/>
    <n v="37.67"/>
    <n v="22.94"/>
    <n v="107"/>
    <s v="Medium"/>
    <s v="Low Stock"/>
    <s v="Restock"/>
    <s v="Karnataka"/>
  </r>
  <r>
    <x v="0"/>
    <x v="10"/>
    <s v="Organic Spices"/>
    <s v="Red Chilli Powder"/>
    <n v="152"/>
    <n v="302"/>
    <n v="210"/>
    <n v="45.9"/>
    <n v="31.92"/>
    <n v="13.98"/>
    <n v="6.93"/>
    <n v="163"/>
    <s v="Low"/>
    <s v="None"/>
    <s v="Maintain"/>
    <s v="Rajasthan"/>
  </r>
  <r>
    <x v="2"/>
    <x v="4"/>
    <s v="Organic Superfoods"/>
    <s v="Chia Seeds"/>
    <n v="161"/>
    <n v="245"/>
    <n v="179"/>
    <n v="39.450000000000003"/>
    <n v="28.82"/>
    <n v="10.63"/>
    <n v="5.81"/>
    <n v="244"/>
    <s v="High"/>
    <s v="Supply Delay"/>
    <s v="Find Alternate Supplier"/>
    <s v="Rajasthan"/>
  </r>
  <r>
    <x v="2"/>
    <x v="7"/>
    <s v="Organic Superfoods"/>
    <s v="Amla Powder"/>
    <n v="201"/>
    <n v="409"/>
    <n v="204"/>
    <n v="82.21"/>
    <n v="41"/>
    <n v="41.21"/>
    <n v="16.02"/>
    <n v="269"/>
    <s v="Medium"/>
    <s v="Supply Delay"/>
    <s v="Find Alternate Supplier"/>
    <s v="Karnataka"/>
  </r>
  <r>
    <x v="2"/>
    <x v="0"/>
    <s v="Organic Spices"/>
    <s v="Turmeric Powder"/>
    <n v="84"/>
    <n v="319"/>
    <n v="280"/>
    <n v="26.8"/>
    <n v="23.52"/>
    <n v="3.28"/>
    <n v="-9.09"/>
    <n v="176"/>
    <s v="Low"/>
    <s v="Low Stock"/>
    <s v="Restock"/>
    <s v="Karnataka"/>
  </r>
  <r>
    <x v="0"/>
    <x v="9"/>
    <s v="Organic Superfoods"/>
    <s v="Ashwagandha"/>
    <n v="135"/>
    <n v="164"/>
    <n v="98"/>
    <n v="22.14"/>
    <n v="13.23"/>
    <n v="8.91"/>
    <n v="21.13"/>
    <n v="111"/>
    <s v="Low"/>
    <s v="High Demand"/>
    <s v="Increase Stock"/>
    <s v="Tamil Nadu"/>
  </r>
  <r>
    <x v="1"/>
    <x v="2"/>
    <s v="Organic Spices"/>
    <s v="Black Pepper"/>
    <n v="393"/>
    <n v="358"/>
    <n v="31"/>
    <n v="140.69"/>
    <n v="12.18"/>
    <n v="128.51"/>
    <n v="3.72"/>
    <n v="296"/>
    <s v="High"/>
    <s v="Low Stock"/>
    <s v="Restock"/>
    <s v="Tamil Nadu"/>
  </r>
  <r>
    <x v="0"/>
    <x v="7"/>
    <s v="Organic Spices"/>
    <s v="Black Pepper"/>
    <n v="285"/>
    <n v="202"/>
    <n v="96"/>
    <n v="57.57"/>
    <n v="27.36"/>
    <n v="30.21"/>
    <n v="-1.8"/>
    <n v="165"/>
    <s v="Medium"/>
    <s v="Low Stock"/>
    <s v="Restock"/>
    <s v="Karnataka"/>
  </r>
  <r>
    <x v="1"/>
    <x v="1"/>
    <s v="Organic Oils"/>
    <s v="Groundnut Oil"/>
    <n v="378"/>
    <n v="240"/>
    <n v="188"/>
    <n v="90.72"/>
    <n v="71.06"/>
    <n v="19.66"/>
    <n v="-4.29"/>
    <n v="24"/>
    <s v="Medium"/>
    <s v="Supply Delay"/>
    <s v="Find Alternate Supplier"/>
    <s v="Rajasthan"/>
  </r>
  <r>
    <x v="2"/>
    <x v="3"/>
    <s v="Organic Superfoods"/>
    <s v="Amla Powder"/>
    <n v="353"/>
    <n v="202"/>
    <n v="116"/>
    <n v="71.31"/>
    <n v="40.950000000000003"/>
    <n v="30.36"/>
    <n v="18.96"/>
    <n v="23"/>
    <s v="Medium"/>
    <s v="Supply Delay"/>
    <s v="Find Alternate Supplier"/>
    <s v="Tamil Nadu"/>
  </r>
  <r>
    <x v="0"/>
    <x v="8"/>
    <s v="Organic Spices"/>
    <s v="Turmeric Powder"/>
    <n v="151"/>
    <n v="232"/>
    <n v="91"/>
    <n v="35.03"/>
    <n v="13.74"/>
    <n v="21.29"/>
    <n v="-8.4700000000000006"/>
    <n v="227"/>
    <s v="High"/>
    <s v="Low Stock"/>
    <s v="Restock"/>
    <s v="Delhi"/>
  </r>
  <r>
    <x v="0"/>
    <x v="1"/>
    <s v="Organic Dairy"/>
    <s v="Milk"/>
    <n v="461"/>
    <n v="408"/>
    <n v="284"/>
    <n v="188.09"/>
    <n v="130.91999999999999"/>
    <n v="57.16"/>
    <n v="-5.1100000000000003"/>
    <n v="121"/>
    <s v="Medium"/>
    <s v="High Demand"/>
    <s v="Increase Stock"/>
    <s v="Gujarat"/>
  </r>
  <r>
    <x v="1"/>
    <x v="2"/>
    <s v="Organic Dairy"/>
    <s v="Curd"/>
    <n v="395"/>
    <n v="449"/>
    <n v="287"/>
    <n v="177.35"/>
    <n v="113.36"/>
    <n v="63.99"/>
    <n v="16.899999999999999"/>
    <n v="274"/>
    <s v="Low"/>
    <s v="Low Stock"/>
    <s v="Restock"/>
    <s v="Gujarat"/>
  </r>
  <r>
    <x v="1"/>
    <x v="2"/>
    <s v="Organic Superfoods"/>
    <s v="Ashwagandha"/>
    <n v="190"/>
    <n v="390"/>
    <n v="193"/>
    <n v="74.099999999999994"/>
    <n v="36.67"/>
    <n v="37.43"/>
    <n v="5.72"/>
    <n v="102"/>
    <s v="Low"/>
    <s v="Supply Delay"/>
    <s v="Find Alternate Supplier"/>
    <s v="Gujarat"/>
  </r>
  <r>
    <x v="2"/>
    <x v="8"/>
    <s v="Organic Spices"/>
    <s v="Turmeric Powder"/>
    <n v="119"/>
    <n v="317"/>
    <n v="85"/>
    <n v="37.72"/>
    <n v="10.119999999999999"/>
    <n v="27.61"/>
    <n v="19.7"/>
    <n v="234"/>
    <s v="High"/>
    <s v="High Demand"/>
    <s v="Increase Stock"/>
    <s v="Tamil Nadu"/>
  </r>
  <r>
    <x v="0"/>
    <x v="5"/>
    <s v="Organic Spices"/>
    <s v="Turmeric Powder"/>
    <n v="472"/>
    <n v="468"/>
    <n v="84"/>
    <n v="220.9"/>
    <n v="39.65"/>
    <n v="181.25"/>
    <n v="6.93"/>
    <n v="210"/>
    <s v="Medium"/>
    <s v="None"/>
    <s v="Maintain"/>
    <s v="Delhi"/>
  </r>
  <r>
    <x v="2"/>
    <x v="10"/>
    <s v="Organic Oils"/>
    <s v="Coconut Oil"/>
    <n v="343"/>
    <n v="211"/>
    <n v="70"/>
    <n v="72.37"/>
    <n v="24.01"/>
    <n v="48.36"/>
    <n v="22.78"/>
    <n v="42"/>
    <s v="Medium"/>
    <s v="Supply Delay"/>
    <s v="Find Alternate Supplier"/>
    <s v="Gujarat"/>
  </r>
  <r>
    <x v="0"/>
    <x v="11"/>
    <s v="Organic Grocery"/>
    <s v="Pulses"/>
    <n v="270"/>
    <n v="498"/>
    <n v="484"/>
    <n v="134.46"/>
    <n v="130.68"/>
    <n v="3.78"/>
    <n v="19.45"/>
    <n v="180"/>
    <s v="High"/>
    <s v="None"/>
    <s v="Maintain"/>
    <s v="Karnataka"/>
  </r>
  <r>
    <x v="1"/>
    <x v="3"/>
    <s v="Organic Spices"/>
    <s v="Black Pepper"/>
    <n v="437"/>
    <n v="462"/>
    <n v="415"/>
    <n v="201.89"/>
    <n v="181.35"/>
    <n v="20.54"/>
    <n v="2.3199999999999998"/>
    <n v="186"/>
    <s v="Low"/>
    <s v="None"/>
    <s v="Maintain"/>
    <s v="Karnataka"/>
  </r>
  <r>
    <x v="2"/>
    <x v="3"/>
    <s v="Organic Dairy"/>
    <s v="Ghee"/>
    <n v="152"/>
    <n v="381"/>
    <n v="247"/>
    <n v="57.91"/>
    <n v="37.54"/>
    <n v="20.37"/>
    <n v="-9.8699999999999992"/>
    <n v="281"/>
    <s v="Low"/>
    <s v="High Demand"/>
    <s v="Increase Stock"/>
    <s v="Tamil Nadu"/>
  </r>
  <r>
    <x v="0"/>
    <x v="10"/>
    <s v="Organic Dairy"/>
    <s v="Milk"/>
    <n v="453"/>
    <n v="277"/>
    <n v="153"/>
    <n v="125.48"/>
    <n v="69.31"/>
    <n v="56.17"/>
    <n v="3.09"/>
    <n v="119"/>
    <s v="Medium"/>
    <s v="High Demand"/>
    <s v="Increase Stock"/>
    <s v="Tamil Nadu"/>
  </r>
  <r>
    <x v="1"/>
    <x v="8"/>
    <s v="Organic Grocery"/>
    <s v="Pulses"/>
    <n v="278"/>
    <n v="213"/>
    <n v="45"/>
    <n v="59.21"/>
    <n v="12.51"/>
    <n v="46.7"/>
    <n v="15.26"/>
    <n v="184"/>
    <s v="High"/>
    <s v="Supply Delay"/>
    <s v="Find Alternate Supplier"/>
    <s v="Karnataka"/>
  </r>
  <r>
    <x v="1"/>
    <x v="7"/>
    <s v="Organic Dairy"/>
    <s v="Curd"/>
    <n v="353"/>
    <n v="480"/>
    <n v="110"/>
    <n v="169.44"/>
    <n v="38.83"/>
    <n v="130.61000000000001"/>
    <n v="15.92"/>
    <n v="139"/>
    <s v="High"/>
    <s v="Low Stock"/>
    <s v="Restock"/>
    <s v="Rajasthan"/>
  </r>
  <r>
    <x v="0"/>
    <x v="5"/>
    <s v="Organic Grocery"/>
    <s v="Wheat Flour"/>
    <n v="161"/>
    <n v="476"/>
    <n v="55"/>
    <n v="76.64"/>
    <n v="8.86"/>
    <n v="67.78"/>
    <n v="13.03"/>
    <n v="144"/>
    <s v="Medium"/>
    <s v="High Demand"/>
    <s v="Increase Stock"/>
    <s v="Delhi"/>
  </r>
  <r>
    <x v="2"/>
    <x v="0"/>
    <s v="Organic Superfoods"/>
    <s v="Amla Powder"/>
    <n v="483"/>
    <n v="103"/>
    <n v="80"/>
    <n v="49.75"/>
    <n v="38.64"/>
    <n v="11.11"/>
    <n v="9.57"/>
    <n v="158"/>
    <s v="Medium"/>
    <s v="Low Stock"/>
    <s v="Restock"/>
    <s v="Maharashtra"/>
  </r>
  <r>
    <x v="1"/>
    <x v="4"/>
    <s v="Organic Grocery"/>
    <s v="Pulses"/>
    <n v="399"/>
    <n v="436"/>
    <n v="269"/>
    <n v="173.96"/>
    <n v="107.33"/>
    <n v="66.63"/>
    <n v="-8.14"/>
    <n v="197"/>
    <s v="Low"/>
    <s v="High Demand"/>
    <s v="Increase Stock"/>
    <s v="Rajasthan"/>
  </r>
  <r>
    <x v="2"/>
    <x v="4"/>
    <s v="Organic Dairy"/>
    <s v="Paneer"/>
    <n v="346"/>
    <n v="398"/>
    <n v="239"/>
    <n v="137.71"/>
    <n v="82.69"/>
    <n v="55.01"/>
    <n v="19.61"/>
    <n v="137"/>
    <s v="High"/>
    <s v="Supply Delay"/>
    <s v="Find Alternate Supplier"/>
    <s v="Delhi"/>
  </r>
  <r>
    <x v="1"/>
    <x v="0"/>
    <s v="Organic Oils"/>
    <s v="Sunflower Oil"/>
    <n v="464"/>
    <n v="298"/>
    <n v="71"/>
    <n v="138.27000000000001"/>
    <n v="32.94"/>
    <n v="105.33"/>
    <n v="19.55"/>
    <n v="224"/>
    <s v="Medium"/>
    <s v="None"/>
    <s v="Maintain"/>
    <s v="Gujarat"/>
  </r>
  <r>
    <x v="0"/>
    <x v="8"/>
    <s v="Organic Spices"/>
    <s v="Black Pepper"/>
    <n v="198"/>
    <n v="368"/>
    <n v="33"/>
    <n v="72.86"/>
    <n v="6.53"/>
    <n v="66.33"/>
    <n v="-3.27"/>
    <n v="291"/>
    <s v="High"/>
    <s v="None"/>
    <s v="Maintain"/>
    <s v="Karnataka"/>
  </r>
  <r>
    <x v="2"/>
    <x v="3"/>
    <s v="Organic Grocery"/>
    <s v="Rice"/>
    <n v="229"/>
    <n v="418"/>
    <n v="182"/>
    <n v="95.72"/>
    <n v="41.68"/>
    <n v="54.04"/>
    <n v="-3"/>
    <n v="150"/>
    <s v="High"/>
    <s v="Supply Delay"/>
    <s v="Find Alternate Supplier"/>
    <s v="Tamil Nadu"/>
  </r>
  <r>
    <x v="1"/>
    <x v="4"/>
    <s v="Organic Oils"/>
    <s v="Groundnut Oil"/>
    <n v="191"/>
    <n v="479"/>
    <n v="374"/>
    <n v="91.49"/>
    <n v="71.430000000000007"/>
    <n v="20.059999999999999"/>
    <n v="3.41"/>
    <n v="264"/>
    <s v="High"/>
    <s v="Supply Delay"/>
    <s v="Find Alternate Supplier"/>
    <s v="Tamil Nadu"/>
  </r>
  <r>
    <x v="1"/>
    <x v="3"/>
    <s v="Organic Spices"/>
    <s v="Red Chilli Powder"/>
    <n v="111"/>
    <n v="321"/>
    <n v="285"/>
    <n v="35.630000000000003"/>
    <n v="31.64"/>
    <n v="4"/>
    <n v="-7.71"/>
    <n v="85"/>
    <s v="Medium"/>
    <s v="Low Stock"/>
    <s v="Restock"/>
    <s v="Tamil Nadu"/>
  </r>
  <r>
    <x v="2"/>
    <x v="7"/>
    <s v="Organic Superfoods"/>
    <s v="Chia Seeds"/>
    <n v="490"/>
    <n v="233"/>
    <n v="127"/>
    <n v="114.17"/>
    <n v="62.23"/>
    <n v="51.94"/>
    <n v="-1.18"/>
    <n v="236"/>
    <s v="High"/>
    <s v="High Demand"/>
    <s v="Increase Stock"/>
    <s v="Gujarat"/>
  </r>
  <r>
    <x v="2"/>
    <x v="2"/>
    <s v="Organic Spices"/>
    <s v="Turmeric Powder"/>
    <n v="407"/>
    <n v="170"/>
    <n v="49"/>
    <n v="69.19"/>
    <n v="19.940000000000001"/>
    <n v="49.25"/>
    <n v="6.47"/>
    <n v="136"/>
    <s v="Low"/>
    <s v="Supply Delay"/>
    <s v="Find Alternate Supplier"/>
    <s v="Tamil Nadu"/>
  </r>
  <r>
    <x v="2"/>
    <x v="10"/>
    <s v="Organic Spices"/>
    <s v="Black Pepper"/>
    <n v="173"/>
    <n v="155"/>
    <n v="141"/>
    <n v="26.82"/>
    <n v="24.39"/>
    <n v="2.42"/>
    <n v="-7.22"/>
    <n v="51"/>
    <s v="High"/>
    <s v="Low Stock"/>
    <s v="Restock"/>
    <s v="Gujarat"/>
  </r>
  <r>
    <x v="2"/>
    <x v="7"/>
    <s v="Organic Grocery"/>
    <s v="Wheat Flour"/>
    <n v="405"/>
    <n v="146"/>
    <n v="117"/>
    <n v="59.13"/>
    <n v="47.38"/>
    <n v="11.75"/>
    <n v="7.39"/>
    <n v="280"/>
    <s v="Low"/>
    <s v="Low Stock"/>
    <s v="Restock"/>
    <s v="Maharashtra"/>
  </r>
  <r>
    <x v="1"/>
    <x v="3"/>
    <s v="Organic Spices"/>
    <s v="Turmeric Powder"/>
    <n v="454"/>
    <n v="397"/>
    <n v="152"/>
    <n v="180.24"/>
    <n v="69.010000000000005"/>
    <n v="111.23"/>
    <n v="4.57"/>
    <n v="94"/>
    <s v="Low"/>
    <s v="Supply Delay"/>
    <s v="Find Alternate Supplier"/>
    <s v="Tamil Nadu"/>
  </r>
  <r>
    <x v="0"/>
    <x v="6"/>
    <s v="Organic Dairy"/>
    <s v="Ghee"/>
    <n v="410"/>
    <n v="383"/>
    <n v="61"/>
    <n v="157.03"/>
    <n v="25.01"/>
    <n v="132.02000000000001"/>
    <n v="-6.07"/>
    <n v="279"/>
    <s v="Medium"/>
    <s v="High Demand"/>
    <s v="Increase Stock"/>
    <s v="Karnataka"/>
  </r>
  <r>
    <x v="2"/>
    <x v="5"/>
    <s v="Organic Spices"/>
    <s v="Turmeric Powder"/>
    <n v="51"/>
    <n v="460"/>
    <n v="168"/>
    <n v="23.46"/>
    <n v="8.57"/>
    <n v="14.89"/>
    <n v="15.32"/>
    <n v="82"/>
    <s v="High"/>
    <s v="None"/>
    <s v="Maintain"/>
    <s v="Tamil Nadu"/>
  </r>
  <r>
    <x v="0"/>
    <x v="2"/>
    <s v="Organic Grocery"/>
    <s v="Rice"/>
    <n v="265"/>
    <n v="293"/>
    <n v="228"/>
    <n v="77.64"/>
    <n v="60.42"/>
    <n v="17.22"/>
    <n v="-9.35"/>
    <n v="173"/>
    <s v="Low"/>
    <s v="High Demand"/>
    <s v="Increase Stock"/>
    <s v="Gujarat"/>
  </r>
  <r>
    <x v="0"/>
    <x v="1"/>
    <s v="Organic Spices"/>
    <s v="Red Chilli Powder"/>
    <n v="454"/>
    <n v="474"/>
    <n v="460"/>
    <n v="215.2"/>
    <n v="208.84"/>
    <n v="6.36"/>
    <n v="24.42"/>
    <n v="219"/>
    <s v="Low"/>
    <s v="None"/>
    <s v="Maintain"/>
    <s v="Rajasthan"/>
  </r>
  <r>
    <x v="1"/>
    <x v="2"/>
    <s v="Organic Grocery"/>
    <s v="Dals"/>
    <n v="225"/>
    <n v="251"/>
    <n v="40"/>
    <n v="56.48"/>
    <n v="9"/>
    <n v="47.48"/>
    <n v="2.78"/>
    <n v="241"/>
    <s v="Medium"/>
    <s v="High Demand"/>
    <s v="Increase Stock"/>
    <s v="Tamil Nadu"/>
  </r>
  <r>
    <x v="1"/>
    <x v="11"/>
    <s v="Organic Dairy"/>
    <s v="Paneer"/>
    <n v="194"/>
    <n v="117"/>
    <n v="100"/>
    <n v="22.7"/>
    <n v="19.399999999999999"/>
    <n v="3.3"/>
    <n v="9.7100000000000009"/>
    <n v="298"/>
    <s v="Low"/>
    <s v="High Demand"/>
    <s v="Increase Stock"/>
    <s v="Tamil Nadu"/>
  </r>
  <r>
    <x v="0"/>
    <x v="6"/>
    <s v="Organic Oils"/>
    <s v="Coconut Oil"/>
    <n v="55"/>
    <n v="337"/>
    <n v="167"/>
    <n v="18.54"/>
    <n v="9.19"/>
    <n v="9.35"/>
    <n v="15.76"/>
    <n v="248"/>
    <s v="High"/>
    <s v="None"/>
    <s v="Maintain"/>
    <s v="Tamil Nadu"/>
  </r>
  <r>
    <x v="2"/>
    <x v="9"/>
    <s v="Organic Grocery"/>
    <s v="Rice"/>
    <n v="434"/>
    <n v="435"/>
    <n v="164"/>
    <n v="188.79"/>
    <n v="71.180000000000007"/>
    <n v="117.61"/>
    <n v="-8.99"/>
    <n v="100"/>
    <s v="High"/>
    <s v="None"/>
    <s v="Maintain"/>
    <s v="Maharashtra"/>
  </r>
  <r>
    <x v="2"/>
    <x v="9"/>
    <s v="Organic Dairy"/>
    <s v="Paneer"/>
    <n v="324"/>
    <n v="455"/>
    <n v="230"/>
    <n v="147.41999999999999"/>
    <n v="74.52"/>
    <n v="72.900000000000006"/>
    <n v="1.88"/>
    <n v="175"/>
    <s v="Low"/>
    <s v="Supply Delay"/>
    <s v="Find Alternate Supplier"/>
    <s v="Gujarat"/>
  </r>
  <r>
    <x v="2"/>
    <x v="9"/>
    <s v="Organic Superfoods"/>
    <s v="Ashwagandha"/>
    <n v="251"/>
    <n v="441"/>
    <n v="355"/>
    <n v="110.69"/>
    <n v="89.11"/>
    <n v="21.59"/>
    <n v="22.55"/>
    <n v="240"/>
    <s v="Medium"/>
    <s v="None"/>
    <s v="Maintain"/>
    <s v="Delhi"/>
  </r>
  <r>
    <x v="0"/>
    <x v="1"/>
    <s v="Organic Spices"/>
    <s v="Turmeric Powder"/>
    <n v="188"/>
    <n v="497"/>
    <n v="427"/>
    <n v="93.44"/>
    <n v="80.28"/>
    <n v="13.16"/>
    <n v="-7.35"/>
    <n v="87"/>
    <s v="Low"/>
    <s v="None"/>
    <s v="Maintain"/>
    <s v="Maharashtra"/>
  </r>
  <r>
    <x v="1"/>
    <x v="5"/>
    <s v="Organic Superfoods"/>
    <s v="Ashwagandha"/>
    <n v="466"/>
    <n v="78"/>
    <n v="47"/>
    <n v="36.35"/>
    <n v="21.9"/>
    <n v="14.45"/>
    <n v="13.48"/>
    <n v="175"/>
    <s v="Low"/>
    <s v="High Demand"/>
    <s v="Increase Stock"/>
    <s v="Karnataka"/>
  </r>
  <r>
    <x v="2"/>
    <x v="2"/>
    <s v="Organic Spices"/>
    <s v="Turmeric Powder"/>
    <n v="81"/>
    <n v="54"/>
    <n v="33"/>
    <n v="4.37"/>
    <n v="2.67"/>
    <n v="1.7"/>
    <n v="-7.51"/>
    <n v="258"/>
    <s v="Low"/>
    <s v="None"/>
    <s v="Maintain"/>
    <s v="Karnataka"/>
  </r>
  <r>
    <x v="2"/>
    <x v="3"/>
    <s v="Organic Dairy"/>
    <s v="Ghee"/>
    <n v="190"/>
    <n v="301"/>
    <n v="199"/>
    <n v="57.19"/>
    <n v="37.81"/>
    <n v="19.38"/>
    <n v="10.41"/>
    <n v="224"/>
    <s v="Medium"/>
    <s v="High Demand"/>
    <s v="Increase Stock"/>
    <s v="Rajasthan"/>
  </r>
  <r>
    <x v="2"/>
    <x v="4"/>
    <s v="Organic Grocery"/>
    <s v="Wheat Flour"/>
    <n v="356"/>
    <n v="247"/>
    <n v="137"/>
    <n v="87.93"/>
    <n v="48.77"/>
    <n v="39.159999999999997"/>
    <n v="-6.93"/>
    <n v="214"/>
    <s v="Medium"/>
    <s v="Supply Delay"/>
    <s v="Find Alternate Supplier"/>
    <s v="Karnataka"/>
  </r>
  <r>
    <x v="1"/>
    <x v="1"/>
    <s v="Organic Grocery"/>
    <s v="Rice"/>
    <n v="386"/>
    <n v="98"/>
    <n v="73"/>
    <n v="37.83"/>
    <n v="28.18"/>
    <n v="9.65"/>
    <n v="-3.22"/>
    <n v="263"/>
    <s v="High"/>
    <s v="Low Stock"/>
    <s v="Restock"/>
    <s v="Maharashtra"/>
  </r>
  <r>
    <x v="2"/>
    <x v="5"/>
    <s v="Organic Grocery"/>
    <s v="Wheat Flour"/>
    <n v="205"/>
    <n v="390"/>
    <n v="90"/>
    <n v="79.95"/>
    <n v="18.45"/>
    <n v="61.5"/>
    <n v="12.27"/>
    <n v="51"/>
    <s v="Medium"/>
    <s v="Supply Delay"/>
    <s v="Find Alternate Supplier"/>
    <s v="Gujarat"/>
  </r>
  <r>
    <x v="1"/>
    <x v="3"/>
    <s v="Organic Spices"/>
    <s v="Black Pepper"/>
    <n v="466"/>
    <n v="88"/>
    <n v="38"/>
    <n v="41.01"/>
    <n v="17.71"/>
    <n v="23.3"/>
    <n v="12.14"/>
    <n v="300"/>
    <s v="Medium"/>
    <s v="Low Stock"/>
    <s v="Restock"/>
    <s v="Rajasthan"/>
  </r>
  <r>
    <x v="0"/>
    <x v="7"/>
    <s v="Organic Grocery"/>
    <s v="Wheat Flour"/>
    <n v="311"/>
    <n v="409"/>
    <n v="397"/>
    <n v="127.2"/>
    <n v="123.47"/>
    <n v="3.73"/>
    <n v="-4.6399999999999997"/>
    <n v="169"/>
    <s v="Medium"/>
    <s v="None"/>
    <s v="Maintain"/>
    <s v="Tamil Nadu"/>
  </r>
  <r>
    <x v="2"/>
    <x v="2"/>
    <s v="Organic Dairy"/>
    <s v="Ghee"/>
    <n v="496"/>
    <n v="301"/>
    <n v="35"/>
    <n v="149.30000000000001"/>
    <n v="17.36"/>
    <n v="131.94"/>
    <n v="4.51"/>
    <n v="218"/>
    <s v="High"/>
    <s v="None"/>
    <s v="Maintain"/>
    <s v="Gujarat"/>
  </r>
  <r>
    <x v="1"/>
    <x v="10"/>
    <s v="Organic Spices"/>
    <s v="Turmeric Powder"/>
    <n v="341"/>
    <n v="367"/>
    <n v="105"/>
    <n v="125.15"/>
    <n v="35.799999999999997"/>
    <n v="89.34"/>
    <n v="5.78"/>
    <n v="245"/>
    <s v="Medium"/>
    <s v="Supply Delay"/>
    <s v="Find Alternate Supplier"/>
    <s v="Karnataka"/>
  </r>
  <r>
    <x v="2"/>
    <x v="1"/>
    <s v="Organic Spices"/>
    <s v="Turmeric Powder"/>
    <n v="497"/>
    <n v="110"/>
    <n v="50"/>
    <n v="54.67"/>
    <n v="24.85"/>
    <n v="29.82"/>
    <n v="5.2"/>
    <n v="201"/>
    <s v="Medium"/>
    <s v="Low Stock"/>
    <s v="Restock"/>
    <s v="Delhi"/>
  </r>
  <r>
    <x v="1"/>
    <x v="1"/>
    <s v="Organic Dairy"/>
    <s v="Curd"/>
    <n v="145"/>
    <n v="201"/>
    <n v="147"/>
    <n v="29.14"/>
    <n v="21.32"/>
    <n v="7.83"/>
    <n v="3.52"/>
    <n v="265"/>
    <s v="Medium"/>
    <s v="Low Stock"/>
    <s v="Restock"/>
    <s v="Tamil Nadu"/>
  </r>
  <r>
    <x v="2"/>
    <x v="2"/>
    <s v="Organic Grocery"/>
    <s v="Wheat Flour"/>
    <n v="304"/>
    <n v="282"/>
    <n v="41"/>
    <n v="85.73"/>
    <n v="12.46"/>
    <n v="73.260000000000005"/>
    <n v="0.27"/>
    <n v="129"/>
    <s v="Low"/>
    <s v="Supply Delay"/>
    <s v="Find Alternate Supplier"/>
    <s v="Karnataka"/>
  </r>
  <r>
    <x v="1"/>
    <x v="5"/>
    <s v="Organic Grocery"/>
    <s v="Pulses"/>
    <n v="316"/>
    <n v="80"/>
    <n v="58"/>
    <n v="25.28"/>
    <n v="18.329999999999998"/>
    <n v="6.95"/>
    <n v="5.74"/>
    <n v="163"/>
    <s v="Low"/>
    <s v="Low Stock"/>
    <s v="Restock"/>
    <s v="Tamil Nadu"/>
  </r>
  <r>
    <x v="2"/>
    <x v="4"/>
    <s v="Organic Spices"/>
    <s v="Red Chilli Powder"/>
    <n v="376"/>
    <n v="469"/>
    <n v="329"/>
    <n v="176.34"/>
    <n v="123.7"/>
    <n v="52.64"/>
    <n v="0.73"/>
    <n v="122"/>
    <s v="High"/>
    <s v="High Demand"/>
    <s v="Increase Stock"/>
    <s v="Maharashtra"/>
  </r>
  <r>
    <x v="0"/>
    <x v="5"/>
    <s v="Organic Oils"/>
    <s v="Sunflower Oil"/>
    <n v="381"/>
    <n v="494"/>
    <n v="105"/>
    <n v="188.21"/>
    <n v="40.01"/>
    <n v="148.21"/>
    <n v="0"/>
    <n v="245"/>
    <s v="Low"/>
    <s v="Low Stock"/>
    <s v="Restock"/>
    <s v="Tamil Nadu"/>
  </r>
  <r>
    <x v="0"/>
    <x v="2"/>
    <s v="Organic Spices"/>
    <s v="Turmeric Powder"/>
    <n v="251"/>
    <n v="377"/>
    <n v="189"/>
    <n v="94.63"/>
    <n v="47.44"/>
    <n v="47.19"/>
    <n v="24.13"/>
    <n v="287"/>
    <s v="Low"/>
    <s v="High Demand"/>
    <s v="Increase Stock"/>
    <s v="Maharashtra"/>
  </r>
  <r>
    <x v="1"/>
    <x v="8"/>
    <s v="Organic Spices"/>
    <s v="Red Chilli Powder"/>
    <n v="348"/>
    <n v="124"/>
    <n v="95"/>
    <n v="43.15"/>
    <n v="33.06"/>
    <n v="10.09"/>
    <n v="4.41"/>
    <n v="247"/>
    <s v="High"/>
    <s v="High Demand"/>
    <s v="Increase Stock"/>
    <s v="Tamil Nadu"/>
  </r>
  <r>
    <x v="1"/>
    <x v="0"/>
    <s v="Organic Superfoods"/>
    <s v="Amla Powder"/>
    <n v="299"/>
    <n v="439"/>
    <n v="315"/>
    <n v="131.26"/>
    <n v="94.19"/>
    <n v="37.08"/>
    <n v="21.26"/>
    <n v="278"/>
    <s v="Medium"/>
    <s v="Supply Delay"/>
    <s v="Find Alternate Supplier"/>
    <s v="Karnataka"/>
  </r>
  <r>
    <x v="0"/>
    <x v="5"/>
    <s v="Organic Superfoods"/>
    <s v="Amla Powder"/>
    <n v="81"/>
    <n v="74"/>
    <n v="64"/>
    <n v="5.99"/>
    <n v="5.18"/>
    <n v="0.81"/>
    <n v="9.41"/>
    <n v="43"/>
    <s v="High"/>
    <s v="High Demand"/>
    <s v="Increase Stock"/>
    <s v="Gujarat"/>
  </r>
  <r>
    <x v="1"/>
    <x v="10"/>
    <s v="Organic Superfoods"/>
    <s v="Amla Powder"/>
    <n v="490"/>
    <n v="82"/>
    <n v="59"/>
    <n v="40.18"/>
    <n v="28.91"/>
    <n v="11.27"/>
    <n v="0.41"/>
    <n v="66"/>
    <s v="Low"/>
    <s v="High Demand"/>
    <s v="Increase Stock"/>
    <s v="Gujarat"/>
  </r>
  <r>
    <x v="2"/>
    <x v="1"/>
    <s v="Organic Grocery"/>
    <s v="Wheat Flour"/>
    <n v="369"/>
    <n v="209"/>
    <n v="65"/>
    <n v="77.12"/>
    <n v="23.98"/>
    <n v="53.14"/>
    <n v="18.18"/>
    <n v="250"/>
    <s v="Low"/>
    <s v="Supply Delay"/>
    <s v="Find Alternate Supplier"/>
    <s v="Delhi"/>
  </r>
  <r>
    <x v="1"/>
    <x v="1"/>
    <s v="Organic Oils"/>
    <s v="Coconut Oil"/>
    <n v="434"/>
    <n v="308"/>
    <n v="225"/>
    <n v="133.66999999999999"/>
    <n v="97.65"/>
    <n v="36.020000000000003"/>
    <n v="0.38"/>
    <n v="191"/>
    <s v="Medium"/>
    <s v="None"/>
    <s v="Maintain"/>
    <s v="Karnataka"/>
  </r>
  <r>
    <x v="0"/>
    <x v="0"/>
    <s v="Organic Superfoods"/>
    <s v="Amla Powder"/>
    <n v="343"/>
    <n v="488"/>
    <n v="198"/>
    <n v="167.38"/>
    <n v="67.91"/>
    <n v="99.47"/>
    <n v="12.05"/>
    <n v="167"/>
    <s v="Medium"/>
    <s v="High Demand"/>
    <s v="Increase Stock"/>
    <s v="Rajasthan"/>
  </r>
  <r>
    <x v="2"/>
    <x v="7"/>
    <s v="Organic Oils"/>
    <s v="Coconut Oil"/>
    <n v="78"/>
    <n v="69"/>
    <n v="49"/>
    <n v="5.38"/>
    <n v="3.82"/>
    <n v="1.56"/>
    <n v="23.81"/>
    <n v="243"/>
    <s v="Medium"/>
    <s v="High Demand"/>
    <s v="Increase Stock"/>
    <s v="Rajasthan"/>
  </r>
  <r>
    <x v="2"/>
    <x v="9"/>
    <s v="Organic Superfoods"/>
    <s v="Amla Powder"/>
    <n v="301"/>
    <n v="149"/>
    <n v="39"/>
    <n v="44.85"/>
    <n v="11.74"/>
    <n v="33.11"/>
    <n v="-5.55"/>
    <n v="125"/>
    <s v="High"/>
    <s v="Supply Delay"/>
    <s v="Find Alternate Supplier"/>
    <s v="Delhi"/>
  </r>
  <r>
    <x v="1"/>
    <x v="8"/>
    <s v="Organic Superfoods"/>
    <s v="Chia Seeds"/>
    <n v="117"/>
    <n v="409"/>
    <n v="157"/>
    <n v="47.85"/>
    <n v="18.37"/>
    <n v="29.48"/>
    <n v="4"/>
    <n v="235"/>
    <s v="Medium"/>
    <s v="Low Stock"/>
    <s v="Restock"/>
    <s v="Gujarat"/>
  </r>
  <r>
    <x v="2"/>
    <x v="0"/>
    <s v="Organic Oils"/>
    <s v="Coconut Oil"/>
    <n v="130"/>
    <n v="190"/>
    <n v="157"/>
    <n v="24.7"/>
    <n v="20.41"/>
    <n v="4.29"/>
    <n v="6.87"/>
    <n v="110"/>
    <s v="Medium"/>
    <s v="Supply Delay"/>
    <s v="Find Alternate Supplier"/>
    <s v="Gujarat"/>
  </r>
  <r>
    <x v="2"/>
    <x v="7"/>
    <s v="Organic Grocery"/>
    <s v="Wheat Flour"/>
    <n v="192"/>
    <n v="71"/>
    <n v="58"/>
    <n v="13.63"/>
    <n v="11.14"/>
    <n v="2.5"/>
    <n v="10.28"/>
    <n v="141"/>
    <s v="Low"/>
    <s v="High Demand"/>
    <s v="Increase Stock"/>
    <s v="Maharashtra"/>
  </r>
  <r>
    <x v="0"/>
    <x v="8"/>
    <s v="Organic Superfoods"/>
    <s v="Ashwagandha"/>
    <n v="167"/>
    <n v="360"/>
    <n v="67"/>
    <n v="60.12"/>
    <n v="11.19"/>
    <n v="48.93"/>
    <n v="14.04"/>
    <n v="267"/>
    <s v="Medium"/>
    <s v="Low Stock"/>
    <s v="Restock"/>
    <s v="Karnataka"/>
  </r>
  <r>
    <x v="1"/>
    <x v="4"/>
    <s v="Organic Oils"/>
    <s v="Coconut Oil"/>
    <n v="266"/>
    <n v="160"/>
    <n v="66"/>
    <n v="42.56"/>
    <n v="17.559999999999999"/>
    <n v="25"/>
    <n v="-5.3"/>
    <n v="47"/>
    <s v="Low"/>
    <s v="Low Stock"/>
    <s v="Restock"/>
    <s v="Gujarat"/>
  </r>
  <r>
    <x v="2"/>
    <x v="3"/>
    <s v="Organic Superfoods"/>
    <s v="Amla Powder"/>
    <n v="341"/>
    <n v="56"/>
    <n v="32"/>
    <n v="19.100000000000001"/>
    <n v="10.91"/>
    <n v="8.18"/>
    <n v="22.81"/>
    <n v="274"/>
    <s v="High"/>
    <s v="Supply Delay"/>
    <s v="Find Alternate Supplier"/>
    <s v="Tamil Nadu"/>
  </r>
  <r>
    <x v="0"/>
    <x v="5"/>
    <s v="Organic Oils"/>
    <s v="Groundnut Oil"/>
    <n v="232"/>
    <n v="459"/>
    <n v="430"/>
    <n v="106.49"/>
    <n v="99.76"/>
    <n v="6.73"/>
    <n v="-0.18"/>
    <n v="63"/>
    <s v="High"/>
    <s v="Supply Delay"/>
    <s v="Find Alternate Supplier"/>
    <s v="Gujarat"/>
  </r>
  <r>
    <x v="1"/>
    <x v="6"/>
    <s v="Organic Spices"/>
    <s v="Red Chilli Powder"/>
    <n v="60"/>
    <n v="257"/>
    <n v="128"/>
    <n v="15.42"/>
    <n v="7.68"/>
    <n v="7.74"/>
    <n v="22.77"/>
    <n v="289"/>
    <s v="Low"/>
    <s v="High Demand"/>
    <s v="Increase Stock"/>
    <s v="Tamil Nadu"/>
  </r>
  <r>
    <x v="1"/>
    <x v="10"/>
    <s v="Organic Spices"/>
    <s v="Red Chilli Powder"/>
    <n v="172"/>
    <n v="308"/>
    <n v="259"/>
    <n v="52.98"/>
    <n v="44.55"/>
    <n v="8.43"/>
    <n v="-6.85"/>
    <n v="97"/>
    <s v="Low"/>
    <s v="Low Stock"/>
    <s v="Restock"/>
    <s v="Gujarat"/>
  </r>
  <r>
    <x v="1"/>
    <x v="9"/>
    <s v="Organic Dairy"/>
    <s v="Ghee"/>
    <n v="450"/>
    <n v="273"/>
    <n v="142"/>
    <n v="122.85"/>
    <n v="63.9"/>
    <n v="58.95"/>
    <n v="-9.23"/>
    <n v="42"/>
    <s v="Medium"/>
    <s v="Low Stock"/>
    <s v="Restock"/>
    <s v="Gujarat"/>
  </r>
  <r>
    <x v="1"/>
    <x v="10"/>
    <s v="Organic Spices"/>
    <s v="Turmeric Powder"/>
    <n v="247"/>
    <n v="160"/>
    <n v="127"/>
    <n v="39.520000000000003"/>
    <n v="31.37"/>
    <n v="8.15"/>
    <n v="19.63"/>
    <n v="199"/>
    <s v="Low"/>
    <s v="None"/>
    <s v="Maintain"/>
    <s v="Maharashtra"/>
  </r>
  <r>
    <x v="0"/>
    <x v="5"/>
    <s v="Organic Dairy"/>
    <s v="Ghee"/>
    <n v="456"/>
    <n v="408"/>
    <n v="331"/>
    <n v="186.05"/>
    <n v="150.94"/>
    <n v="35.11"/>
    <n v="7.1"/>
    <n v="214"/>
    <s v="Low"/>
    <s v="High Demand"/>
    <s v="Increase Stock"/>
    <s v="Rajasthan"/>
  </r>
  <r>
    <x v="0"/>
    <x v="11"/>
    <s v="Organic Spices"/>
    <s v="Turmeric Powder"/>
    <n v="160"/>
    <n v="467"/>
    <n v="154"/>
    <n v="74.72"/>
    <n v="24.64"/>
    <n v="50.08"/>
    <n v="-7.8"/>
    <n v="133"/>
    <s v="High"/>
    <s v="Low Stock"/>
    <s v="Restock"/>
    <s v="Delhi"/>
  </r>
  <r>
    <x v="1"/>
    <x v="1"/>
    <s v="Organic Oils"/>
    <s v="Coconut Oil"/>
    <n v="230"/>
    <n v="121"/>
    <n v="54"/>
    <n v="27.83"/>
    <n v="12.42"/>
    <n v="15.41"/>
    <n v="17.93"/>
    <n v="157"/>
    <s v="Medium"/>
    <s v="Low Stock"/>
    <s v="Restock"/>
    <s v="Gujarat"/>
  </r>
  <r>
    <x v="0"/>
    <x v="9"/>
    <s v="Organic Grocery"/>
    <s v="Wheat Flour"/>
    <n v="290"/>
    <n v="227"/>
    <n v="57"/>
    <n v="65.83"/>
    <n v="16.53"/>
    <n v="49.3"/>
    <n v="10.46"/>
    <n v="203"/>
    <s v="High"/>
    <s v="None"/>
    <s v="Maintain"/>
    <s v="Tamil Nadu"/>
  </r>
  <r>
    <x v="2"/>
    <x v="9"/>
    <s v="Organic Dairy"/>
    <s v="Curd"/>
    <n v="494"/>
    <n v="349"/>
    <n v="170"/>
    <n v="172.41"/>
    <n v="83.98"/>
    <n v="88.43"/>
    <n v="-3.58"/>
    <n v="237"/>
    <s v="Medium"/>
    <s v="None"/>
    <s v="Maintain"/>
    <s v="Karnataka"/>
  </r>
  <r>
    <x v="0"/>
    <x v="3"/>
    <s v="Organic Dairy"/>
    <s v="Paneer"/>
    <n v="286"/>
    <n v="247"/>
    <n v="44"/>
    <n v="70.64"/>
    <n v="12.58"/>
    <n v="58.06"/>
    <n v="19.690000000000001"/>
    <n v="200"/>
    <s v="High"/>
    <s v="None"/>
    <s v="Maintain"/>
    <s v="Tamil Nadu"/>
  </r>
  <r>
    <x v="0"/>
    <x v="5"/>
    <s v="Organic Dairy"/>
    <s v="Ghee"/>
    <n v="85"/>
    <n v="53"/>
    <n v="42"/>
    <n v="4.5"/>
    <n v="3.57"/>
    <n v="0.94"/>
    <n v="24.04"/>
    <n v="107"/>
    <s v="Low"/>
    <s v="None"/>
    <s v="Maintain"/>
    <s v="Gujarat"/>
  </r>
  <r>
    <x v="0"/>
    <x v="11"/>
    <s v="Organic Spices"/>
    <s v="Black Pepper"/>
    <n v="250"/>
    <n v="206"/>
    <n v="151"/>
    <n v="51.5"/>
    <n v="37.75"/>
    <n v="13.75"/>
    <n v="-8.0299999999999994"/>
    <n v="146"/>
    <s v="High"/>
    <s v="High Demand"/>
    <s v="Increase Stock"/>
    <s v="Gujarat"/>
  </r>
  <r>
    <x v="0"/>
    <x v="1"/>
    <s v="Organic Spices"/>
    <s v="Turmeric Powder"/>
    <n v="450"/>
    <n v="169"/>
    <n v="139"/>
    <n v="76.05"/>
    <n v="62.55"/>
    <n v="13.5"/>
    <n v="1.9"/>
    <n v="49"/>
    <s v="Low"/>
    <s v="High Demand"/>
    <s v="Increase Stock"/>
    <s v="Gujarat"/>
  </r>
  <r>
    <x v="0"/>
    <x v="6"/>
    <s v="Organic Oils"/>
    <s v="Groundnut Oil"/>
    <n v="95"/>
    <n v="122"/>
    <n v="77"/>
    <n v="11.59"/>
    <n v="7.32"/>
    <n v="4.2699999999999996"/>
    <n v="18.63"/>
    <n v="278"/>
    <s v="Medium"/>
    <s v="None"/>
    <s v="Maintain"/>
    <s v="Rajasthan"/>
  </r>
  <r>
    <x v="1"/>
    <x v="9"/>
    <s v="Organic Oils"/>
    <s v="Groundnut Oil"/>
    <n v="340"/>
    <n v="168"/>
    <n v="65"/>
    <n v="57.12"/>
    <n v="22.1"/>
    <n v="35.020000000000003"/>
    <n v="17.38"/>
    <n v="78"/>
    <s v="Medium"/>
    <s v="Supply Delay"/>
    <s v="Find Alternate Supplier"/>
    <s v="Karnataka"/>
  </r>
  <r>
    <x v="0"/>
    <x v="6"/>
    <s v="Organic Grocery"/>
    <s v="Rice"/>
    <n v="137"/>
    <n v="415"/>
    <n v="129"/>
    <n v="56.85"/>
    <n v="17.670000000000002"/>
    <n v="39.18"/>
    <n v="24.11"/>
    <n v="80"/>
    <s v="Low"/>
    <s v="High Demand"/>
    <s v="Increase Stock"/>
    <s v="Gujarat"/>
  </r>
  <r>
    <x v="0"/>
    <x v="7"/>
    <s v="Organic Oils"/>
    <s v="Groundnut Oil"/>
    <n v="53"/>
    <n v="50"/>
    <n v="33"/>
    <n v="2.65"/>
    <n v="1.75"/>
    <n v="0.9"/>
    <n v="-1.66"/>
    <n v="254"/>
    <s v="High"/>
    <s v="Low Stock"/>
    <s v="Restock"/>
    <s v="Rajasthan"/>
  </r>
  <r>
    <x v="0"/>
    <x v="4"/>
    <s v="Organic Grocery"/>
    <s v="Pulses"/>
    <n v="425"/>
    <n v="185"/>
    <n v="113"/>
    <n v="78.62"/>
    <n v="48.02"/>
    <n v="30.6"/>
    <n v="14.06"/>
    <n v="123"/>
    <s v="Low"/>
    <s v="Low Stock"/>
    <s v="Restock"/>
    <s v="Karnataka"/>
  </r>
  <r>
    <x v="0"/>
    <x v="9"/>
    <s v="Organic Superfoods"/>
    <s v="Amla Powder"/>
    <n v="470"/>
    <n v="280"/>
    <n v="161"/>
    <n v="131.6"/>
    <n v="75.67"/>
    <n v="55.93"/>
    <n v="1.93"/>
    <n v="150"/>
    <s v="Low"/>
    <s v="Supply Delay"/>
    <s v="Find Alternate Supplier"/>
    <s v="Delhi"/>
  </r>
  <r>
    <x v="0"/>
    <x v="7"/>
    <s v="Organic Grocery"/>
    <s v="Pulses"/>
    <n v="50"/>
    <n v="195"/>
    <n v="104"/>
    <n v="9.75"/>
    <n v="5.2"/>
    <n v="4.55"/>
    <n v="14.06"/>
    <n v="213"/>
    <s v="High"/>
    <s v="High Demand"/>
    <s v="Increase Stock"/>
    <s v="Delhi"/>
  </r>
  <r>
    <x v="0"/>
    <x v="2"/>
    <s v="Organic Superfoods"/>
    <s v="Ashwagandha"/>
    <n v="100"/>
    <n v="397"/>
    <n v="185"/>
    <n v="39.700000000000003"/>
    <n v="18.5"/>
    <n v="21.2"/>
    <n v="21.3"/>
    <n v="154"/>
    <s v="Low"/>
    <s v="Supply Delay"/>
    <s v="Find Alternate Supplier"/>
    <s v="Delhi"/>
  </r>
  <r>
    <x v="2"/>
    <x v="2"/>
    <s v="Organic Oils"/>
    <s v="Sunflower Oil"/>
    <n v="500"/>
    <n v="212"/>
    <n v="134"/>
    <n v="106"/>
    <n v="67"/>
    <n v="39"/>
    <n v="4.99"/>
    <n v="299"/>
    <s v="High"/>
    <s v="None"/>
    <s v="Maintain"/>
    <s v="Tamil Nadu"/>
  </r>
  <r>
    <x v="2"/>
    <x v="2"/>
    <s v="Organic Oils"/>
    <s v="Sunflower Oil"/>
    <n v="494"/>
    <n v="246"/>
    <n v="74"/>
    <n v="121.52"/>
    <n v="36.56"/>
    <n v="84.97"/>
    <n v="3"/>
    <n v="24"/>
    <s v="High"/>
    <s v="Low Stock"/>
    <s v="Restock"/>
    <s v="Karnataka"/>
  </r>
  <r>
    <x v="0"/>
    <x v="2"/>
    <s v="Organic Grocery"/>
    <s v="Rice"/>
    <n v="251"/>
    <n v="111"/>
    <n v="82"/>
    <n v="27.86"/>
    <n v="20.58"/>
    <n v="7.28"/>
    <n v="7.27"/>
    <n v="43"/>
    <s v="High"/>
    <s v="High Demand"/>
    <s v="Increase Stock"/>
    <s v="Delhi"/>
  </r>
  <r>
    <x v="0"/>
    <x v="0"/>
    <s v="Organic Oils"/>
    <s v="Coconut Oil"/>
    <n v="228"/>
    <n v="275"/>
    <n v="265"/>
    <n v="62.7"/>
    <n v="60.42"/>
    <n v="2.2799999999999998"/>
    <n v="9.51"/>
    <n v="158"/>
    <s v="Low"/>
    <s v="None"/>
    <s v="Maintain"/>
    <s v="Gujarat"/>
  </r>
  <r>
    <x v="0"/>
    <x v="2"/>
    <s v="Organic Superfoods"/>
    <s v="Amla Powder"/>
    <n v="222"/>
    <n v="55"/>
    <n v="44"/>
    <n v="12.21"/>
    <n v="9.77"/>
    <n v="2.44"/>
    <n v="18.79"/>
    <n v="245"/>
    <s v="Medium"/>
    <s v="None"/>
    <s v="Maintain"/>
    <s v="Delhi"/>
  </r>
  <r>
    <x v="2"/>
    <x v="7"/>
    <s v="Organic Spices"/>
    <s v="Black Pepper"/>
    <n v="134"/>
    <n v="304"/>
    <n v="264"/>
    <n v="40.74"/>
    <n v="35.380000000000003"/>
    <n v="5.36"/>
    <n v="21.69"/>
    <n v="213"/>
    <s v="Low"/>
    <s v="None"/>
    <s v="Maintain"/>
    <s v="Maharashtra"/>
  </r>
  <r>
    <x v="2"/>
    <x v="11"/>
    <s v="Organic Superfoods"/>
    <s v="Ashwagandha"/>
    <n v="295"/>
    <n v="56"/>
    <n v="36"/>
    <n v="16.52"/>
    <n v="10.62"/>
    <n v="5.9"/>
    <n v="-4"/>
    <n v="46"/>
    <s v="Low"/>
    <s v="None"/>
    <s v="Maintain"/>
    <s v="Delhi"/>
  </r>
  <r>
    <x v="1"/>
    <x v="6"/>
    <s v="Organic Grocery"/>
    <s v="Dals"/>
    <n v="100"/>
    <n v="79"/>
    <n v="50"/>
    <n v="7.9"/>
    <n v="5"/>
    <n v="2.9"/>
    <n v="14.8"/>
    <n v="179"/>
    <s v="Medium"/>
    <s v="High Demand"/>
    <s v="Increase Stock"/>
    <s v="Maharashtra"/>
  </r>
  <r>
    <x v="2"/>
    <x v="2"/>
    <s v="Organic Spices"/>
    <s v="Black Pepper"/>
    <n v="328"/>
    <n v="476"/>
    <n v="204"/>
    <n v="156.13"/>
    <n v="66.91"/>
    <n v="89.22"/>
    <n v="24.47"/>
    <n v="218"/>
    <s v="Medium"/>
    <s v="Supply Delay"/>
    <s v="Find Alternate Supplier"/>
    <s v="Tamil Nadu"/>
  </r>
  <r>
    <x v="2"/>
    <x v="11"/>
    <s v="Organic Grocery"/>
    <s v="Dals"/>
    <n v="264"/>
    <n v="215"/>
    <n v="85"/>
    <n v="56.76"/>
    <n v="22.44"/>
    <n v="34.32"/>
    <n v="13.7"/>
    <n v="237"/>
    <s v="Medium"/>
    <s v="Supply Delay"/>
    <s v="Find Alternate Supplier"/>
    <s v="Tamil Nadu"/>
  </r>
  <r>
    <x v="2"/>
    <x v="8"/>
    <s v="Organic Spices"/>
    <s v="Turmeric Powder"/>
    <n v="459"/>
    <n v="433"/>
    <n v="77"/>
    <n v="198.75"/>
    <n v="35.340000000000003"/>
    <n v="163.4"/>
    <n v="24.79"/>
    <n v="278"/>
    <s v="Low"/>
    <s v="High Demand"/>
    <s v="Increase Stock"/>
    <s v="Maharashtra"/>
  </r>
  <r>
    <x v="1"/>
    <x v="5"/>
    <s v="Organic Superfoods"/>
    <s v="Amla Powder"/>
    <n v="481"/>
    <n v="478"/>
    <n v="91"/>
    <n v="229.92"/>
    <n v="43.77"/>
    <n v="186.15"/>
    <n v="-4.8600000000000003"/>
    <n v="108"/>
    <s v="High"/>
    <s v="Supply Delay"/>
    <s v="Find Alternate Supplier"/>
    <s v="Rajasthan"/>
  </r>
  <r>
    <x v="1"/>
    <x v="6"/>
    <s v="Organic Oils"/>
    <s v="Sunflower Oil"/>
    <n v="133"/>
    <n v="103"/>
    <n v="30"/>
    <n v="13.7"/>
    <n v="3.99"/>
    <n v="9.7100000000000009"/>
    <n v="21.28"/>
    <n v="277"/>
    <s v="Low"/>
    <s v="Low Stock"/>
    <s v="Restock"/>
    <s v="Tamil Nadu"/>
  </r>
  <r>
    <x v="2"/>
    <x v="1"/>
    <s v="Organic Superfoods"/>
    <s v="Chia Seeds"/>
    <n v="245"/>
    <n v="422"/>
    <n v="229"/>
    <n v="103.39"/>
    <n v="56.1"/>
    <n v="47.29"/>
    <n v="-0.68"/>
    <n v="293"/>
    <s v="High"/>
    <s v="None"/>
    <s v="Maintain"/>
    <s v="Delhi"/>
  </r>
  <r>
    <x v="1"/>
    <x v="7"/>
    <s v="Organic Grocery"/>
    <s v="Rice"/>
    <n v="140"/>
    <n v="316"/>
    <n v="94"/>
    <n v="44.24"/>
    <n v="13.16"/>
    <n v="31.08"/>
    <n v="11.23"/>
    <n v="52"/>
    <s v="High"/>
    <s v="None"/>
    <s v="Maintain"/>
    <s v="Rajasthan"/>
  </r>
  <r>
    <x v="0"/>
    <x v="11"/>
    <s v="Organic Oils"/>
    <s v="Coconut Oil"/>
    <n v="221"/>
    <n v="200"/>
    <n v="187"/>
    <n v="44.2"/>
    <n v="41.33"/>
    <n v="2.87"/>
    <n v="-7.91"/>
    <n v="273"/>
    <s v="Low"/>
    <s v="None"/>
    <s v="Maintain"/>
    <s v="Rajasthan"/>
  </r>
  <r>
    <x v="1"/>
    <x v="11"/>
    <s v="Organic Dairy"/>
    <s v="Paneer"/>
    <n v="327"/>
    <n v="401"/>
    <n v="265"/>
    <n v="131.13"/>
    <n v="86.66"/>
    <n v="44.47"/>
    <n v="-4.93"/>
    <n v="220"/>
    <s v="Low"/>
    <s v="High Demand"/>
    <s v="Increase Stock"/>
    <s v="Delhi"/>
  </r>
  <r>
    <x v="0"/>
    <x v="5"/>
    <s v="Organic Superfoods"/>
    <s v="Amla Powder"/>
    <n v="287"/>
    <n v="204"/>
    <n v="167"/>
    <n v="58.55"/>
    <n v="47.93"/>
    <n v="10.62"/>
    <n v="19.27"/>
    <n v="293"/>
    <s v="Medium"/>
    <s v="None"/>
    <s v="Maintain"/>
    <s v="Karnataka"/>
  </r>
  <r>
    <x v="2"/>
    <x v="11"/>
    <s v="Organic Spices"/>
    <s v="Red Chilli Powder"/>
    <n v="341"/>
    <n v="344"/>
    <n v="311"/>
    <n v="117.3"/>
    <n v="106.05"/>
    <n v="11.25"/>
    <n v="13.91"/>
    <n v="206"/>
    <s v="High"/>
    <s v="Supply Delay"/>
    <s v="Find Alternate Supplier"/>
    <s v="Gujarat"/>
  </r>
  <r>
    <x v="0"/>
    <x v="5"/>
    <s v="Organic Grocery"/>
    <s v="Rice"/>
    <n v="230"/>
    <n v="261"/>
    <n v="80"/>
    <n v="60.03"/>
    <n v="18.399999999999999"/>
    <n v="41.63"/>
    <n v="10.09"/>
    <n v="80"/>
    <s v="High"/>
    <s v="High Demand"/>
    <s v="Increase Stock"/>
    <s v="Maharashtra"/>
  </r>
  <r>
    <x v="1"/>
    <x v="10"/>
    <s v="Organic Spices"/>
    <s v="Red Chilli Powder"/>
    <n v="187"/>
    <n v="450"/>
    <n v="50"/>
    <n v="84.15"/>
    <n v="9.35"/>
    <n v="74.8"/>
    <n v="-1.81"/>
    <n v="115"/>
    <s v="Low"/>
    <s v="Low Stock"/>
    <s v="Restock"/>
    <s v="Maharashtra"/>
  </r>
  <r>
    <x v="1"/>
    <x v="4"/>
    <s v="Organic Oils"/>
    <s v="Groundnut Oil"/>
    <n v="424"/>
    <n v="410"/>
    <n v="318"/>
    <n v="173.84"/>
    <n v="134.83000000000001"/>
    <n v="39.01"/>
    <n v="15.02"/>
    <n v="81"/>
    <s v="Medium"/>
    <s v="Low Stock"/>
    <s v="Restock"/>
    <s v="Maharashtra"/>
  </r>
  <r>
    <x v="1"/>
    <x v="6"/>
    <s v="Organic Oils"/>
    <s v="Sunflower Oil"/>
    <n v="450"/>
    <n v="423"/>
    <n v="364"/>
    <n v="190.35"/>
    <n v="163.80000000000001"/>
    <n v="26.55"/>
    <n v="21.32"/>
    <n v="263"/>
    <s v="Medium"/>
    <s v="None"/>
    <s v="Maintain"/>
    <s v="Tamil Nadu"/>
  </r>
  <r>
    <x v="2"/>
    <x v="10"/>
    <s v="Organic Grocery"/>
    <s v="Pulses"/>
    <n v="79"/>
    <n v="406"/>
    <n v="288"/>
    <n v="32.07"/>
    <n v="22.75"/>
    <n v="9.32"/>
    <n v="10.55"/>
    <n v="107"/>
    <s v="Low"/>
    <s v="None"/>
    <s v="Maintain"/>
    <s v="Rajasthan"/>
  </r>
  <r>
    <x v="2"/>
    <x v="7"/>
    <s v="Organic Oils"/>
    <s v="Coconut Oil"/>
    <n v="107"/>
    <n v="454"/>
    <n v="160"/>
    <n v="48.58"/>
    <n v="17.12"/>
    <n v="31.46"/>
    <n v="7.91"/>
    <n v="109"/>
    <s v="High"/>
    <s v="Low Stock"/>
    <s v="Restock"/>
    <s v="Karnataka"/>
  </r>
  <r>
    <x v="2"/>
    <x v="11"/>
    <s v="Organic Grocery"/>
    <s v="Pulses"/>
    <n v="107"/>
    <n v="450"/>
    <n v="157"/>
    <n v="48.15"/>
    <n v="16.8"/>
    <n v="31.35"/>
    <n v="24.01"/>
    <n v="138"/>
    <s v="Medium"/>
    <s v="None"/>
    <s v="Maintain"/>
    <s v="Rajasthan"/>
  </r>
  <r>
    <x v="2"/>
    <x v="1"/>
    <s v="Organic Grocery"/>
    <s v="Pulses"/>
    <n v="292"/>
    <n v="474"/>
    <n v="360"/>
    <n v="138.41"/>
    <n v="105.12"/>
    <n v="33.29"/>
    <n v="-4.22"/>
    <n v="144"/>
    <s v="High"/>
    <s v="None"/>
    <s v="Maintain"/>
    <s v="Tamil Nadu"/>
  </r>
  <r>
    <x v="2"/>
    <x v="2"/>
    <s v="Organic Grocery"/>
    <s v="Rice"/>
    <n v="332"/>
    <n v="284"/>
    <n v="141"/>
    <n v="94.29"/>
    <n v="46.81"/>
    <n v="47.48"/>
    <n v="-6.52"/>
    <n v="45"/>
    <s v="High"/>
    <s v="High Demand"/>
    <s v="Increase Stock"/>
    <s v="Maharashtra"/>
  </r>
  <r>
    <x v="0"/>
    <x v="1"/>
    <s v="Organic Grocery"/>
    <s v="Pulses"/>
    <n v="325"/>
    <n v="417"/>
    <n v="59"/>
    <n v="135.53"/>
    <n v="19.18"/>
    <n v="116.35"/>
    <n v="22.36"/>
    <n v="199"/>
    <s v="High"/>
    <s v="Low Stock"/>
    <s v="Restock"/>
    <s v="Rajasthan"/>
  </r>
  <r>
    <x v="1"/>
    <x v="2"/>
    <s v="Organic Superfoods"/>
    <s v="Amla Powder"/>
    <n v="286"/>
    <n v="271"/>
    <n v="152"/>
    <n v="77.510000000000005"/>
    <n v="43.47"/>
    <n v="34.03"/>
    <n v="9.33"/>
    <n v="25"/>
    <s v="Medium"/>
    <s v="Supply Delay"/>
    <s v="Find Alternate Supplier"/>
    <s v="Rajasthan"/>
  </r>
  <r>
    <x v="2"/>
    <x v="10"/>
    <s v="Organic Grocery"/>
    <s v="Dals"/>
    <n v="403"/>
    <n v="353"/>
    <n v="306"/>
    <n v="142.26"/>
    <n v="123.32"/>
    <n v="18.940000000000001"/>
    <n v="14.91"/>
    <n v="127"/>
    <s v="High"/>
    <s v="None"/>
    <s v="Maintain"/>
    <s v="Tamil Nadu"/>
  </r>
  <r>
    <x v="1"/>
    <x v="6"/>
    <s v="Organic Spices"/>
    <s v="Turmeric Powder"/>
    <n v="306"/>
    <n v="183"/>
    <n v="69"/>
    <n v="56"/>
    <n v="21.11"/>
    <n v="34.880000000000003"/>
    <n v="-2.68"/>
    <n v="226"/>
    <s v="Low"/>
    <s v="Supply Delay"/>
    <s v="Find Alternate Supplier"/>
    <s v="Karnataka"/>
  </r>
  <r>
    <x v="2"/>
    <x v="4"/>
    <s v="Organic Spices"/>
    <s v="Turmeric Powder"/>
    <n v="340"/>
    <n v="171"/>
    <n v="49"/>
    <n v="58.14"/>
    <n v="16.66"/>
    <n v="41.48"/>
    <n v="19.899999999999999"/>
    <n v="44"/>
    <s v="Medium"/>
    <s v="Supply Delay"/>
    <s v="Find Alternate Supplier"/>
    <s v="Rajasthan"/>
  </r>
  <r>
    <x v="2"/>
    <x v="2"/>
    <s v="Organic Spices"/>
    <s v="Red Chilli Powder"/>
    <n v="328"/>
    <n v="215"/>
    <n v="180"/>
    <n v="70.52"/>
    <n v="59.04"/>
    <n v="11.48"/>
    <n v="2.0499999999999998"/>
    <n v="212"/>
    <s v="Low"/>
    <s v="None"/>
    <s v="Maintain"/>
    <s v="Maharashtra"/>
  </r>
  <r>
    <x v="1"/>
    <x v="5"/>
    <s v="Organic Spices"/>
    <s v="Black Pepper"/>
    <n v="241"/>
    <n v="353"/>
    <n v="274"/>
    <n v="85.07"/>
    <n v="66.03"/>
    <n v="19.04"/>
    <n v="15.34"/>
    <n v="299"/>
    <s v="Medium"/>
    <s v="High Demand"/>
    <s v="Increase Stock"/>
    <s v="Tamil Nadu"/>
  </r>
  <r>
    <x v="1"/>
    <x v="2"/>
    <s v="Organic Dairy"/>
    <s v="Milk"/>
    <n v="257"/>
    <n v="206"/>
    <n v="146"/>
    <n v="52.94"/>
    <n v="37.520000000000003"/>
    <n v="15.42"/>
    <n v="17.77"/>
    <n v="234"/>
    <s v="Low"/>
    <s v="None"/>
    <s v="Maintain"/>
    <s v="Gujarat"/>
  </r>
  <r>
    <x v="1"/>
    <x v="11"/>
    <s v="Organic Dairy"/>
    <s v="Curd"/>
    <n v="337"/>
    <n v="317"/>
    <n v="273"/>
    <n v="106.83"/>
    <n v="92"/>
    <n v="14.83"/>
    <n v="17.47"/>
    <n v="189"/>
    <s v="Medium"/>
    <s v="High Demand"/>
    <s v="Increase Stock"/>
    <s v="Rajasthan"/>
  </r>
  <r>
    <x v="1"/>
    <x v="11"/>
    <s v="Organic Superfoods"/>
    <s v="Amla Powder"/>
    <n v="317"/>
    <n v="455"/>
    <n v="290"/>
    <n v="144.24"/>
    <n v="91.93"/>
    <n v="52.31"/>
    <n v="23.27"/>
    <n v="33"/>
    <s v="Medium"/>
    <s v="Low Stock"/>
    <s v="Restock"/>
    <s v="Karnataka"/>
  </r>
  <r>
    <x v="0"/>
    <x v="10"/>
    <s v="Organic Dairy"/>
    <s v="Milk"/>
    <n v="473"/>
    <n v="312"/>
    <n v="99"/>
    <n v="147.58000000000001"/>
    <n v="46.83"/>
    <n v="100.75"/>
    <n v="10.15"/>
    <n v="204"/>
    <s v="Low"/>
    <s v="High Demand"/>
    <s v="Increase Stock"/>
    <s v="Tamil Nadu"/>
  </r>
  <r>
    <x v="0"/>
    <x v="8"/>
    <s v="Organic Dairy"/>
    <s v="Milk"/>
    <n v="392"/>
    <n v="215"/>
    <n v="179"/>
    <n v="84.28"/>
    <n v="70.17"/>
    <n v="14.11"/>
    <n v="15.74"/>
    <n v="102"/>
    <s v="High"/>
    <s v="None"/>
    <s v="Maintain"/>
    <s v="Delhi"/>
  </r>
  <r>
    <x v="0"/>
    <x v="2"/>
    <s v="Organic Dairy"/>
    <s v="Milk"/>
    <n v="381"/>
    <n v="140"/>
    <n v="49"/>
    <n v="53.34"/>
    <n v="18.670000000000002"/>
    <n v="34.67"/>
    <n v="16.88"/>
    <n v="158"/>
    <s v="Low"/>
    <s v="High Demand"/>
    <s v="Increase Stock"/>
    <s v="Maharashtra"/>
  </r>
  <r>
    <x v="1"/>
    <x v="9"/>
    <s v="Organic Dairy"/>
    <s v="Milk"/>
    <n v="475"/>
    <n v="276"/>
    <n v="116"/>
    <n v="131.1"/>
    <n v="55.1"/>
    <n v="76"/>
    <n v="7.31"/>
    <n v="163"/>
    <s v="High"/>
    <s v="None"/>
    <s v="Maintain"/>
    <s v="Maharashtra"/>
  </r>
  <r>
    <x v="0"/>
    <x v="3"/>
    <s v="Organic Superfoods"/>
    <s v="Ashwagandha"/>
    <n v="325"/>
    <n v="491"/>
    <n v="446"/>
    <n v="159.57"/>
    <n v="144.94999999999999"/>
    <n v="14.62"/>
    <n v="5.1100000000000003"/>
    <n v="50"/>
    <s v="Medium"/>
    <s v="Supply Delay"/>
    <s v="Find Alternate Supplier"/>
    <s v="Gujarat"/>
  </r>
  <r>
    <x v="0"/>
    <x v="11"/>
    <s v="Organic Oils"/>
    <s v="Coconut Oil"/>
    <n v="61"/>
    <n v="151"/>
    <n v="69"/>
    <n v="9.2100000000000009"/>
    <n v="4.21"/>
    <n v="5"/>
    <n v="-7.01"/>
    <n v="286"/>
    <s v="Low"/>
    <s v="Low Stock"/>
    <s v="Restock"/>
    <s v="Tamil Nadu"/>
  </r>
  <r>
    <x v="0"/>
    <x v="1"/>
    <s v="Organic Spices"/>
    <s v="Black Pepper"/>
    <n v="331"/>
    <n v="456"/>
    <n v="237"/>
    <n v="150.94"/>
    <n v="78.45"/>
    <n v="72.489999999999995"/>
    <n v="11.65"/>
    <n v="88"/>
    <s v="High"/>
    <s v="None"/>
    <s v="Maintain"/>
    <s v="Karnataka"/>
  </r>
  <r>
    <x v="2"/>
    <x v="0"/>
    <s v="Organic Grocery"/>
    <s v="Pulses"/>
    <n v="417"/>
    <n v="215"/>
    <n v="187"/>
    <n v="89.66"/>
    <n v="77.98"/>
    <n v="11.68"/>
    <n v="4.74"/>
    <n v="96"/>
    <s v="High"/>
    <s v="None"/>
    <s v="Maintain"/>
    <s v="Gujarat"/>
  </r>
  <r>
    <x v="0"/>
    <x v="3"/>
    <s v="Organic Dairy"/>
    <s v="Curd"/>
    <n v="83"/>
    <n v="396"/>
    <n v="203"/>
    <n v="32.869999999999997"/>
    <n v="16.850000000000001"/>
    <n v="16.02"/>
    <n v="-0.23"/>
    <n v="101"/>
    <s v="High"/>
    <s v="Supply Delay"/>
    <s v="Find Alternate Supplier"/>
    <s v="Delhi"/>
  </r>
  <r>
    <x v="2"/>
    <x v="4"/>
    <s v="Organic Dairy"/>
    <s v="Paneer"/>
    <n v="358"/>
    <n v="278"/>
    <n v="132"/>
    <n v="99.52"/>
    <n v="47.26"/>
    <n v="52.27"/>
    <n v="0.6"/>
    <n v="186"/>
    <s v="High"/>
    <s v="High Demand"/>
    <s v="Increase Stock"/>
    <s v="Maharashtra"/>
  </r>
  <r>
    <x v="1"/>
    <x v="0"/>
    <s v="Organic Superfoods"/>
    <s v="Amla Powder"/>
    <n v="483"/>
    <n v="371"/>
    <n v="204"/>
    <n v="179.19"/>
    <n v="98.53"/>
    <n v="80.66"/>
    <n v="7.0000000000000007E-2"/>
    <n v="32"/>
    <s v="Low"/>
    <s v="High Demand"/>
    <s v="Increase Stock"/>
    <s v="Tamil Nadu"/>
  </r>
  <r>
    <x v="2"/>
    <x v="2"/>
    <s v="Organic Grocery"/>
    <s v="Rice"/>
    <n v="130"/>
    <n v="452"/>
    <n v="220"/>
    <n v="58.76"/>
    <n v="28.6"/>
    <n v="30.16"/>
    <n v="12.97"/>
    <n v="213"/>
    <s v="Medium"/>
    <s v="High Demand"/>
    <s v="Increase Stock"/>
    <s v="Maharashtra"/>
  </r>
  <r>
    <x v="1"/>
    <x v="9"/>
    <s v="Organic Oils"/>
    <s v="Sunflower Oil"/>
    <n v="444"/>
    <n v="153"/>
    <n v="114"/>
    <n v="67.930000000000007"/>
    <n v="50.62"/>
    <n v="17.32"/>
    <n v="5.4"/>
    <n v="280"/>
    <s v="Low"/>
    <s v="High Demand"/>
    <s v="Increase Stock"/>
    <s v="Tamil Nadu"/>
  </r>
  <r>
    <x v="2"/>
    <x v="10"/>
    <s v="Organic Spices"/>
    <s v="Black Pepper"/>
    <n v="251"/>
    <n v="169"/>
    <n v="47"/>
    <n v="42.42"/>
    <n v="11.8"/>
    <n v="30.62"/>
    <n v="-9.09"/>
    <n v="150"/>
    <s v="High"/>
    <s v="Supply Delay"/>
    <s v="Find Alternate Supplier"/>
    <s v="Delhi"/>
  </r>
  <r>
    <x v="0"/>
    <x v="4"/>
    <s v="Organic Oils"/>
    <s v="Coconut Oil"/>
    <n v="413"/>
    <n v="390"/>
    <n v="221"/>
    <n v="161.07"/>
    <n v="91.27"/>
    <n v="69.8"/>
    <n v="-8.76"/>
    <n v="117"/>
    <s v="Low"/>
    <s v="Supply Delay"/>
    <s v="Find Alternate Supplier"/>
    <s v="Rajasthan"/>
  </r>
  <r>
    <x v="2"/>
    <x v="3"/>
    <s v="Organic Spices"/>
    <s v="Turmeric Powder"/>
    <n v="403"/>
    <n v="109"/>
    <n v="80"/>
    <n v="43.93"/>
    <n v="32.24"/>
    <n v="11.69"/>
    <n v="11.38"/>
    <n v="295"/>
    <s v="High"/>
    <s v="Low Stock"/>
    <s v="Restock"/>
    <s v="Tamil Nadu"/>
  </r>
  <r>
    <x v="2"/>
    <x v="5"/>
    <s v="Organic Oils"/>
    <s v="Coconut Oil"/>
    <n v="484"/>
    <n v="362"/>
    <n v="39"/>
    <n v="175.21"/>
    <n v="18.88"/>
    <n v="156.33000000000001"/>
    <n v="16.11"/>
    <n v="79"/>
    <s v="Low"/>
    <s v="Low Stock"/>
    <s v="Restock"/>
    <s v="Karnataka"/>
  </r>
  <r>
    <x v="1"/>
    <x v="8"/>
    <s v="Organic Dairy"/>
    <s v="Milk"/>
    <n v="79"/>
    <n v="270"/>
    <n v="138"/>
    <n v="21.33"/>
    <n v="10.9"/>
    <n v="10.43"/>
    <n v="13.71"/>
    <n v="96"/>
    <s v="High"/>
    <s v="High Demand"/>
    <s v="Increase Stock"/>
    <s v="Delhi"/>
  </r>
  <r>
    <x v="0"/>
    <x v="4"/>
    <s v="Organic Spices"/>
    <s v="Black Pepper"/>
    <n v="304"/>
    <n v="206"/>
    <n v="177"/>
    <n v="62.62"/>
    <n v="53.81"/>
    <n v="8.82"/>
    <n v="15.33"/>
    <n v="136"/>
    <s v="Low"/>
    <s v="None"/>
    <s v="Maintain"/>
    <s v="Tamil Nadu"/>
  </r>
  <r>
    <x v="1"/>
    <x v="11"/>
    <s v="Organic Spices"/>
    <s v="Black Pepper"/>
    <n v="288"/>
    <n v="472"/>
    <n v="291"/>
    <n v="135.94"/>
    <n v="83.81"/>
    <n v="52.13"/>
    <n v="-2.93"/>
    <n v="56"/>
    <s v="Low"/>
    <s v="High Demand"/>
    <s v="Increase Stock"/>
    <s v="Tamil Nadu"/>
  </r>
  <r>
    <x v="0"/>
    <x v="8"/>
    <s v="Organic Dairy"/>
    <s v="Curd"/>
    <n v="449"/>
    <n v="276"/>
    <n v="157"/>
    <n v="123.92"/>
    <n v="70.489999999999995"/>
    <n v="53.43"/>
    <n v="17.09"/>
    <n v="275"/>
    <s v="Medium"/>
    <s v="Low Stock"/>
    <s v="Restock"/>
    <s v="Delhi"/>
  </r>
  <r>
    <x v="2"/>
    <x v="3"/>
    <s v="Organic Spices"/>
    <s v="Red Chilli Powder"/>
    <n v="225"/>
    <n v="227"/>
    <n v="198"/>
    <n v="51.08"/>
    <n v="44.55"/>
    <n v="6.53"/>
    <n v="23.44"/>
    <n v="31"/>
    <s v="Medium"/>
    <s v="Low Stock"/>
    <s v="Restock"/>
    <s v="Gujarat"/>
  </r>
  <r>
    <x v="1"/>
    <x v="1"/>
    <s v="Organic Grocery"/>
    <s v="Rice"/>
    <n v="255"/>
    <n v="332"/>
    <n v="126"/>
    <n v="84.66"/>
    <n v="32.130000000000003"/>
    <n v="52.53"/>
    <n v="12.14"/>
    <n v="142"/>
    <s v="High"/>
    <s v="High Demand"/>
    <s v="Increase Stock"/>
    <s v="Delhi"/>
  </r>
  <r>
    <x v="1"/>
    <x v="5"/>
    <s v="Organic Grocery"/>
    <s v="Wheat Flour"/>
    <n v="118"/>
    <n v="151"/>
    <n v="117"/>
    <n v="17.82"/>
    <n v="13.81"/>
    <n v="4.01"/>
    <n v="12.09"/>
    <n v="120"/>
    <s v="High"/>
    <s v="Low Stock"/>
    <s v="Restock"/>
    <s v="Tamil Nadu"/>
  </r>
  <r>
    <x v="0"/>
    <x v="5"/>
    <s v="Organic Spices"/>
    <s v="Turmeric Powder"/>
    <n v="461"/>
    <n v="155"/>
    <n v="42"/>
    <n v="71.45"/>
    <n v="19.36"/>
    <n v="52.09"/>
    <n v="8.34"/>
    <n v="56"/>
    <s v="High"/>
    <s v="High Demand"/>
    <s v="Increase Stock"/>
    <s v="Rajasthan"/>
  </r>
  <r>
    <x v="2"/>
    <x v="9"/>
    <s v="Organic Dairy"/>
    <s v="Milk"/>
    <n v="392"/>
    <n v="493"/>
    <n v="142"/>
    <n v="193.26"/>
    <n v="55.66"/>
    <n v="137.59"/>
    <n v="-6.6"/>
    <n v="232"/>
    <s v="Low"/>
    <s v="Low Stock"/>
    <s v="Restock"/>
    <s v="Maharashtra"/>
  </r>
  <r>
    <x v="0"/>
    <x v="10"/>
    <s v="Organic Superfoods"/>
    <s v="Ashwagandha"/>
    <n v="226"/>
    <n v="218"/>
    <n v="128"/>
    <n v="49.27"/>
    <n v="28.93"/>
    <n v="20.34"/>
    <n v="20.440000000000001"/>
    <n v="36"/>
    <s v="Low"/>
    <s v="Low Stock"/>
    <s v="Restock"/>
    <s v="Gujarat"/>
  </r>
  <r>
    <x v="2"/>
    <x v="0"/>
    <s v="Organic Superfoods"/>
    <s v="Amla Powder"/>
    <n v="230"/>
    <n v="229"/>
    <n v="113"/>
    <n v="52.67"/>
    <n v="25.99"/>
    <n v="26.68"/>
    <n v="-9.5500000000000007"/>
    <n v="251"/>
    <s v="High"/>
    <s v="Low Stock"/>
    <s v="Restock"/>
    <s v="Tamil Nadu"/>
  </r>
  <r>
    <x v="2"/>
    <x v="6"/>
    <s v="Organic Spices"/>
    <s v="Turmeric Powder"/>
    <n v="57"/>
    <n v="285"/>
    <n v="49"/>
    <n v="16.25"/>
    <n v="2.79"/>
    <n v="13.45"/>
    <n v="-5.73"/>
    <n v="161"/>
    <s v="Low"/>
    <s v="Low Stock"/>
    <s v="Restock"/>
    <s v="Maharashtra"/>
  </r>
  <r>
    <x v="0"/>
    <x v="7"/>
    <s v="Organic Grocery"/>
    <s v="Pulses"/>
    <n v="119"/>
    <n v="398"/>
    <n v="201"/>
    <n v="47.36"/>
    <n v="23.92"/>
    <n v="23.44"/>
    <n v="14.25"/>
    <n v="39"/>
    <s v="Low"/>
    <s v="High Demand"/>
    <s v="Increase Stock"/>
    <s v="Gujarat"/>
  </r>
  <r>
    <x v="0"/>
    <x v="8"/>
    <s v="Organic Superfoods"/>
    <s v="Ashwagandha"/>
    <n v="323"/>
    <n v="64"/>
    <n v="43"/>
    <n v="20.67"/>
    <n v="13.89"/>
    <n v="6.78"/>
    <n v="7.01"/>
    <n v="278"/>
    <s v="Medium"/>
    <s v="High Demand"/>
    <s v="Increase Stock"/>
    <s v="Karnataka"/>
  </r>
  <r>
    <x v="0"/>
    <x v="4"/>
    <s v="Organic Spices"/>
    <s v="Turmeric Powder"/>
    <n v="466"/>
    <n v="119"/>
    <n v="83"/>
    <n v="55.45"/>
    <n v="38.68"/>
    <n v="16.78"/>
    <n v="10.26"/>
    <n v="230"/>
    <s v="Low"/>
    <s v="Low Stock"/>
    <s v="Restock"/>
    <s v="Rajasthan"/>
  </r>
  <r>
    <x v="1"/>
    <x v="2"/>
    <s v="Organic Superfoods"/>
    <s v="Chia Seeds"/>
    <n v="211"/>
    <n v="208"/>
    <n v="88"/>
    <n v="43.89"/>
    <n v="18.57"/>
    <n v="25.32"/>
    <n v="11.57"/>
    <n v="292"/>
    <s v="High"/>
    <s v="None"/>
    <s v="Maintain"/>
    <s v="Rajasthan"/>
  </r>
  <r>
    <x v="1"/>
    <x v="10"/>
    <s v="Organic Dairy"/>
    <s v="Paneer"/>
    <n v="328"/>
    <n v="365"/>
    <n v="102"/>
    <n v="119.72"/>
    <n v="33.46"/>
    <n v="86.26"/>
    <n v="-1.54"/>
    <n v="277"/>
    <s v="Low"/>
    <s v="Supply Delay"/>
    <s v="Find Alternate Supplier"/>
    <s v="Karnataka"/>
  </r>
  <r>
    <x v="1"/>
    <x v="3"/>
    <s v="Organic Spices"/>
    <s v="Turmeric Powder"/>
    <n v="275"/>
    <n v="344"/>
    <n v="312"/>
    <n v="94.6"/>
    <n v="85.8"/>
    <n v="8.8000000000000007"/>
    <n v="-4.16"/>
    <n v="294"/>
    <s v="High"/>
    <s v="Supply Delay"/>
    <s v="Find Alternate Supplier"/>
    <s v="Karnataka"/>
  </r>
  <r>
    <x v="1"/>
    <x v="3"/>
    <s v="Organic Superfoods"/>
    <s v="Ashwagandha"/>
    <n v="448"/>
    <n v="216"/>
    <n v="59"/>
    <n v="96.77"/>
    <n v="26.43"/>
    <n v="70.34"/>
    <n v="-0.32"/>
    <n v="47"/>
    <s v="Medium"/>
    <s v="None"/>
    <s v="Maintain"/>
    <s v="Karnataka"/>
  </r>
  <r>
    <x v="0"/>
    <x v="2"/>
    <s v="Organic Superfoods"/>
    <s v="Amla Powder"/>
    <n v="65"/>
    <n v="295"/>
    <n v="117"/>
    <n v="19.18"/>
    <n v="7.61"/>
    <n v="11.57"/>
    <n v="3.6"/>
    <n v="204"/>
    <s v="Medium"/>
    <s v="Supply Delay"/>
    <s v="Find Alternate Supplier"/>
    <s v="Tamil Nadu"/>
  </r>
  <r>
    <x v="2"/>
    <x v="1"/>
    <s v="Organic Grocery"/>
    <s v="Rice"/>
    <n v="52"/>
    <n v="106"/>
    <n v="63"/>
    <n v="5.51"/>
    <n v="3.28"/>
    <n v="2.2400000000000002"/>
    <n v="2.68"/>
    <n v="202"/>
    <s v="Medium"/>
    <s v="High Demand"/>
    <s v="Increase Stock"/>
    <s v="Maharashtra"/>
  </r>
  <r>
    <x v="1"/>
    <x v="0"/>
    <s v="Organic Oils"/>
    <s v="Coconut Oil"/>
    <n v="272"/>
    <n v="283"/>
    <n v="224"/>
    <n v="76.98"/>
    <n v="60.93"/>
    <n v="16.05"/>
    <n v="-8.94"/>
    <n v="175"/>
    <s v="High"/>
    <s v="High Demand"/>
    <s v="Increase Stock"/>
    <s v="Karnataka"/>
  </r>
  <r>
    <x v="1"/>
    <x v="0"/>
    <s v="Organic Oils"/>
    <s v="Sunflower Oil"/>
    <n v="55"/>
    <n v="264"/>
    <n v="143"/>
    <n v="14.52"/>
    <n v="7.87"/>
    <n v="6.65"/>
    <n v="-9.85"/>
    <n v="151"/>
    <s v="Medium"/>
    <s v="None"/>
    <s v="Maintain"/>
    <s v="Tamil Nadu"/>
  </r>
  <r>
    <x v="0"/>
    <x v="5"/>
    <s v="Organic Oils"/>
    <s v="Coconut Oil"/>
    <n v="198"/>
    <n v="286"/>
    <n v="159"/>
    <n v="56.63"/>
    <n v="31.48"/>
    <n v="25.15"/>
    <n v="-0.87"/>
    <n v="180"/>
    <s v="High"/>
    <s v="Supply Delay"/>
    <s v="Find Alternate Supplier"/>
    <s v="Gujarat"/>
  </r>
  <r>
    <x v="1"/>
    <x v="11"/>
    <s v="Organic Grocery"/>
    <s v="Wheat Flour"/>
    <n v="96"/>
    <n v="128"/>
    <n v="82"/>
    <n v="12.29"/>
    <n v="7.87"/>
    <n v="4.42"/>
    <n v="24.95"/>
    <n v="47"/>
    <s v="Low"/>
    <s v="Low Stock"/>
    <s v="Restock"/>
    <s v="Gujarat"/>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13054.849999999997"/>
  </r>
  <r>
    <x v="1"/>
    <n v="16180.659999999994"/>
  </r>
  <r>
    <x v="2"/>
    <n v="15324.969999999998"/>
  </r>
  <r>
    <x v="3"/>
    <n v="14412.089999999993"/>
  </r>
  <r>
    <x v="4"/>
    <n v="14759.36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394245-5BD6-4720-AD12-092DB9187BB3}"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20" firstHeaderRow="1" firstDataRow="1" firstDataCol="0"/>
  <pivotFields count="2">
    <pivotField showAll="0"/>
    <pivotField numFmtId="165"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A0E5FD-1B47-4DEB-8B76-D04BDD2E4DED}" name="GROWTH TREND"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16" firstHeaderRow="1" firstDataRow="1" firstDataCol="1"/>
  <pivotFields count="16">
    <pivotField showAll="0">
      <items count="4">
        <item x="2"/>
        <item x="0"/>
        <item x="1"/>
        <item t="default"/>
      </items>
    </pivotField>
    <pivotField axis="axisRow" showAll="0">
      <items count="13">
        <item x="0"/>
        <item x="10"/>
        <item x="4"/>
        <item x="9"/>
        <item x="7"/>
        <item x="2"/>
        <item x="1"/>
        <item x="6"/>
        <item x="3"/>
        <item x="5"/>
        <item x="8"/>
        <item x="1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Sum of Growth %"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0BA478-A107-4516-A5BC-59C82D1795AB}" name="PivotTable4"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U3:V5" firstHeaderRow="1" firstDataRow="1" firstDataCol="1"/>
  <pivotFields count="2">
    <pivotField axis="axisRow" showAll="0">
      <items count="6">
        <item x="3"/>
        <item h="1" x="0"/>
        <item h="1" x="2"/>
        <item h="1" x="4"/>
        <item h="1" x="1"/>
        <item t="default"/>
      </items>
    </pivotField>
    <pivotField dataField="1" numFmtId="1" showAll="0"/>
  </pivotFields>
  <rowFields count="1">
    <field x="0"/>
  </rowFields>
  <rowItems count="2">
    <i>
      <x/>
    </i>
    <i t="grand">
      <x/>
    </i>
  </rowItems>
  <colItems count="1">
    <i/>
  </colItems>
  <dataFields count="1">
    <dataField name="Sum of 16737"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2B7C41-C994-4547-80CE-F5ED6353BC08}"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H26:AH31" firstHeaderRow="1" firstDataRow="1" firstDataCol="1"/>
  <pivotFields count="15">
    <pivotField showAll="0">
      <items count="4">
        <item x="2"/>
        <item x="0"/>
        <item x="1"/>
        <item t="default"/>
      </items>
    </pivotField>
    <pivotField showAll="0">
      <items count="13">
        <item h="1" x="0"/>
        <item h="1" x="10"/>
        <item h="1" x="4"/>
        <item h="1" x="9"/>
        <item h="1" x="7"/>
        <item h="1" x="2"/>
        <item h="1" x="1"/>
        <item h="1" x="6"/>
        <item h="1" x="3"/>
        <item x="5"/>
        <item h="1" x="8"/>
        <item h="1" x="11"/>
        <item t="default"/>
      </items>
    </pivotField>
    <pivotField showAll="0">
      <items count="6">
        <item x="3"/>
        <item x="1"/>
        <item x="2"/>
        <item x="0"/>
        <item x="4"/>
        <item t="default"/>
      </items>
    </pivotField>
    <pivotField showAll="0"/>
    <pivotField showAll="0"/>
    <pivotField showAll="0"/>
    <pivotField showAll="0"/>
    <pivotField showAll="0"/>
    <pivotField showAll="0"/>
    <pivotField showAll="0"/>
    <pivotField showAll="0"/>
    <pivotField showAll="0"/>
    <pivotField showAll="0"/>
    <pivotField axis="axisRow" showAll="0">
      <items count="5">
        <item x="0"/>
        <item x="2"/>
        <item x="3"/>
        <item x="1"/>
        <item t="default"/>
      </items>
    </pivotField>
    <pivotField showAll="0"/>
  </pivotFields>
  <rowFields count="1">
    <field x="13"/>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689FB3-5303-4FEA-8614-80A4F6E03540}" name="REVENU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7">
  <location ref="AM2:AN15" firstHeaderRow="1" firstDataRow="1" firstDataCol="1"/>
  <pivotFields count="15">
    <pivotField showAll="0">
      <items count="4">
        <item x="2"/>
        <item x="0"/>
        <item x="1"/>
        <item t="default"/>
      </items>
    </pivotField>
    <pivotField axis="axisRow" showAll="0">
      <items count="13">
        <item x="0"/>
        <item x="10"/>
        <item x="4"/>
        <item x="9"/>
        <item x="7"/>
        <item x="2"/>
        <item x="1"/>
        <item x="6"/>
        <item x="3"/>
        <item x="5"/>
        <item x="8"/>
        <item x="11"/>
        <item t="default"/>
      </items>
    </pivotField>
    <pivotField showAll="0">
      <items count="6">
        <item x="3"/>
        <item x="1"/>
        <item x="2"/>
        <item x="0"/>
        <item x="4"/>
        <item t="default"/>
      </items>
    </pivotField>
    <pivotField showAll="0"/>
    <pivotField showAll="0"/>
    <pivotField showAll="0"/>
    <pivotField showAll="0"/>
    <pivotField dataField="1" showAll="0"/>
    <pivotField showAll="0"/>
    <pivotField showAll="0"/>
    <pivotField showAll="0"/>
    <pivotField showAll="0"/>
    <pivotField showAll="0"/>
    <pivotField showAll="0">
      <items count="5">
        <item x="0"/>
        <item x="2"/>
        <item x="3"/>
        <item x="1"/>
        <item t="default"/>
      </items>
    </pivotField>
    <pivotField showAll="0">
      <items count="5">
        <item x="1"/>
        <item x="0"/>
        <item x="3"/>
        <item x="2"/>
        <item t="default"/>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D97499-53AE-4D29-B3A0-7C36735A3EE6}"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A7" firstHeaderRow="1" firstDataRow="1" firstDataCol="1"/>
  <pivotFields count="15">
    <pivotField showAll="0">
      <items count="4">
        <item x="2"/>
        <item x="0"/>
        <item x="1"/>
        <item t="default"/>
      </items>
    </pivotField>
    <pivotField showAll="0">
      <items count="13">
        <item x="0"/>
        <item x="10"/>
        <item x="4"/>
        <item x="9"/>
        <item x="7"/>
        <item x="2"/>
        <item x="1"/>
        <item x="6"/>
        <item x="3"/>
        <item x="5"/>
        <item x="8"/>
        <item x="11"/>
        <item t="default"/>
      </items>
    </pivotField>
    <pivotField axis="axisRow" showAll="0">
      <items count="6">
        <item x="3"/>
        <item x="1"/>
        <item x="2"/>
        <item x="0"/>
        <item x="4"/>
        <item t="default"/>
      </items>
    </pivotField>
    <pivotField showAll="0"/>
    <pivotField showAll="0"/>
    <pivotField showAll="0"/>
    <pivotField showAll="0"/>
    <pivotField showAll="0"/>
    <pivotField showAll="0"/>
    <pivotField showAll="0"/>
    <pivotField showAll="0"/>
    <pivotField showAll="0"/>
    <pivotField showAll="0"/>
    <pivotField showAll="0">
      <items count="5">
        <item x="0"/>
        <item x="2"/>
        <item x="3"/>
        <item x="1"/>
        <item t="default"/>
      </items>
    </pivotField>
    <pivotField showAll="0">
      <items count="5">
        <item x="1"/>
        <item x="0"/>
        <item x="3"/>
        <item x="2"/>
        <item t="default"/>
      </items>
    </pivotField>
  </pivotFields>
  <rowFields count="1">
    <field x="2"/>
  </rowFields>
  <rowItems count="6">
    <i>
      <x/>
    </i>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1122628-486A-437E-A2B3-A7062C27E12E}"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H6:AH11" firstHeaderRow="1" firstDataRow="1" firstDataCol="1"/>
  <pivotFields count="15">
    <pivotField showAll="0"/>
    <pivotField showAll="0">
      <items count="13">
        <item x="0"/>
        <item x="10"/>
        <item x="4"/>
        <item x="9"/>
        <item x="7"/>
        <item x="2"/>
        <item x="1"/>
        <item x="6"/>
        <item x="3"/>
        <item x="5"/>
        <item x="8"/>
        <item x="11"/>
        <item t="default"/>
      </items>
    </pivotField>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axis="axisRow" showAll="0">
      <items count="5">
        <item x="0"/>
        <item x="2"/>
        <item x="3"/>
        <item x="1"/>
        <item t="default"/>
      </items>
    </pivotField>
    <pivotField showAll="0"/>
  </pivotFields>
  <rowFields count="1">
    <field x="13"/>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FD13547-D6F3-4B37-BB24-CBB1F894052B}"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D16:E18" firstHeaderRow="1" firstDataRow="1" firstDataCol="1"/>
  <pivotFields count="15">
    <pivotField showAll="0">
      <items count="4">
        <item x="2"/>
        <item x="0"/>
        <item x="1"/>
        <item t="default"/>
      </items>
    </pivotField>
    <pivotField axis="axisRow" showAll="0">
      <items count="13">
        <item h="1" x="0"/>
        <item h="1" x="10"/>
        <item h="1" x="4"/>
        <item h="1" x="9"/>
        <item h="1" x="7"/>
        <item h="1" x="2"/>
        <item h="1" x="1"/>
        <item h="1" x="6"/>
        <item h="1" x="3"/>
        <item x="5"/>
        <item h="1" x="8"/>
        <item h="1" x="11"/>
        <item t="default"/>
      </items>
    </pivotField>
    <pivotField showAll="0">
      <items count="6">
        <item x="3"/>
        <item x="1"/>
        <item x="2"/>
        <item x="0"/>
        <item x="4"/>
        <item t="default"/>
      </items>
    </pivotField>
    <pivotField showAll="0">
      <items count="18">
        <item x="6"/>
        <item x="5"/>
        <item x="14"/>
        <item x="7"/>
        <item x="2"/>
        <item x="9"/>
        <item x="1"/>
        <item x="8"/>
        <item x="15"/>
        <item x="12"/>
        <item x="4"/>
        <item x="11"/>
        <item x="3"/>
        <item x="16"/>
        <item x="10"/>
        <item x="0"/>
        <item x="13"/>
        <item t="default"/>
      </items>
    </pivotField>
    <pivotField showAll="0"/>
    <pivotField showAll="0"/>
    <pivotField showAll="0"/>
    <pivotField dataField="1" showAll="0"/>
    <pivotField showAll="0"/>
    <pivotField showAll="0"/>
    <pivotField showAll="0"/>
    <pivotField showAll="0"/>
    <pivotField showAll="0">
      <items count="4">
        <item x="1"/>
        <item x="2"/>
        <item x="0"/>
        <item t="default"/>
      </items>
    </pivotField>
    <pivotField showAll="0">
      <items count="5">
        <item x="0"/>
        <item x="2"/>
        <item x="3"/>
        <item x="1"/>
        <item t="default"/>
      </items>
    </pivotField>
    <pivotField showAll="0"/>
  </pivotFields>
  <rowFields count="1">
    <field x="1"/>
  </rowFields>
  <rowItems count="2">
    <i>
      <x v="9"/>
    </i>
    <i t="grand">
      <x/>
    </i>
  </rowItems>
  <colItems count="1">
    <i/>
  </colItems>
  <dataFields count="1">
    <dataField name="Sum of Revenu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F5575A0-DAE5-4B07-BA3B-6EDF07A84860}" name="growth trend"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D26:E39" firstHeaderRow="1" firstDataRow="1" firstDataCol="1"/>
  <pivotFields count="16">
    <pivotField showAll="0"/>
    <pivotField axis="axisRow" showAll="0">
      <items count="13">
        <item x="0"/>
        <item x="10"/>
        <item x="4"/>
        <item x="9"/>
        <item x="7"/>
        <item x="2"/>
        <item x="1"/>
        <item x="6"/>
        <item x="3"/>
        <item x="5"/>
        <item x="8"/>
        <item x="1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Sum of Growth %" fld="1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88C801B-8F35-4508-A6C3-7C54348697D4}"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F20:G33" firstHeaderRow="1" firstDataRow="1" firstDataCol="1"/>
  <pivotFields count="15">
    <pivotField showAll="0">
      <items count="4">
        <item x="2"/>
        <item x="0"/>
        <item x="1"/>
        <item t="default"/>
      </items>
    </pivotField>
    <pivotField axis="axisRow" showAll="0">
      <items count="13">
        <item x="0"/>
        <item x="10"/>
        <item x="4"/>
        <item x="9"/>
        <item x="7"/>
        <item x="2"/>
        <item x="1"/>
        <item x="6"/>
        <item x="3"/>
        <item x="5"/>
        <item x="8"/>
        <item x="11"/>
        <item t="default"/>
      </items>
    </pivotField>
    <pivotField showAll="0">
      <items count="6">
        <item x="3"/>
        <item x="1"/>
        <item x="2"/>
        <item x="0"/>
        <item x="4"/>
        <item t="default"/>
      </items>
    </pivotField>
    <pivotField showAll="0"/>
    <pivotField showAll="0"/>
    <pivotField showAll="0"/>
    <pivotField showAll="0"/>
    <pivotField dataField="1" showAll="0"/>
    <pivotField showAll="0"/>
    <pivotField showAll="0"/>
    <pivotField showAll="0"/>
    <pivotField showAll="0"/>
    <pivotField showAll="0"/>
    <pivotField showAll="0">
      <items count="5">
        <item x="0"/>
        <item x="2"/>
        <item x="3"/>
        <item x="1"/>
        <item t="default"/>
      </items>
    </pivotField>
    <pivotField showAll="0">
      <items count="5">
        <item x="1"/>
        <item x="0"/>
        <item x="3"/>
        <item x="2"/>
        <item t="default"/>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7" baseField="0" baseItem="0"/>
  </dataFields>
  <formats count="1">
    <format dxfId="4">
      <pivotArea collapsedLevelsAreSubtotals="1" fieldPosition="0">
        <references count="1">
          <reference field="1" count="0"/>
        </references>
      </pivotArea>
    </format>
  </formats>
  <chartFormats count="3">
    <chartFormat chart="7" format="3"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9C48BC4-9177-4739-B9C0-A37369747BBD}"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0">
  <location ref="AJ30:AK36" firstHeaderRow="1" firstDataRow="1" firstDataCol="1" rowPageCount="1" colPageCount="1"/>
  <pivotFields count="15">
    <pivotField showAll="0">
      <items count="4">
        <item x="2"/>
        <item x="0"/>
        <item x="1"/>
        <item t="default"/>
      </items>
    </pivotField>
    <pivotField showAll="0">
      <items count="13">
        <item x="0"/>
        <item x="10"/>
        <item x="4"/>
        <item x="9"/>
        <item x="7"/>
        <item x="2"/>
        <item x="1"/>
        <item x="6"/>
        <item x="3"/>
        <item x="5"/>
        <item x="8"/>
        <item x="11"/>
        <item t="default"/>
      </items>
    </pivotField>
    <pivotField showAll="0"/>
    <pivotField axis="axisRow" showAll="0" measureFilter="1" sortType="ascending">
      <items count="18">
        <item x="13"/>
        <item x="0"/>
        <item x="10"/>
        <item x="16"/>
        <item x="3"/>
        <item x="11"/>
        <item x="4"/>
        <item x="12"/>
        <item x="15"/>
        <item x="8"/>
        <item x="1"/>
        <item x="9"/>
        <item x="2"/>
        <item x="7"/>
        <item x="14"/>
        <item x="5"/>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Page" dataField="1" showAll="0" includeNewItemsInFilter="1" maxSubtotal="1">
      <items count="1138">
        <item x="1058"/>
        <item x="67"/>
        <item x="343"/>
        <item x="870"/>
        <item x="1014"/>
        <item x="372"/>
        <item x="1052"/>
        <item x="785"/>
        <item x="579"/>
        <item x="209"/>
        <item x="1035"/>
        <item x="1132"/>
        <item x="1030"/>
        <item x="755"/>
        <item x="700"/>
        <item x="77"/>
        <item x="503"/>
        <item x="564"/>
        <item x="1068"/>
        <item x="314"/>
        <item x="689"/>
        <item x="51"/>
        <item x="799"/>
        <item x="380"/>
        <item x="1101"/>
        <item x="398"/>
        <item x="194"/>
        <item x="417"/>
        <item x="328"/>
        <item x="536"/>
        <item x="832"/>
        <item x="603"/>
        <item x="271"/>
        <item x="704"/>
        <item x="5"/>
        <item x="850"/>
        <item x="926"/>
        <item x="754"/>
        <item x="489"/>
        <item x="885"/>
        <item x="115"/>
        <item x="556"/>
        <item x="834"/>
        <item x="766"/>
        <item x="745"/>
        <item x="1055"/>
        <item x="521"/>
        <item x="23"/>
        <item x="740"/>
        <item x="1065"/>
        <item x="1136"/>
        <item x="498"/>
        <item x="119"/>
        <item x="156"/>
        <item x="318"/>
        <item x="777"/>
        <item x="894"/>
        <item x="775"/>
        <item x="1038"/>
        <item x="41"/>
        <item x="313"/>
        <item x="1072"/>
        <item x="410"/>
        <item x="829"/>
        <item x="257"/>
        <item x="1134"/>
        <item x="393"/>
        <item x="111"/>
        <item x="591"/>
        <item x="322"/>
        <item x="653"/>
        <item x="597"/>
        <item x="731"/>
        <item x="592"/>
        <item x="0"/>
        <item x="574"/>
        <item x="1043"/>
        <item x="752"/>
        <item x="921"/>
        <item x="875"/>
        <item x="445"/>
        <item x="912"/>
        <item x="441"/>
        <item x="99"/>
        <item x="1123"/>
        <item x="720"/>
        <item x="780"/>
        <item x="819"/>
        <item x="152"/>
        <item x="486"/>
        <item x="1067"/>
        <item x="135"/>
        <item x="909"/>
        <item x="180"/>
        <item x="286"/>
        <item x="37"/>
        <item x="729"/>
        <item x="911"/>
        <item x="269"/>
        <item x="188"/>
        <item x="172"/>
        <item x="1119"/>
        <item x="168"/>
        <item x="553"/>
        <item x="800"/>
        <item x="657"/>
        <item x="447"/>
        <item x="636"/>
        <item x="1008"/>
        <item x="121"/>
        <item x="411"/>
        <item x="869"/>
        <item x="193"/>
        <item x="38"/>
        <item x="959"/>
        <item x="1041"/>
        <item x="1131"/>
        <item x="39"/>
        <item x="666"/>
        <item x="86"/>
        <item x="797"/>
        <item x="127"/>
        <item x="151"/>
        <item x="876"/>
        <item x="389"/>
        <item x="335"/>
        <item x="863"/>
        <item x="1125"/>
        <item x="680"/>
        <item x="1113"/>
        <item x="251"/>
        <item x="691"/>
        <item x="595"/>
        <item x="378"/>
        <item x="648"/>
        <item x="893"/>
        <item x="89"/>
        <item x="306"/>
        <item x="946"/>
        <item x="201"/>
        <item x="385"/>
        <item x="610"/>
        <item x="59"/>
        <item x="669"/>
        <item x="763"/>
        <item x="839"/>
        <item x="443"/>
        <item x="1007"/>
        <item x="794"/>
        <item x="360"/>
        <item x="339"/>
        <item x="578"/>
        <item x="562"/>
        <item x="213"/>
        <item x="1003"/>
        <item x="244"/>
        <item x="55"/>
        <item x="927"/>
        <item x="527"/>
        <item x="49"/>
        <item x="413"/>
        <item x="462"/>
        <item x="287"/>
        <item x="214"/>
        <item x="843"/>
        <item x="88"/>
        <item x="397"/>
        <item x="1037"/>
        <item x="170"/>
        <item x="598"/>
        <item x="478"/>
        <item x="594"/>
        <item x="140"/>
        <item x="392"/>
        <item x="126"/>
        <item x="181"/>
        <item x="609"/>
        <item x="369"/>
        <item x="798"/>
        <item x="844"/>
        <item x="60"/>
        <item x="20"/>
        <item x="357"/>
        <item x="483"/>
        <item x="87"/>
        <item x="813"/>
        <item x="638"/>
        <item x="74"/>
        <item x="100"/>
        <item x="198"/>
        <item x="663"/>
        <item x="971"/>
        <item x="999"/>
        <item x="733"/>
        <item x="940"/>
        <item x="466"/>
        <item x="80"/>
        <item x="252"/>
        <item x="908"/>
        <item x="456"/>
        <item x="409"/>
        <item x="404"/>
        <item x="693"/>
        <item x="1049"/>
        <item x="570"/>
        <item x="1063"/>
        <item x="741"/>
        <item x="53"/>
        <item x="718"/>
        <item x="125"/>
        <item x="612"/>
        <item x="299"/>
        <item x="903"/>
        <item x="569"/>
        <item x="179"/>
        <item x="497"/>
        <item x="802"/>
        <item x="253"/>
        <item x="675"/>
        <item x="139"/>
        <item x="277"/>
        <item x="69"/>
        <item x="538"/>
        <item x="888"/>
        <item x="589"/>
        <item x="1023"/>
        <item x="767"/>
        <item x="85"/>
        <item x="601"/>
        <item x="90"/>
        <item x="215"/>
        <item x="175"/>
        <item x="325"/>
        <item x="10"/>
        <item x="495"/>
        <item x="400"/>
        <item x="953"/>
        <item x="91"/>
        <item x="642"/>
        <item x="157"/>
        <item x="178"/>
        <item x="387"/>
        <item x="308"/>
        <item x="471"/>
        <item x="280"/>
        <item x="544"/>
        <item x="52"/>
        <item x="76"/>
        <item x="550"/>
        <item x="949"/>
        <item x="512"/>
        <item x="290"/>
        <item x="809"/>
        <item x="24"/>
        <item x="783"/>
        <item x="1083"/>
        <item x="218"/>
        <item x="44"/>
        <item x="302"/>
        <item x="399"/>
        <item x="460"/>
        <item x="16"/>
        <item x="332"/>
        <item x="58"/>
        <item x="406"/>
        <item x="535"/>
        <item x="481"/>
        <item x="795"/>
        <item x="1104"/>
        <item x="341"/>
        <item x="602"/>
        <item x="453"/>
        <item x="416"/>
        <item x="523"/>
        <item x="617"/>
        <item x="206"/>
        <item x="758"/>
        <item x="713"/>
        <item x="551"/>
        <item x="160"/>
        <item x="696"/>
        <item x="654"/>
        <item x="259"/>
        <item x="377"/>
        <item x="810"/>
        <item x="333"/>
        <item x="65"/>
        <item x="801"/>
        <item x="635"/>
        <item x="203"/>
        <item x="975"/>
        <item x="260"/>
        <item x="112"/>
        <item x="524"/>
        <item x="895"/>
        <item x="21"/>
        <item x="509"/>
        <item x="996"/>
        <item x="402"/>
        <item x="124"/>
        <item x="394"/>
        <item x="789"/>
        <item x="828"/>
        <item x="150"/>
        <item x="855"/>
        <item x="1013"/>
        <item x="746"/>
        <item x="82"/>
        <item x="913"/>
        <item x="70"/>
        <item x="263"/>
        <item x="347"/>
        <item x="858"/>
        <item x="433"/>
        <item x="520"/>
        <item x="276"/>
        <item x="737"/>
        <item x="2"/>
        <item x="849"/>
        <item x="123"/>
        <item x="907"/>
        <item x="547"/>
        <item x="229"/>
        <item x="622"/>
        <item x="470"/>
        <item x="979"/>
        <item x="835"/>
        <item x="264"/>
        <item x="501"/>
        <item x="391"/>
        <item x="1017"/>
        <item x="583"/>
        <item x="212"/>
        <item x="421"/>
        <item x="165"/>
        <item x="567"/>
        <item x="854"/>
        <item x="792"/>
        <item x="92"/>
        <item x="537"/>
        <item x="629"/>
        <item x="143"/>
        <item x="611"/>
        <item x="383"/>
        <item x="969"/>
        <item x="647"/>
        <item x="1046"/>
        <item x="742"/>
        <item x="1061"/>
        <item x="492"/>
        <item x="824"/>
        <item x="1031"/>
        <item x="1066"/>
        <item x="239"/>
        <item x="846"/>
        <item x="1019"/>
        <item x="337"/>
        <item x="900"/>
        <item x="79"/>
        <item x="499"/>
        <item x="40"/>
        <item x="430"/>
        <item x="473"/>
        <item x="891"/>
        <item x="189"/>
        <item x="659"/>
        <item x="15"/>
        <item x="485"/>
        <item x="941"/>
        <item x="804"/>
        <item x="382"/>
        <item x="1109"/>
        <item x="1040"/>
        <item x="248"/>
        <item x="701"/>
        <item x="826"/>
        <item x="937"/>
        <item x="1028"/>
        <item x="966"/>
        <item x="216"/>
        <item x="355"/>
        <item x="561"/>
        <item x="95"/>
        <item x="1127"/>
        <item x="587"/>
        <item x="1111"/>
        <item x="580"/>
        <item x="615"/>
        <item x="1075"/>
        <item x="1074"/>
        <item x="671"/>
        <item x="964"/>
        <item x="12"/>
        <item x="630"/>
        <item x="522"/>
        <item x="273"/>
        <item x="593"/>
        <item x="336"/>
        <item x="836"/>
        <item x="568"/>
        <item x="859"/>
        <item x="243"/>
        <item x="334"/>
        <item x="296"/>
        <item x="364"/>
        <item x="458"/>
        <item x="233"/>
        <item x="857"/>
        <item x="887"/>
        <item x="131"/>
        <item x="518"/>
        <item x="185"/>
        <item x="508"/>
        <item x="200"/>
        <item x="64"/>
        <item x="315"/>
        <item x="134"/>
        <item x="582"/>
        <item x="957"/>
        <item x="465"/>
        <item x="1124"/>
        <item x="323"/>
        <item x="219"/>
        <item x="294"/>
        <item x="637"/>
        <item x="732"/>
        <item x="211"/>
        <item x="1036"/>
        <item x="651"/>
        <item x="955"/>
        <item x="881"/>
        <item x="321"/>
        <item x="1085"/>
        <item x="516"/>
        <item x="390"/>
        <item x="130"/>
        <item x="1084"/>
        <item x="606"/>
        <item x="158"/>
        <item x="830"/>
        <item x="221"/>
        <item x="163"/>
        <item x="889"/>
        <item x="896"/>
        <item x="932"/>
        <item x="760"/>
        <item x="1122"/>
        <item x="853"/>
        <item x="231"/>
        <item x="320"/>
        <item x="796"/>
        <item x="396"/>
        <item x="358"/>
        <item x="599"/>
        <item x="989"/>
        <item x="217"/>
        <item x="304"/>
        <item x="901"/>
        <item x="6"/>
        <item x="883"/>
        <item x="428"/>
        <item x="770"/>
        <item x="725"/>
        <item x="11"/>
        <item x="1117"/>
        <item x="350"/>
        <item x="338"/>
        <item x="525"/>
        <item x="1053"/>
        <item x="920"/>
        <item x="944"/>
        <item x="63"/>
        <item x="345"/>
        <item x="877"/>
        <item x="690"/>
        <item x="300"/>
        <item x="45"/>
        <item x="106"/>
        <item x="8"/>
        <item x="961"/>
        <item x="192"/>
        <item x="706"/>
        <item x="1095"/>
        <item x="450"/>
        <item x="698"/>
        <item x="1044"/>
        <item x="702"/>
        <item x="781"/>
        <item x="105"/>
        <item x="1100"/>
        <item x="676"/>
        <item x="840"/>
        <item x="97"/>
        <item x="208"/>
        <item x="1022"/>
        <item x="476"/>
        <item x="96"/>
        <item x="412"/>
        <item x="422"/>
        <item x="293"/>
        <item x="1126"/>
        <item x="436"/>
        <item x="291"/>
        <item x="1091"/>
        <item x="554"/>
        <item x="687"/>
        <item x="862"/>
        <item x="1006"/>
        <item x="722"/>
        <item x="945"/>
        <item x="577"/>
        <item x="1135"/>
        <item x="656"/>
        <item x="753"/>
        <item x="639"/>
        <item x="1057"/>
        <item x="1056"/>
        <item x="1015"/>
        <item x="222"/>
        <item x="747"/>
        <item x="673"/>
        <item x="444"/>
        <item x="98"/>
        <item x="17"/>
        <item x="18"/>
        <item x="459"/>
        <item x="948"/>
        <item x="705"/>
        <item x="984"/>
        <item x="298"/>
        <item x="1092"/>
        <item x="36"/>
        <item x="1077"/>
        <item x="342"/>
        <item x="899"/>
        <item x="148"/>
        <item x="1107"/>
        <item x="284"/>
        <item x="488"/>
        <item x="1000"/>
        <item x="947"/>
        <item x="986"/>
        <item x="943"/>
        <item x="386"/>
        <item x="923"/>
        <item x="640"/>
        <item x="50"/>
        <item x="1079"/>
        <item x="910"/>
        <item x="1039"/>
        <item x="437"/>
        <item x="348"/>
        <item x="882"/>
        <item x="84"/>
        <item x="633"/>
        <item x="871"/>
        <item x="621"/>
        <item x="43"/>
        <item x="708"/>
        <item x="477"/>
        <item x="625"/>
        <item x="821"/>
        <item x="697"/>
        <item x="230"/>
        <item x="153"/>
        <item x="968"/>
        <item x="132"/>
        <item x="1114"/>
        <item x="1064"/>
        <item x="467"/>
        <item x="225"/>
        <item x="878"/>
        <item x="573"/>
        <item x="958"/>
        <item x="584"/>
        <item x="658"/>
        <item x="154"/>
        <item x="424"/>
        <item x="22"/>
        <item x="292"/>
        <item x="892"/>
        <item x="872"/>
        <item x="159"/>
        <item x="449"/>
        <item x="25"/>
        <item x="685"/>
        <item x="529"/>
        <item x="319"/>
        <item x="384"/>
        <item x="505"/>
        <item x="83"/>
        <item x="576"/>
        <item x="4"/>
        <item x="202"/>
        <item x="764"/>
        <item x="423"/>
        <item x="655"/>
        <item x="682"/>
        <item x="664"/>
        <item x="146"/>
        <item x="46"/>
        <item x="1050"/>
        <item x="848"/>
        <item x="526"/>
        <item x="375"/>
        <item x="261"/>
        <item x="164"/>
        <item x="241"/>
        <item x="507"/>
        <item x="646"/>
        <item x="605"/>
        <item x="226"/>
        <item x="245"/>
        <item x="838"/>
        <item x="440"/>
        <item x="762"/>
        <item x="641"/>
        <item x="880"/>
        <item x="281"/>
        <item x="71"/>
        <item x="1108"/>
        <item x="167"/>
        <item x="678"/>
        <item x="688"/>
        <item x="227"/>
        <item x="379"/>
        <item x="670"/>
        <item x="716"/>
        <item x="933"/>
        <item x="114"/>
        <item x="998"/>
        <item x="925"/>
        <item x="842"/>
        <item x="765"/>
        <item x="228"/>
        <item x="928"/>
        <item x="262"/>
        <item x="1093"/>
        <item x="837"/>
        <item x="627"/>
        <item x="72"/>
        <item x="173"/>
        <item x="626"/>
        <item x="571"/>
        <item x="661"/>
        <item x="974"/>
        <item x="147"/>
        <item x="1120"/>
        <item x="929"/>
        <item x="113"/>
        <item x="442"/>
        <item x="340"/>
        <item x="981"/>
        <item x="660"/>
        <item x="806"/>
        <item x="818"/>
        <item x="993"/>
        <item x="786"/>
        <item x="709"/>
        <item x="431"/>
        <item x="118"/>
        <item x="285"/>
        <item x="978"/>
        <item x="162"/>
        <item x="366"/>
        <item x="490"/>
        <item x="236"/>
        <item x="493"/>
        <item x="852"/>
        <item x="1048"/>
        <item x="353"/>
        <item x="963"/>
        <item x="34"/>
        <item x="240"/>
        <item x="772"/>
        <item x="710"/>
        <item x="1054"/>
        <item x="496"/>
        <item x="769"/>
        <item x="297"/>
        <item x="703"/>
        <item x="504"/>
        <item x="623"/>
        <item x="988"/>
        <item x="1133"/>
        <item x="9"/>
        <item x="3"/>
        <item x="1032"/>
        <item x="1089"/>
        <item x="748"/>
        <item x="1004"/>
        <item x="540"/>
        <item x="939"/>
        <item x="418"/>
        <item x="275"/>
        <item x="1059"/>
        <item x="361"/>
        <item x="784"/>
        <item x="750"/>
        <item x="137"/>
        <item x="373"/>
        <item x="667"/>
        <item x="310"/>
        <item x="1"/>
        <item x="1018"/>
        <item x="451"/>
        <item x="242"/>
        <item x="511"/>
        <item x="29"/>
        <item x="886"/>
        <item x="94"/>
        <item x="717"/>
        <item x="484"/>
        <item x="500"/>
        <item x="362"/>
        <item x="970"/>
        <item x="588"/>
        <item x="644"/>
        <item x="614"/>
        <item x="376"/>
        <item x="699"/>
        <item x="776"/>
        <item x="381"/>
        <item x="426"/>
        <item x="514"/>
        <item x="197"/>
        <item x="232"/>
        <item x="916"/>
        <item x="510"/>
        <item x="110"/>
        <item x="1080"/>
        <item x="303"/>
        <item x="1099"/>
        <item x="803"/>
        <item x="1118"/>
        <item x="487"/>
        <item x="1094"/>
        <item x="868"/>
        <item x="210"/>
        <item x="1024"/>
        <item x="590"/>
        <item x="930"/>
        <item x="668"/>
        <item x="634"/>
        <item x="316"/>
        <item x="395"/>
        <item x="873"/>
        <item x="811"/>
        <item x="749"/>
        <item x="820"/>
        <item x="93"/>
        <item x="461"/>
        <item x="305"/>
        <item x="56"/>
        <item x="1016"/>
        <item x="235"/>
        <item x="195"/>
        <item x="787"/>
        <item x="714"/>
        <item x="808"/>
        <item x="861"/>
        <item x="960"/>
        <item x="1103"/>
        <item x="223"/>
        <item x="356"/>
        <item x="822"/>
        <item x="918"/>
        <item x="906"/>
        <item x="973"/>
        <item x="434"/>
        <item x="28"/>
        <item x="995"/>
        <item x="171"/>
        <item x="324"/>
        <item x="288"/>
        <item x="515"/>
        <item x="317"/>
        <item x="874"/>
        <item x="942"/>
        <item x="1012"/>
        <item x="816"/>
        <item x="352"/>
        <item x="169"/>
        <item x="890"/>
        <item x="1087"/>
        <item x="479"/>
        <item x="475"/>
        <item x="27"/>
        <item x="726"/>
        <item x="1129"/>
        <item x="1027"/>
        <item x="707"/>
        <item x="247"/>
        <item x="33"/>
        <item x="57"/>
        <item x="455"/>
        <item x="994"/>
        <item x="761"/>
        <item x="359"/>
        <item x="531"/>
        <item x="581"/>
        <item x="643"/>
        <item x="187"/>
        <item x="1130"/>
        <item x="109"/>
        <item x="533"/>
        <item x="108"/>
        <item x="414"/>
        <item x="81"/>
        <item x="274"/>
        <item x="220"/>
        <item x="136"/>
        <item x="1105"/>
        <item x="448"/>
        <item x="408"/>
        <item x="224"/>
        <item x="254"/>
        <item x="42"/>
        <item x="405"/>
        <item x="309"/>
        <item x="607"/>
        <item x="814"/>
        <item x="631"/>
        <item x="715"/>
        <item x="427"/>
        <item x="585"/>
        <item x="1073"/>
        <item x="330"/>
        <item x="558"/>
        <item x="494"/>
        <item x="519"/>
        <item x="432"/>
        <item x="586"/>
        <item x="363"/>
        <item x="728"/>
        <item x="491"/>
        <item x="101"/>
        <item x="613"/>
        <item x="446"/>
        <item x="435"/>
        <item x="1042"/>
        <item x="365"/>
        <item x="13"/>
        <item x="1096"/>
        <item x="860"/>
        <item x="420"/>
        <item x="557"/>
        <item x="502"/>
        <item x="255"/>
        <item x="773"/>
        <item x="301"/>
        <item x="902"/>
        <item x="468"/>
        <item x="831"/>
        <item x="1011"/>
        <item x="782"/>
        <item x="403"/>
        <item x="368"/>
        <item x="177"/>
        <item x="234"/>
        <item x="238"/>
        <item x="950"/>
        <item x="62"/>
        <item x="204"/>
        <item x="864"/>
        <item x="997"/>
        <item x="681"/>
        <item x="672"/>
        <item x="734"/>
        <item x="879"/>
        <item x="354"/>
        <item x="674"/>
        <item x="935"/>
        <item x="833"/>
        <item x="1078"/>
        <item x="532"/>
        <item x="712"/>
        <item x="534"/>
        <item x="283"/>
        <item x="884"/>
        <item x="176"/>
        <item x="779"/>
        <item x="1128"/>
        <item x="756"/>
        <item x="904"/>
        <item x="419"/>
        <item x="645"/>
        <item x="915"/>
        <item x="166"/>
        <item x="1062"/>
        <item x="566"/>
        <item x="66"/>
        <item x="190"/>
        <item x="73"/>
        <item x="401"/>
        <item x="1045"/>
        <item x="237"/>
        <item x="624"/>
        <item x="743"/>
        <item x="344"/>
        <item x="329"/>
        <item x="145"/>
        <item x="827"/>
        <item x="1116"/>
        <item x="191"/>
        <item x="616"/>
        <item x="346"/>
        <item x="914"/>
        <item x="727"/>
        <item x="791"/>
        <item x="371"/>
        <item x="931"/>
        <item x="182"/>
        <item x="429"/>
        <item x="1021"/>
        <item x="985"/>
        <item x="967"/>
        <item x="30"/>
        <item x="665"/>
        <item x="759"/>
        <item x="934"/>
        <item x="721"/>
        <item x="686"/>
        <item x="543"/>
        <item x="572"/>
        <item x="464"/>
        <item x="278"/>
        <item x="249"/>
        <item x="719"/>
        <item x="312"/>
        <item x="267"/>
        <item x="107"/>
        <item x="1076"/>
        <item x="604"/>
        <item x="1029"/>
        <item x="102"/>
        <item x="1060"/>
        <item x="75"/>
        <item x="541"/>
        <item x="388"/>
        <item x="845"/>
        <item x="917"/>
        <item x="1033"/>
        <item x="735"/>
        <item x="982"/>
        <item x="778"/>
        <item x="54"/>
        <item x="662"/>
        <item x="730"/>
        <item x="196"/>
        <item x="1088"/>
        <item x="205"/>
        <item x="1115"/>
        <item x="774"/>
        <item x="528"/>
        <item x="141"/>
        <item x="117"/>
        <item x="790"/>
        <item x="650"/>
        <item x="991"/>
        <item x="311"/>
        <item x="992"/>
        <item x="1086"/>
        <item x="555"/>
        <item x="47"/>
        <item x="463"/>
        <item x="695"/>
        <item x="122"/>
        <item x="723"/>
        <item x="438"/>
        <item x="282"/>
        <item x="972"/>
        <item x="841"/>
        <item x="771"/>
        <item x="1090"/>
        <item x="952"/>
        <item x="898"/>
        <item x="1097"/>
        <item x="823"/>
        <item x="951"/>
        <item x="679"/>
        <item x="546"/>
        <item x="632"/>
        <item x="144"/>
        <item x="331"/>
        <item x="104"/>
        <item x="415"/>
        <item x="1010"/>
        <item x="1098"/>
        <item x="14"/>
        <item x="265"/>
        <item x="31"/>
        <item x="1020"/>
        <item x="817"/>
        <item x="563"/>
        <item x="374"/>
        <item x="256"/>
        <item x="1102"/>
        <item x="938"/>
        <item x="865"/>
        <item x="183"/>
        <item x="539"/>
        <item x="954"/>
        <item x="851"/>
        <item x="174"/>
        <item x="120"/>
        <item x="367"/>
        <item x="457"/>
        <item x="542"/>
        <item x="452"/>
        <item x="407"/>
        <item x="474"/>
        <item x="1069"/>
        <item x="867"/>
        <item x="116"/>
        <item x="1002"/>
        <item x="847"/>
        <item x="246"/>
        <item x="608"/>
        <item x="7"/>
        <item x="530"/>
        <item x="559"/>
        <item x="129"/>
        <item x="513"/>
        <item x="268"/>
        <item x="155"/>
        <item x="677"/>
        <item x="1110"/>
        <item x="549"/>
        <item x="186"/>
        <item x="506"/>
        <item x="768"/>
        <item x="805"/>
        <item x="897"/>
        <item x="270"/>
        <item x="469"/>
        <item x="738"/>
        <item x="905"/>
        <item x="472"/>
        <item x="272"/>
        <item x="351"/>
        <item x="279"/>
        <item x="19"/>
        <item x="788"/>
        <item x="1034"/>
        <item x="61"/>
        <item x="425"/>
        <item x="987"/>
        <item x="692"/>
        <item x="962"/>
        <item x="78"/>
        <item x="480"/>
        <item x="956"/>
        <item x="736"/>
        <item x="307"/>
        <item x="560"/>
        <item x="439"/>
        <item x="1051"/>
        <item x="866"/>
        <item x="600"/>
        <item x="684"/>
        <item x="1081"/>
        <item x="990"/>
        <item x="552"/>
        <item x="739"/>
        <item x="370"/>
        <item x="1112"/>
        <item x="545"/>
        <item x="1025"/>
        <item x="977"/>
        <item x="48"/>
        <item x="250"/>
        <item x="1106"/>
        <item x="856"/>
        <item x="1001"/>
        <item x="289"/>
        <item x="744"/>
        <item x="26"/>
        <item x="517"/>
        <item x="266"/>
        <item x="326"/>
        <item x="68"/>
        <item x="628"/>
        <item x="138"/>
        <item x="35"/>
        <item x="103"/>
        <item x="454"/>
        <item x="683"/>
        <item x="1047"/>
        <item x="711"/>
        <item x="258"/>
        <item x="620"/>
        <item x="976"/>
        <item x="161"/>
        <item x="1026"/>
        <item x="936"/>
        <item x="1009"/>
        <item x="142"/>
        <item x="133"/>
        <item x="1082"/>
        <item x="596"/>
        <item x="575"/>
        <item x="807"/>
        <item x="922"/>
        <item x="1121"/>
        <item x="757"/>
        <item x="812"/>
        <item x="919"/>
        <item x="825"/>
        <item x="724"/>
        <item x="1070"/>
        <item x="482"/>
        <item x="924"/>
        <item x="548"/>
        <item x="751"/>
        <item x="983"/>
        <item x="327"/>
        <item x="349"/>
        <item x="815"/>
        <item x="652"/>
        <item x="965"/>
        <item x="619"/>
        <item x="694"/>
        <item x="32"/>
        <item x="128"/>
        <item x="1005"/>
        <item x="207"/>
        <item x="649"/>
        <item x="980"/>
        <item x="793"/>
        <item x="199"/>
        <item x="184"/>
        <item x="295"/>
        <item x="1071"/>
        <item x="618"/>
        <item x="149"/>
        <item x="565"/>
        <item t="max"/>
      </items>
    </pivotField>
    <pivotField showAll="0"/>
    <pivotField showAll="0"/>
    <pivotField showAll="0"/>
    <pivotField showAll="0"/>
    <pivotField showAll="0"/>
    <pivotField showAll="0">
      <items count="5">
        <item x="0"/>
        <item x="2"/>
        <item x="3"/>
        <item x="1"/>
        <item t="default"/>
      </items>
    </pivotField>
    <pivotField showAll="0">
      <items count="5">
        <item x="1"/>
        <item x="0"/>
        <item x="3"/>
        <item x="2"/>
        <item t="default"/>
      </items>
    </pivotField>
  </pivotFields>
  <rowFields count="1">
    <field x="3"/>
  </rowFields>
  <rowItems count="6">
    <i>
      <x v="8"/>
    </i>
    <i>
      <x v="2"/>
    </i>
    <i>
      <x v="1"/>
    </i>
    <i>
      <x v="4"/>
    </i>
    <i>
      <x v="12"/>
    </i>
    <i t="grand">
      <x/>
    </i>
  </rowItems>
  <colItems count="1">
    <i/>
  </colItems>
  <pageFields count="1">
    <pageField fld="7" hier="-1"/>
  </pageFields>
  <dataFields count="1">
    <dataField name="Sum of Revenue" fld="7" baseField="0" baseItem="0" numFmtId="1"/>
  </dataFields>
  <formats count="1">
    <format dxfId="5">
      <pivotArea outline="0" collapsedLevelsAreSubtotals="1" fieldPosition="0"/>
    </format>
  </formats>
  <chartFormats count="4">
    <chartFormat chart="18"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008072E-A084-489B-8689-2E16543DA6E1}" name="ISSUE TRACKER"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H15:AI20" firstHeaderRow="1" firstDataRow="1" firstDataCol="1"/>
  <pivotFields count="15">
    <pivotField showAll="0">
      <items count="4">
        <item x="2"/>
        <item x="0"/>
        <item x="1"/>
        <item t="default"/>
      </items>
    </pivotField>
    <pivotField showAll="0">
      <items count="13">
        <item x="0"/>
        <item x="10"/>
        <item x="4"/>
        <item x="9"/>
        <item x="7"/>
        <item x="2"/>
        <item x="1"/>
        <item x="6"/>
        <item x="3"/>
        <item x="5"/>
        <item x="8"/>
        <item x="11"/>
        <item t="default"/>
      </items>
    </pivotField>
    <pivotField dataField="1" showAll="0">
      <items count="6">
        <item x="3"/>
        <item x="1"/>
        <item x="2"/>
        <item x="0"/>
        <item x="4"/>
        <item t="default"/>
      </items>
    </pivotField>
    <pivotField showAll="0"/>
    <pivotField showAll="0"/>
    <pivotField showAll="0"/>
    <pivotField showAll="0"/>
    <pivotField showAll="0"/>
    <pivotField showAll="0"/>
    <pivotField showAll="0"/>
    <pivotField showAll="0"/>
    <pivotField showAll="0"/>
    <pivotField showAll="0"/>
    <pivotField axis="axisRow" showAll="0">
      <items count="5">
        <item x="0"/>
        <item x="2"/>
        <item x="3"/>
        <item x="1"/>
        <item t="default"/>
      </items>
    </pivotField>
    <pivotField showAll="0">
      <items count="5">
        <item x="1"/>
        <item x="0"/>
        <item x="3"/>
        <item x="2"/>
        <item t="default"/>
      </items>
    </pivotField>
  </pivotFields>
  <rowFields count="1">
    <field x="13"/>
  </rowFields>
  <rowItems count="5">
    <i>
      <x/>
    </i>
    <i>
      <x v="1"/>
    </i>
    <i>
      <x v="2"/>
    </i>
    <i>
      <x v="3"/>
    </i>
    <i t="grand">
      <x/>
    </i>
  </rowItems>
  <colItems count="1">
    <i/>
  </colItems>
  <dataFields count="1">
    <dataField name="Count of Category" fld="2" subtotal="count" baseField="0" baseItem="0"/>
  </dataFields>
  <chartFormats count="6">
    <chartFormat chart="1" format="2"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12">
      <pivotArea type="data" outline="0" fieldPosition="0">
        <references count="2">
          <reference field="4294967294" count="1" selected="0">
            <x v="0"/>
          </reference>
          <reference field="13" count="1" selected="0">
            <x v="0"/>
          </reference>
        </references>
      </pivotArea>
    </chartFormat>
    <chartFormat chart="2" format="13">
      <pivotArea type="data" outline="0" fieldPosition="0">
        <references count="2">
          <reference field="4294967294" count="1" selected="0">
            <x v="0"/>
          </reference>
          <reference field="13" count="1" selected="0">
            <x v="1"/>
          </reference>
        </references>
      </pivotArea>
    </chartFormat>
    <chartFormat chart="2" format="14">
      <pivotArea type="data" outline="0" fieldPosition="0">
        <references count="2">
          <reference field="4294967294" count="1" selected="0">
            <x v="0"/>
          </reference>
          <reference field="13" count="1" selected="0">
            <x v="2"/>
          </reference>
        </references>
      </pivotArea>
    </chartFormat>
    <chartFormat chart="2" format="15">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430924D-217D-4537-9309-54090402BFE4}"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M21:AM22" firstHeaderRow="1" firstDataRow="1" firstDataCol="0"/>
  <pivotFields count="15">
    <pivotField showAll="0"/>
    <pivotField showAll="0">
      <items count="13">
        <item h="1" x="0"/>
        <item h="1" x="10"/>
        <item h="1" x="4"/>
        <item h="1" x="9"/>
        <item h="1" x="7"/>
        <item h="1" x="2"/>
        <item h="1" x="1"/>
        <item h="1" x="6"/>
        <item h="1" x="3"/>
        <item x="5"/>
        <item h="1" x="8"/>
        <item h="1" x="1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items count="5">
        <item x="0"/>
        <item x="2"/>
        <item x="3"/>
        <item x="1"/>
        <item t="default"/>
      </items>
    </pivotField>
    <pivotField showAll="0">
      <items count="5">
        <item x="1"/>
        <item x="0"/>
        <item x="3"/>
        <item x="2"/>
        <item t="default"/>
      </items>
    </pivotField>
  </pivotFields>
  <rowItems count="1">
    <i/>
  </rowItems>
  <colItems count="1">
    <i/>
  </colItems>
  <dataFields count="1">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E854527-C647-420F-90A3-54BBF1B37A20}"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K6:AK11" firstHeaderRow="1" firstDataRow="1" firstDataCol="1"/>
  <pivotFields count="15">
    <pivotField showAll="0">
      <items count="4">
        <item x="2"/>
        <item x="0"/>
        <item h="1" x="1"/>
        <item t="default"/>
      </items>
    </pivotField>
    <pivotField showAll="0">
      <items count="13">
        <item x="0"/>
        <item x="10"/>
        <item x="4"/>
        <item x="9"/>
        <item x="7"/>
        <item x="2"/>
        <item x="1"/>
        <item x="6"/>
        <item x="3"/>
        <item x="5"/>
        <item x="8"/>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5">
        <item x="0"/>
        <item x="2"/>
        <item x="3"/>
        <item x="1"/>
        <item t="default"/>
      </items>
    </pivotField>
    <pivotField axis="axisRow" showAll="0">
      <items count="5">
        <item x="1"/>
        <item x="0"/>
        <item x="3"/>
        <item x="2"/>
        <item t="default"/>
      </items>
    </pivotField>
  </pivotFields>
  <rowFields count="1">
    <field x="14"/>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BFB0AA8-39C0-470D-8E36-24E818E53F42}" name="DEMAND VS STOCK"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D3:F9" firstHeaderRow="0" firstDataRow="1" firstDataCol="1"/>
  <pivotFields count="15">
    <pivotField showAll="0">
      <items count="4">
        <item x="2"/>
        <item x="0"/>
        <item x="1"/>
        <item t="default"/>
      </items>
    </pivotField>
    <pivotField showAll="0">
      <items count="13">
        <item x="0"/>
        <item x="10"/>
        <item x="4"/>
        <item x="9"/>
        <item x="7"/>
        <item x="2"/>
        <item x="1"/>
        <item x="6"/>
        <item x="3"/>
        <item x="5"/>
        <item x="8"/>
        <item x="11"/>
        <item t="default"/>
      </items>
    </pivotField>
    <pivotField axis="axisRow" showAll="0">
      <items count="6">
        <item x="3"/>
        <item x="1"/>
        <item x="2"/>
        <item x="0"/>
        <item x="4"/>
        <item t="default"/>
      </items>
    </pivotField>
    <pivotField showAll="0"/>
    <pivotField dataField="1" showAll="0"/>
    <pivotField showAll="0"/>
    <pivotField showAll="0"/>
    <pivotField showAll="0"/>
    <pivotField showAll="0"/>
    <pivotField showAll="0"/>
    <pivotField showAll="0"/>
    <pivotField dataField="1" showAll="0"/>
    <pivotField showAll="0"/>
    <pivotField showAll="0">
      <items count="5">
        <item x="0"/>
        <item x="2"/>
        <item x="3"/>
        <item x="1"/>
        <item t="default"/>
      </items>
    </pivotField>
    <pivotField showAll="0">
      <items count="5">
        <item x="1"/>
        <item x="0"/>
        <item x="3"/>
        <item x="2"/>
        <item t="default"/>
      </items>
    </pivotField>
  </pivotFields>
  <rowFields count="1">
    <field x="2"/>
  </rowFields>
  <rowItems count="6">
    <i>
      <x/>
    </i>
    <i>
      <x v="1"/>
    </i>
    <i>
      <x v="2"/>
    </i>
    <i>
      <x v="3"/>
    </i>
    <i>
      <x v="4"/>
    </i>
    <i t="grand">
      <x/>
    </i>
  </rowItems>
  <colFields count="1">
    <field x="-2"/>
  </colFields>
  <colItems count="2">
    <i>
      <x/>
    </i>
    <i i="1">
      <x v="1"/>
    </i>
  </colItems>
  <dataFields count="2">
    <dataField name="Sum of Units Sold" fld="4" baseField="0" baseItem="0"/>
    <dataField name="Sum of Stock Available" fld="11" baseField="0" baseItem="0"/>
  </dataFields>
  <chartFormats count="4">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71B6205-4D2B-4FF0-9A9C-F94B8AAB7AB6}"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L37:AL43" firstHeaderRow="1" firstDataRow="1" firstDataCol="1"/>
  <pivotFields count="15">
    <pivotField showAll="0">
      <items count="4">
        <item x="2"/>
        <item x="0"/>
        <item x="1"/>
        <item t="default"/>
      </items>
    </pivotField>
    <pivotField showAll="0">
      <items count="13">
        <item h="1" x="0"/>
        <item h="1" x="10"/>
        <item h="1" x="4"/>
        <item h="1" x="9"/>
        <item h="1" x="7"/>
        <item h="1" x="2"/>
        <item h="1" x="1"/>
        <item h="1" x="6"/>
        <item h="1" x="3"/>
        <item x="5"/>
        <item h="1" x="8"/>
        <item h="1" x="11"/>
        <item t="default"/>
      </items>
    </pivotField>
    <pivotField axis="axisRow" showAll="0">
      <items count="6">
        <item x="3"/>
        <item x="1"/>
        <item x="2"/>
        <item x="0"/>
        <item x="4"/>
        <item t="default"/>
      </items>
    </pivotField>
    <pivotField showAll="0"/>
    <pivotField showAll="0"/>
    <pivotField showAll="0"/>
    <pivotField showAll="0"/>
    <pivotField showAll="0"/>
    <pivotField showAll="0"/>
    <pivotField showAll="0"/>
    <pivotField showAll="0"/>
    <pivotField showAll="0"/>
    <pivotField showAll="0"/>
    <pivotField showAll="0">
      <items count="5">
        <item x="0"/>
        <item x="2"/>
        <item x="3"/>
        <item x="1"/>
        <item t="default"/>
      </items>
    </pivotField>
    <pivotField showAll="0">
      <items count="5">
        <item x="1"/>
        <item x="0"/>
        <item x="3"/>
        <item x="2"/>
        <item t="default"/>
      </items>
    </pivotField>
  </pivotFields>
  <rowFields count="1">
    <field x="2"/>
  </rowFields>
  <rowItems count="6">
    <i>
      <x/>
    </i>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6283023-0A9E-404A-9AF1-CA08223F7BDA}"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X7:X12" firstHeaderRow="1" firstDataRow="1" firstDataCol="1"/>
  <pivotFields count="15">
    <pivotField showAll="0"/>
    <pivotField showAll="0">
      <items count="13">
        <item h="1" x="0"/>
        <item h="1" x="10"/>
        <item h="1" x="4"/>
        <item h="1" x="9"/>
        <item h="1" x="7"/>
        <item h="1" x="2"/>
        <item h="1" x="1"/>
        <item h="1" x="6"/>
        <item h="1" x="3"/>
        <item x="5"/>
        <item h="1" x="8"/>
        <item h="1" x="11"/>
        <item t="default"/>
      </items>
    </pivotField>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axis="axisRow" showAll="0">
      <items count="5">
        <item x="0"/>
        <item x="2"/>
        <item x="3"/>
        <item x="1"/>
        <item t="default"/>
      </items>
    </pivotField>
    <pivotField showAll="0"/>
  </pivotFields>
  <rowFields count="1">
    <field x="13"/>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67DD9B4-4CF9-4101-A5E4-C9FFB87CC027}" name="PROFIT by category"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3">
  <location ref="A14:B20" firstHeaderRow="1" firstDataRow="1" firstDataCol="1"/>
  <pivotFields count="15">
    <pivotField showAll="0">
      <items count="4">
        <item x="2"/>
        <item x="0"/>
        <item x="1"/>
        <item t="default"/>
      </items>
    </pivotField>
    <pivotField showAll="0">
      <items count="13">
        <item x="0"/>
        <item x="10"/>
        <item x="4"/>
        <item x="9"/>
        <item x="7"/>
        <item x="2"/>
        <item x="1"/>
        <item x="6"/>
        <item x="3"/>
        <item x="5"/>
        <item x="8"/>
        <item x="11"/>
        <item t="default"/>
      </items>
    </pivotField>
    <pivotField axis="axisRow" multipleItemSelectionAllowed="1" showAll="0">
      <items count="6">
        <item x="3"/>
        <item x="1"/>
        <item x="2"/>
        <item x="0"/>
        <item x="4"/>
        <item t="default"/>
      </items>
    </pivotField>
    <pivotField showAll="0"/>
    <pivotField showAll="0">
      <items count="422">
        <item x="69"/>
        <item x="0"/>
        <item x="59"/>
        <item x="142"/>
        <item x="294"/>
        <item x="370"/>
        <item x="268"/>
        <item x="330"/>
        <item x="397"/>
        <item x="414"/>
        <item x="215"/>
        <item x="5"/>
        <item x="124"/>
        <item x="125"/>
        <item x="392"/>
        <item x="194"/>
        <item x="322"/>
        <item x="272"/>
        <item x="10"/>
        <item x="160"/>
        <item x="46"/>
        <item x="372"/>
        <item x="302"/>
        <item x="243"/>
        <item x="19"/>
        <item x="317"/>
        <item x="41"/>
        <item x="2"/>
        <item x="287"/>
        <item x="284"/>
        <item x="196"/>
        <item x="281"/>
        <item x="191"/>
        <item x="47"/>
        <item x="104"/>
        <item x="396"/>
        <item x="77"/>
        <item x="340"/>
        <item x="168"/>
        <item x="286"/>
        <item x="136"/>
        <item x="380"/>
        <item x="163"/>
        <item x="391"/>
        <item x="239"/>
        <item x="16"/>
        <item x="262"/>
        <item x="388"/>
        <item x="379"/>
        <item x="172"/>
        <item x="394"/>
        <item x="300"/>
        <item x="99"/>
        <item x="407"/>
        <item x="234"/>
        <item x="307"/>
        <item x="12"/>
        <item x="413"/>
        <item x="231"/>
        <item x="405"/>
        <item x="179"/>
        <item x="267"/>
        <item x="222"/>
        <item x="38"/>
        <item x="315"/>
        <item x="266"/>
        <item x="71"/>
        <item x="363"/>
        <item x="149"/>
        <item x="186"/>
        <item x="33"/>
        <item x="21"/>
        <item x="74"/>
        <item x="173"/>
        <item x="393"/>
        <item x="88"/>
        <item x="404"/>
        <item x="22"/>
        <item x="278"/>
        <item x="229"/>
        <item x="288"/>
        <item x="348"/>
        <item x="6"/>
        <item x="271"/>
        <item x="235"/>
        <item x="412"/>
        <item x="246"/>
        <item x="226"/>
        <item x="153"/>
        <item x="289"/>
        <item x="311"/>
        <item x="386"/>
        <item x="356"/>
        <item x="198"/>
        <item x="339"/>
        <item x="241"/>
        <item x="263"/>
        <item x="11"/>
        <item x="369"/>
        <item x="214"/>
        <item x="171"/>
        <item x="188"/>
        <item x="95"/>
        <item x="264"/>
        <item x="158"/>
        <item x="364"/>
        <item x="211"/>
        <item x="204"/>
        <item x="344"/>
        <item x="137"/>
        <item x="334"/>
        <item x="8"/>
        <item x="347"/>
        <item x="85"/>
        <item x="24"/>
        <item x="129"/>
        <item x="180"/>
        <item x="183"/>
        <item x="52"/>
        <item x="64"/>
        <item x="357"/>
        <item x="49"/>
        <item x="84"/>
        <item x="112"/>
        <item x="132"/>
        <item x="416"/>
        <item x="329"/>
        <item x="68"/>
        <item x="297"/>
        <item x="203"/>
        <item x="192"/>
        <item x="57"/>
        <item x="343"/>
        <item x="20"/>
        <item x="258"/>
        <item x="141"/>
        <item x="383"/>
        <item x="178"/>
        <item x="92"/>
        <item x="75"/>
        <item x="147"/>
        <item x="374"/>
        <item x="34"/>
        <item x="411"/>
        <item x="247"/>
        <item x="106"/>
        <item x="253"/>
        <item x="291"/>
        <item x="360"/>
        <item x="98"/>
        <item x="232"/>
        <item x="193"/>
        <item x="9"/>
        <item x="44"/>
        <item x="373"/>
        <item x="31"/>
        <item x="189"/>
        <item x="382"/>
        <item x="326"/>
        <item x="381"/>
        <item x="376"/>
        <item x="261"/>
        <item x="304"/>
        <item x="279"/>
        <item x="53"/>
        <item x="184"/>
        <item x="169"/>
        <item x="333"/>
        <item x="76"/>
        <item x="209"/>
        <item x="17"/>
        <item x="27"/>
        <item x="109"/>
        <item x="213"/>
        <item x="55"/>
        <item x="276"/>
        <item x="305"/>
        <item x="50"/>
        <item x="332"/>
        <item x="66"/>
        <item x="233"/>
        <item x="342"/>
        <item x="200"/>
        <item x="351"/>
        <item x="42"/>
        <item x="270"/>
        <item x="408"/>
        <item x="37"/>
        <item x="292"/>
        <item x="327"/>
        <item x="321"/>
        <item x="134"/>
        <item x="354"/>
        <item x="107"/>
        <item x="328"/>
        <item x="335"/>
        <item x="113"/>
        <item x="39"/>
        <item x="119"/>
        <item x="240"/>
        <item x="398"/>
        <item x="224"/>
        <item x="313"/>
        <item x="362"/>
        <item x="250"/>
        <item x="35"/>
        <item x="126"/>
        <item x="170"/>
        <item x="237"/>
        <item x="367"/>
        <item x="389"/>
        <item x="336"/>
        <item x="58"/>
        <item x="187"/>
        <item x="162"/>
        <item x="161"/>
        <item x="100"/>
        <item x="131"/>
        <item x="390"/>
        <item x="245"/>
        <item x="219"/>
        <item x="199"/>
        <item x="101"/>
        <item x="48"/>
        <item x="36"/>
        <item x="97"/>
        <item x="190"/>
        <item x="417"/>
        <item x="395"/>
        <item x="26"/>
        <item x="118"/>
        <item x="352"/>
        <item x="254"/>
        <item x="181"/>
        <item x="280"/>
        <item x="259"/>
        <item x="45"/>
        <item x="152"/>
        <item x="402"/>
        <item x="133"/>
        <item x="274"/>
        <item x="385"/>
        <item x="273"/>
        <item x="29"/>
        <item x="103"/>
        <item x="310"/>
        <item x="23"/>
        <item x="13"/>
        <item x="283"/>
        <item x="208"/>
        <item x="63"/>
        <item x="123"/>
        <item x="143"/>
        <item x="73"/>
        <item x="176"/>
        <item x="230"/>
        <item x="114"/>
        <item x="78"/>
        <item x="79"/>
        <item x="314"/>
        <item x="244"/>
        <item x="165"/>
        <item x="378"/>
        <item x="256"/>
        <item x="15"/>
        <item x="400"/>
        <item x="238"/>
        <item x="110"/>
        <item x="195"/>
        <item x="387"/>
        <item x="415"/>
        <item x="80"/>
        <item x="177"/>
        <item x="368"/>
        <item x="90"/>
        <item x="225"/>
        <item x="260"/>
        <item x="206"/>
        <item x="303"/>
        <item x="185"/>
        <item x="252"/>
        <item x="139"/>
        <item x="309"/>
        <item x="359"/>
        <item x="148"/>
        <item x="358"/>
        <item x="207"/>
        <item x="306"/>
        <item x="54"/>
        <item x="128"/>
        <item x="56"/>
        <item x="210"/>
        <item x="62"/>
        <item x="25"/>
        <item x="275"/>
        <item x="182"/>
        <item x="93"/>
        <item x="221"/>
        <item x="346"/>
        <item x="1"/>
        <item x="242"/>
        <item x="174"/>
        <item x="18"/>
        <item x="257"/>
        <item x="401"/>
        <item x="282"/>
        <item x="7"/>
        <item x="228"/>
        <item x="138"/>
        <item x="70"/>
        <item x="40"/>
        <item x="251"/>
        <item x="298"/>
        <item x="410"/>
        <item x="337"/>
        <item x="155"/>
        <item x="217"/>
        <item x="384"/>
        <item x="65"/>
        <item x="197"/>
        <item x="116"/>
        <item x="255"/>
        <item x="159"/>
        <item x="150"/>
        <item x="223"/>
        <item x="51"/>
        <item x="249"/>
        <item x="144"/>
        <item x="202"/>
        <item x="151"/>
        <item x="4"/>
        <item x="105"/>
        <item x="361"/>
        <item x="28"/>
        <item x="121"/>
        <item x="89"/>
        <item x="72"/>
        <item x="318"/>
        <item x="269"/>
        <item x="157"/>
        <item x="91"/>
        <item x="419"/>
        <item x="86"/>
        <item x="130"/>
        <item x="324"/>
        <item x="14"/>
        <item x="60"/>
        <item x="365"/>
        <item x="293"/>
        <item x="212"/>
        <item x="277"/>
        <item x="355"/>
        <item x="353"/>
        <item x="350"/>
        <item x="220"/>
        <item x="236"/>
        <item x="154"/>
        <item x="320"/>
        <item x="265"/>
        <item x="146"/>
        <item x="43"/>
        <item x="406"/>
        <item x="94"/>
        <item x="248"/>
        <item x="175"/>
        <item x="341"/>
        <item x="166"/>
        <item x="399"/>
        <item x="319"/>
        <item x="135"/>
        <item x="218"/>
        <item x="296"/>
        <item x="371"/>
        <item x="316"/>
        <item x="96"/>
        <item x="338"/>
        <item x="349"/>
        <item x="108"/>
        <item x="308"/>
        <item x="67"/>
        <item x="32"/>
        <item x="377"/>
        <item x="366"/>
        <item x="83"/>
        <item x="102"/>
        <item x="375"/>
        <item x="290"/>
        <item x="295"/>
        <item x="205"/>
        <item x="409"/>
        <item x="3"/>
        <item x="331"/>
        <item x="140"/>
        <item x="227"/>
        <item x="81"/>
        <item x="285"/>
        <item x="418"/>
        <item x="345"/>
        <item x="167"/>
        <item x="164"/>
        <item x="115"/>
        <item x="156"/>
        <item x="122"/>
        <item x="403"/>
        <item x="117"/>
        <item x="82"/>
        <item x="127"/>
        <item x="420"/>
        <item x="87"/>
        <item x="61"/>
        <item x="111"/>
        <item x="301"/>
        <item x="201"/>
        <item x="145"/>
        <item x="325"/>
        <item x="312"/>
        <item x="120"/>
        <item x="323"/>
        <item x="299"/>
        <item x="216"/>
        <item x="30"/>
        <item t="default"/>
      </items>
    </pivotField>
    <pivotField showAll="0"/>
    <pivotField showAll="0"/>
    <pivotField showAll="0"/>
    <pivotField showAll="0"/>
    <pivotField dataField="1" showAll="0"/>
    <pivotField showAll="0"/>
    <pivotField showAll="0"/>
    <pivotField showAll="0"/>
    <pivotField showAll="0">
      <items count="5">
        <item x="0"/>
        <item x="2"/>
        <item x="3"/>
        <item x="1"/>
        <item t="default"/>
      </items>
    </pivotField>
    <pivotField showAll="0"/>
  </pivotFields>
  <rowFields count="1">
    <field x="2"/>
  </rowFields>
  <rowItems count="6">
    <i>
      <x/>
    </i>
    <i>
      <x v="1"/>
    </i>
    <i>
      <x v="2"/>
    </i>
    <i>
      <x v="3"/>
    </i>
    <i>
      <x v="4"/>
    </i>
    <i t="grand">
      <x/>
    </i>
  </rowItems>
  <colItems count="1">
    <i/>
  </colItems>
  <dataFields count="1">
    <dataField name="Sum of Profit" fld="9" baseField="0" baseItem="0"/>
  </dataFields>
  <chartFormats count="2">
    <chartFormat chart="16" format="2" series="1">
      <pivotArea type="data" outline="0" fieldPosition="0">
        <references count="1">
          <reference field="4294967294" count="1" selected="0">
            <x v="0"/>
          </reference>
        </references>
      </pivotArea>
    </chartFormat>
    <chartFormat chart="2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1275B8A-7BB9-4864-B175-2FE62F286E74}"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0">
  <location ref="AJ15:AK20" firstHeaderRow="1" firstDataRow="1" firstDataCol="1"/>
  <pivotFields count="15">
    <pivotField showAll="0">
      <items count="4">
        <item x="2"/>
        <item x="0"/>
        <item x="1"/>
        <item t="default"/>
      </items>
    </pivotField>
    <pivotField showAll="0">
      <items count="13">
        <item h="1" x="0"/>
        <item h="1" x="10"/>
        <item h="1" x="4"/>
        <item h="1" x="9"/>
        <item h="1" x="7"/>
        <item h="1" x="2"/>
        <item h="1" x="1"/>
        <item h="1" x="6"/>
        <item h="1" x="3"/>
        <item x="5"/>
        <item h="1" x="8"/>
        <item h="1" x="11"/>
        <item t="default"/>
      </items>
    </pivotField>
    <pivotField showAll="0">
      <items count="6">
        <item x="3"/>
        <item x="1"/>
        <item x="2"/>
        <item x="0"/>
        <item x="4"/>
        <item t="default"/>
      </items>
    </pivotField>
    <pivotField showAll="0"/>
    <pivotField showAll="0"/>
    <pivotField showAll="0"/>
    <pivotField showAll="0"/>
    <pivotField showAll="0"/>
    <pivotField showAll="0"/>
    <pivotField showAll="0"/>
    <pivotField showAll="0"/>
    <pivotField showAll="0"/>
    <pivotField showAll="0"/>
    <pivotField showAll="0">
      <items count="5">
        <item x="0"/>
        <item x="2"/>
        <item x="3"/>
        <item x="1"/>
        <item t="default"/>
      </items>
    </pivotField>
    <pivotField axis="axisRow" dataField="1" showAll="0">
      <items count="5">
        <item x="1"/>
        <item x="0"/>
        <item x="3"/>
        <item x="2"/>
        <item t="default"/>
      </items>
    </pivotField>
  </pivotFields>
  <rowFields count="1">
    <field x="14"/>
  </rowFields>
  <rowItems count="5">
    <i>
      <x/>
    </i>
    <i>
      <x v="1"/>
    </i>
    <i>
      <x v="2"/>
    </i>
    <i>
      <x v="3"/>
    </i>
    <i t="grand">
      <x/>
    </i>
  </rowItems>
  <colItems count="1">
    <i/>
  </colItems>
  <dataFields count="1">
    <dataField name="Count of Action Required"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mand_Level" xr10:uid="{B6203F10-7F2A-470E-87A5-E925D9B4E22E}" sourceName="Demand Level">
  <pivotTables>
    <pivotTable tabId="2" name="PivotTable4"/>
    <pivotTable tabId="2" name="PivotTable13"/>
  </pivotTables>
  <data>
    <tabular pivotCacheId="863514582">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05B00C0-CB6A-49D8-B1F5-05E593599D39}" sourceName="Category">
  <pivotTables>
    <pivotTable tabId="2" name="PivotTable11"/>
    <pivotTable tabId="2" name="DEMAND VS STOCK"/>
    <pivotTable tabId="2" name="PivotTable1"/>
    <pivotTable tabId="2" name="PivotTable10"/>
    <pivotTable tabId="2" name="PivotTable12"/>
    <pivotTable tabId="2" name="ISSUE TRACKER"/>
    <pivotTable tabId="2" name="PROFIT by category"/>
    <pivotTable tabId="2" name="REVENUE"/>
    <pivotTable tabId="2" name="PivotTable6"/>
  </pivotTables>
  <data>
    <tabular pivotCacheId="863514582">
      <items count="5">
        <i x="3" s="1"/>
        <i x="1" s="1"/>
        <i x="2"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C04318F-D2D0-4506-9D97-8ED3EAFB241C}" sourceName="Year">
  <pivotTables>
    <pivotTable tabId="2" name="PROFIT by category"/>
    <pivotTable tabId="2" name="PivotTable11"/>
    <pivotTable tabId="2" name="DEMAND VS STOCK"/>
    <pivotTable tabId="2" name="ISSUE TRACKER"/>
    <pivotTable tabId="2" name="REVENUE"/>
    <pivotTable tabId="2" name="PivotTable6"/>
    <pivotTable tabId="2" name="PivotTable9"/>
  </pivotTables>
  <data>
    <tabular pivotCacheId="863514582">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 xr10:uid="{77B01A7F-8E4E-485A-9DE8-92CB85876D6D}" sourceName="state">
  <extLst>
    <x:ext xmlns:x15="http://schemas.microsoft.com/office/spreadsheetml/2010/11/main" uri="{2F2917AC-EB37-4324-AD4E-5DD8C200BD13}">
      <x15:tableSlicerCache tableId="2"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mand Level" xr10:uid="{084E347B-EA2A-4A20-842A-04C0AA23D432}" cache="Slicer_Demand_Level" caption="Demand Level" style="SlicerStyleDark3" rowHeight="241300"/>
  <slicer name="Year 1" xr10:uid="{1CB560FF-DE42-4E87-9D68-EDA96E3FB2BB}" cache="Slicer_Year" caption="Year" style="SlicerStyleDark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0A00CB2-8FD6-417F-9479-05ACE4C8379A}" cache="Slicer_Category" caption="Category" style="SlicerStyleDark3 2 2 2 2 2" rowHeight="241300"/>
  <slicer name="Year" xr10:uid="{54277ED3-E2B6-41ED-A436-DD7AB6F85E2E}" cache="Slicer_Year" caption="Year" style="SlicerStyleDark3 2 2 2 2 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7CB46BE3-587F-4505-AC24-4A3D9993E97F}" cache="Slicer_Column1" caption="state" style="SlicerStyleDark3 2 2 2 2 2"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3631C72-C289-470B-824A-D952156F3B0B}" name="Table2" displayName="Table2" ref="Q2:R8" totalsRowShown="0">
  <autoFilter ref="Q2:R8" xr:uid="{63631C72-C289-470B-824A-D952156F3B0B}"/>
  <tableColumns count="2">
    <tableColumn id="1" xr3:uid="{D667B0F1-60B0-41B0-944C-809550DEF0E5}" name="state"/>
    <tableColumn id="2" xr3:uid="{6508B959-37AF-4A10-BD5D-C0C805B13950}" name="sales" dataDxfId="6"/>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083B28-78C7-4FD9-B3A5-1ABEA1FA650B}" name="Table1" displayName="Table1" ref="I13:J1213" totalsRowShown="0" dataDxfId="3" tableBorderDxfId="2">
  <autoFilter ref="I13:J1213" xr:uid="{EA083B28-78C7-4FD9-B3A5-1ABEA1FA650B}"/>
  <tableColumns count="2">
    <tableColumn id="1" xr3:uid="{CA0926A9-1742-490F-AEB7-AAEAA8719B1B}" name="state" dataDxfId="1"/>
    <tableColumn id="2" xr3:uid="{B2397CC4-C8C2-4EF1-933B-43F5B793C076}" name="sales"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1.xml"/><Relationship Id="rId13" Type="http://schemas.openxmlformats.org/officeDocument/2006/relationships/pivotTable" Target="../pivotTables/pivotTable16.xml"/><Relationship Id="rId18" Type="http://schemas.openxmlformats.org/officeDocument/2006/relationships/drawing" Target="../drawings/drawing1.xml"/><Relationship Id="rId3" Type="http://schemas.openxmlformats.org/officeDocument/2006/relationships/pivotTable" Target="../pivotTables/pivotTable6.xml"/><Relationship Id="rId7" Type="http://schemas.openxmlformats.org/officeDocument/2006/relationships/pivotTable" Target="../pivotTables/pivotTable10.xml"/><Relationship Id="rId12" Type="http://schemas.openxmlformats.org/officeDocument/2006/relationships/pivotTable" Target="../pivotTables/pivotTable15.xml"/><Relationship Id="rId17" Type="http://schemas.openxmlformats.org/officeDocument/2006/relationships/printerSettings" Target="../printerSettings/printerSettings2.bin"/><Relationship Id="rId2" Type="http://schemas.openxmlformats.org/officeDocument/2006/relationships/pivotTable" Target="../pivotTables/pivotTable5.xml"/><Relationship Id="rId16" Type="http://schemas.openxmlformats.org/officeDocument/2006/relationships/pivotTable" Target="../pivotTables/pivotTable19.xml"/><Relationship Id="rId20" Type="http://schemas.microsoft.com/office/2007/relationships/slicer" Target="../slicers/slicer1.xml"/><Relationship Id="rId1" Type="http://schemas.openxmlformats.org/officeDocument/2006/relationships/pivotTable" Target="../pivotTables/pivotTable4.xml"/><Relationship Id="rId6" Type="http://schemas.openxmlformats.org/officeDocument/2006/relationships/pivotTable" Target="../pivotTables/pivotTable9.xml"/><Relationship Id="rId11" Type="http://schemas.openxmlformats.org/officeDocument/2006/relationships/pivotTable" Target="../pivotTables/pivotTable14.xml"/><Relationship Id="rId5" Type="http://schemas.openxmlformats.org/officeDocument/2006/relationships/pivotTable" Target="../pivotTables/pivotTable8.xml"/><Relationship Id="rId15" Type="http://schemas.openxmlformats.org/officeDocument/2006/relationships/pivotTable" Target="../pivotTables/pivotTable18.xml"/><Relationship Id="rId10" Type="http://schemas.openxmlformats.org/officeDocument/2006/relationships/pivotTable" Target="../pivotTables/pivotTable13.xml"/><Relationship Id="rId19" Type="http://schemas.openxmlformats.org/officeDocument/2006/relationships/table" Target="../tables/table2.xml"/><Relationship Id="rId4" Type="http://schemas.openxmlformats.org/officeDocument/2006/relationships/pivotTable" Target="../pivotTables/pivotTable7.xml"/><Relationship Id="rId9" Type="http://schemas.openxmlformats.org/officeDocument/2006/relationships/pivotTable" Target="../pivotTables/pivotTable12.xml"/><Relationship Id="rId14" Type="http://schemas.openxmlformats.org/officeDocument/2006/relationships/pivotTable" Target="../pivotTables/pivotTable17.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E7F18-E3CD-49F0-B5AD-31FF4474CEAA}">
  <dimension ref="A3:C20"/>
  <sheetViews>
    <sheetView workbookViewId="0">
      <selection activeCell="B8" sqref="B8"/>
    </sheetView>
  </sheetViews>
  <sheetFormatPr defaultRowHeight="14.4" x14ac:dyDescent="0.3"/>
  <sheetData>
    <row r="3" spans="1:3" x14ac:dyDescent="0.3">
      <c r="A3" s="14"/>
      <c r="B3" s="15"/>
      <c r="C3" s="16"/>
    </row>
    <row r="4" spans="1:3" x14ac:dyDescent="0.3">
      <c r="A4" s="17"/>
      <c r="B4" s="18"/>
      <c r="C4" s="19"/>
    </row>
    <row r="5" spans="1:3" x14ac:dyDescent="0.3">
      <c r="A5" s="17"/>
      <c r="B5" s="18"/>
      <c r="C5" s="19"/>
    </row>
    <row r="6" spans="1:3" x14ac:dyDescent="0.3">
      <c r="A6" s="17"/>
      <c r="B6" s="18"/>
      <c r="C6" s="19"/>
    </row>
    <row r="7" spans="1:3" x14ac:dyDescent="0.3">
      <c r="A7" s="17"/>
      <c r="B7" s="18"/>
      <c r="C7" s="19"/>
    </row>
    <row r="8" spans="1:3" x14ac:dyDescent="0.3">
      <c r="A8" s="17"/>
      <c r="B8" s="18"/>
      <c r="C8" s="19"/>
    </row>
    <row r="9" spans="1:3" x14ac:dyDescent="0.3">
      <c r="A9" s="17"/>
      <c r="B9" s="18"/>
      <c r="C9" s="19"/>
    </row>
    <row r="10" spans="1:3" x14ac:dyDescent="0.3">
      <c r="A10" s="17"/>
      <c r="B10" s="18"/>
      <c r="C10" s="19"/>
    </row>
    <row r="11" spans="1:3" x14ac:dyDescent="0.3">
      <c r="A11" s="17"/>
      <c r="B11" s="18"/>
      <c r="C11" s="19"/>
    </row>
    <row r="12" spans="1:3" x14ac:dyDescent="0.3">
      <c r="A12" s="17"/>
      <c r="B12" s="18"/>
      <c r="C12" s="19"/>
    </row>
    <row r="13" spans="1:3" x14ac:dyDescent="0.3">
      <c r="A13" s="17"/>
      <c r="B13" s="18"/>
      <c r="C13" s="19"/>
    </row>
    <row r="14" spans="1:3" x14ac:dyDescent="0.3">
      <c r="A14" s="17"/>
      <c r="B14" s="18"/>
      <c r="C14" s="19"/>
    </row>
    <row r="15" spans="1:3" x14ac:dyDescent="0.3">
      <c r="A15" s="17"/>
      <c r="B15" s="18"/>
      <c r="C15" s="19"/>
    </row>
    <row r="16" spans="1:3" x14ac:dyDescent="0.3">
      <c r="A16" s="17"/>
      <c r="B16" s="18"/>
      <c r="C16" s="19"/>
    </row>
    <row r="17" spans="1:3" x14ac:dyDescent="0.3">
      <c r="A17" s="17"/>
      <c r="B17" s="18"/>
      <c r="C17" s="19"/>
    </row>
    <row r="18" spans="1:3" x14ac:dyDescent="0.3">
      <c r="A18" s="17"/>
      <c r="B18" s="18"/>
      <c r="C18" s="19"/>
    </row>
    <row r="19" spans="1:3" x14ac:dyDescent="0.3">
      <c r="A19" s="17"/>
      <c r="B19" s="18"/>
      <c r="C19" s="19"/>
    </row>
    <row r="20" spans="1:3" x14ac:dyDescent="0.3">
      <c r="A20" s="20"/>
      <c r="B20" s="21"/>
      <c r="C20" s="2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33323-FC00-4452-BA54-0739E455BA1E}">
  <dimension ref="A3:B16"/>
  <sheetViews>
    <sheetView workbookViewId="0">
      <selection activeCell="A3" sqref="A3:B16"/>
    </sheetView>
  </sheetViews>
  <sheetFormatPr defaultRowHeight="14.4" x14ac:dyDescent="0.3"/>
  <cols>
    <col min="1" max="1" width="13.109375" bestFit="1" customWidth="1"/>
    <col min="2" max="2" width="16.44140625" bestFit="1" customWidth="1"/>
  </cols>
  <sheetData>
    <row r="3" spans="1:2" x14ac:dyDescent="0.3">
      <c r="A3" s="1" t="s">
        <v>60</v>
      </c>
      <c r="B3" t="s">
        <v>66</v>
      </c>
    </row>
    <row r="4" spans="1:2" x14ac:dyDescent="0.3">
      <c r="A4" s="2" t="s">
        <v>15</v>
      </c>
      <c r="B4">
        <v>593.50999999999988</v>
      </c>
    </row>
    <row r="5" spans="1:2" x14ac:dyDescent="0.3">
      <c r="A5" s="2" t="s">
        <v>51</v>
      </c>
      <c r="B5">
        <v>724.71999999999991</v>
      </c>
    </row>
    <row r="6" spans="1:2" x14ac:dyDescent="0.3">
      <c r="A6" s="2" t="s">
        <v>39</v>
      </c>
      <c r="B6">
        <v>631.78000000000009</v>
      </c>
    </row>
    <row r="7" spans="1:2" x14ac:dyDescent="0.3">
      <c r="A7" s="2" t="s">
        <v>49</v>
      </c>
      <c r="B7">
        <v>703.6</v>
      </c>
    </row>
    <row r="8" spans="1:2" x14ac:dyDescent="0.3">
      <c r="A8" s="2" t="s">
        <v>46</v>
      </c>
      <c r="B8">
        <v>748.39</v>
      </c>
    </row>
    <row r="9" spans="1:2" x14ac:dyDescent="0.3">
      <c r="A9" s="2" t="s">
        <v>29</v>
      </c>
      <c r="B9">
        <v>820.27000000000021</v>
      </c>
    </row>
    <row r="10" spans="1:2" x14ac:dyDescent="0.3">
      <c r="A10" s="2" t="s">
        <v>21</v>
      </c>
      <c r="B10">
        <v>951.16</v>
      </c>
    </row>
    <row r="11" spans="1:2" x14ac:dyDescent="0.3">
      <c r="A11" s="2" t="s">
        <v>45</v>
      </c>
      <c r="B11">
        <v>727.19999999999993</v>
      </c>
    </row>
    <row r="12" spans="1:2" x14ac:dyDescent="0.3">
      <c r="A12" s="2" t="s">
        <v>32</v>
      </c>
      <c r="B12">
        <v>694.89000000000033</v>
      </c>
    </row>
    <row r="13" spans="1:2" x14ac:dyDescent="0.3">
      <c r="A13" s="2" t="s">
        <v>41</v>
      </c>
      <c r="B13">
        <v>781.42</v>
      </c>
    </row>
    <row r="14" spans="1:2" x14ac:dyDescent="0.3">
      <c r="A14" s="2" t="s">
        <v>47</v>
      </c>
      <c r="B14">
        <v>691.73000000000013</v>
      </c>
    </row>
    <row r="15" spans="1:2" x14ac:dyDescent="0.3">
      <c r="A15" s="2" t="s">
        <v>57</v>
      </c>
      <c r="B15">
        <v>938.6100000000007</v>
      </c>
    </row>
    <row r="16" spans="1:2" x14ac:dyDescent="0.3">
      <c r="A16" s="2" t="s">
        <v>61</v>
      </c>
      <c r="B16">
        <v>9007.2800000000007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W1205"/>
  <sheetViews>
    <sheetView topLeftCell="A4" zoomScale="70" zoomScaleNormal="70" workbookViewId="0">
      <selection activeCell="U16" sqref="U16"/>
    </sheetView>
  </sheetViews>
  <sheetFormatPr defaultRowHeight="14.4" x14ac:dyDescent="0.3"/>
  <cols>
    <col min="3" max="3" width="18.5546875" bestFit="1" customWidth="1"/>
    <col min="4" max="4" width="16.88671875" bestFit="1" customWidth="1"/>
    <col min="5" max="5" width="10" bestFit="1" customWidth="1"/>
    <col min="6" max="6" width="11.88671875" bestFit="1" customWidth="1"/>
    <col min="7" max="7" width="9.6640625" bestFit="1" customWidth="1"/>
    <col min="12" max="12" width="14.5546875" bestFit="1" customWidth="1"/>
    <col min="14" max="14" width="12.88671875" bestFit="1" customWidth="1"/>
    <col min="15" max="15" width="22" bestFit="1" customWidth="1"/>
    <col min="16" max="16" width="65" customWidth="1"/>
    <col min="17" max="17" width="13.109375" bestFit="1" customWidth="1"/>
    <col min="18" max="18" width="14.33203125" bestFit="1" customWidth="1"/>
    <col min="21" max="21" width="17.88671875" bestFit="1" customWidth="1"/>
    <col min="22" max="22" width="17.109375" bestFit="1" customWidth="1"/>
  </cols>
  <sheetData>
    <row r="2" spans="1:23" ht="22.2" x14ac:dyDescent="0.35">
      <c r="E2" s="36" t="s">
        <v>77</v>
      </c>
      <c r="F2" s="37"/>
      <c r="G2" s="38"/>
      <c r="Q2" t="s">
        <v>80</v>
      </c>
      <c r="R2" s="23" t="s">
        <v>81</v>
      </c>
    </row>
    <row r="3" spans="1:23" x14ac:dyDescent="0.3">
      <c r="Q3" t="s">
        <v>71</v>
      </c>
      <c r="R3" s="23">
        <f>SUMIF(P6:P1205,"maharashtra",H6:H1205)</f>
        <v>16736.8</v>
      </c>
      <c r="U3" s="1" t="s">
        <v>60</v>
      </c>
      <c r="V3" t="s">
        <v>89</v>
      </c>
    </row>
    <row r="4" spans="1:23" x14ac:dyDescent="0.3">
      <c r="Q4" t="s">
        <v>72</v>
      </c>
      <c r="R4" s="23">
        <f>SUMIF(P6:P1205,"gujarat",H6:H1205)</f>
        <v>12980.239999999998</v>
      </c>
      <c r="U4" s="2" t="s">
        <v>75</v>
      </c>
      <c r="V4">
        <v>14412.089999999993</v>
      </c>
    </row>
    <row r="5" spans="1:23" s="6" customFormat="1" x14ac:dyDescent="0.3">
      <c r="A5" s="3" t="s">
        <v>0</v>
      </c>
      <c r="B5" s="3" t="s">
        <v>1</v>
      </c>
      <c r="C5" s="3" t="s">
        <v>2</v>
      </c>
      <c r="D5" s="3" t="s">
        <v>3</v>
      </c>
      <c r="E5" s="3" t="s">
        <v>4</v>
      </c>
      <c r="F5" s="3" t="s">
        <v>5</v>
      </c>
      <c r="G5" s="3" t="s">
        <v>6</v>
      </c>
      <c r="H5" s="3" t="s">
        <v>7</v>
      </c>
      <c r="I5" s="3" t="s">
        <v>8</v>
      </c>
      <c r="J5" s="3" t="s">
        <v>9</v>
      </c>
      <c r="K5" s="3" t="s">
        <v>10</v>
      </c>
      <c r="L5" s="3" t="s">
        <v>11</v>
      </c>
      <c r="M5" s="3" t="s">
        <v>12</v>
      </c>
      <c r="N5" s="3" t="s">
        <v>13</v>
      </c>
      <c r="O5" s="5" t="s">
        <v>14</v>
      </c>
      <c r="P5" s="3" t="s">
        <v>80</v>
      </c>
      <c r="Q5" t="s">
        <v>73</v>
      </c>
      <c r="R5" s="23">
        <f>SUMIF(P6:P1205,"tamil nadu",H6:H1205)</f>
        <v>16180.659999999994</v>
      </c>
      <c r="U5" s="2" t="s">
        <v>61</v>
      </c>
      <c r="V5">
        <v>14412.089999999993</v>
      </c>
      <c r="W5"/>
    </row>
    <row r="6" spans="1:23" x14ac:dyDescent="0.3">
      <c r="A6" s="4">
        <v>2024</v>
      </c>
      <c r="B6" s="4" t="s">
        <v>15</v>
      </c>
      <c r="C6" s="4" t="s">
        <v>16</v>
      </c>
      <c r="D6" s="4" t="s">
        <v>17</v>
      </c>
      <c r="E6" s="4">
        <v>51</v>
      </c>
      <c r="F6" s="4">
        <v>301</v>
      </c>
      <c r="G6" s="4">
        <v>129</v>
      </c>
      <c r="H6" s="4">
        <v>15.35</v>
      </c>
      <c r="I6" s="4">
        <v>6.58</v>
      </c>
      <c r="J6" s="4">
        <v>8.77</v>
      </c>
      <c r="K6" s="4">
        <v>-7.88</v>
      </c>
      <c r="L6" s="4">
        <v>30</v>
      </c>
      <c r="M6" s="4" t="s">
        <v>18</v>
      </c>
      <c r="N6" s="4" t="s">
        <v>19</v>
      </c>
      <c r="O6" s="4" t="s">
        <v>62</v>
      </c>
      <c r="P6" s="4" t="s">
        <v>72</v>
      </c>
      <c r="Q6" t="s">
        <v>74</v>
      </c>
      <c r="R6" s="23">
        <f>SUMIF(P6:P1205,"karnataka",H6:H1205)</f>
        <v>15235.229999999998</v>
      </c>
    </row>
    <row r="7" spans="1:23" x14ac:dyDescent="0.3">
      <c r="A7" s="4">
        <v>2024</v>
      </c>
      <c r="B7" s="4" t="s">
        <v>21</v>
      </c>
      <c r="C7" s="4" t="s">
        <v>22</v>
      </c>
      <c r="D7" s="4" t="s">
        <v>23</v>
      </c>
      <c r="E7" s="4">
        <v>370</v>
      </c>
      <c r="F7" s="4">
        <v>216</v>
      </c>
      <c r="G7" s="4">
        <v>38</v>
      </c>
      <c r="H7" s="4">
        <v>79.92</v>
      </c>
      <c r="I7" s="4">
        <v>14.06</v>
      </c>
      <c r="J7" s="4">
        <v>65.86</v>
      </c>
      <c r="K7" s="4">
        <v>5.82</v>
      </c>
      <c r="L7" s="4">
        <v>26</v>
      </c>
      <c r="M7" s="4" t="s">
        <v>18</v>
      </c>
      <c r="N7" s="4" t="s">
        <v>24</v>
      </c>
      <c r="O7" s="4" t="s">
        <v>63</v>
      </c>
      <c r="P7" s="4" t="s">
        <v>76</v>
      </c>
      <c r="Q7" t="s">
        <v>75</v>
      </c>
      <c r="R7" s="23">
        <f>SUMIF(P6:P1205,"delhi",H6:H1205)</f>
        <v>14799.62999999999</v>
      </c>
    </row>
    <row r="8" spans="1:23" x14ac:dyDescent="0.3">
      <c r="A8" s="4">
        <v>2025</v>
      </c>
      <c r="B8" s="4" t="s">
        <v>21</v>
      </c>
      <c r="C8" s="4" t="s">
        <v>26</v>
      </c>
      <c r="D8" s="4" t="s">
        <v>27</v>
      </c>
      <c r="E8" s="4">
        <v>82</v>
      </c>
      <c r="F8" s="4">
        <v>451</v>
      </c>
      <c r="G8" s="4">
        <v>162</v>
      </c>
      <c r="H8" s="4">
        <v>36.979999999999997</v>
      </c>
      <c r="I8" s="4">
        <v>13.28</v>
      </c>
      <c r="J8" s="4">
        <v>23.7</v>
      </c>
      <c r="K8" s="4">
        <v>5.88</v>
      </c>
      <c r="L8" s="4">
        <v>176</v>
      </c>
      <c r="M8" s="4" t="s">
        <v>28</v>
      </c>
      <c r="N8" s="4" t="s">
        <v>19</v>
      </c>
      <c r="O8" s="4" t="s">
        <v>62</v>
      </c>
      <c r="P8" s="4" t="s">
        <v>76</v>
      </c>
      <c r="Q8" t="s">
        <v>76</v>
      </c>
      <c r="R8" s="23">
        <f>SUMIF(P6:P1205,"rajasthan",H6:H1205)</f>
        <v>14536.179999999998</v>
      </c>
    </row>
    <row r="9" spans="1:23" x14ac:dyDescent="0.3">
      <c r="A9" s="4">
        <v>2025</v>
      </c>
      <c r="B9" s="4" t="s">
        <v>29</v>
      </c>
      <c r="C9" s="4" t="s">
        <v>16</v>
      </c>
      <c r="D9" s="4" t="s">
        <v>30</v>
      </c>
      <c r="E9" s="4">
        <v>467</v>
      </c>
      <c r="F9" s="4">
        <v>165</v>
      </c>
      <c r="G9" s="4">
        <v>112</v>
      </c>
      <c r="H9" s="4">
        <v>77.06</v>
      </c>
      <c r="I9" s="4">
        <v>52.3</v>
      </c>
      <c r="J9" s="4">
        <v>24.75</v>
      </c>
      <c r="K9" s="4">
        <v>0.88</v>
      </c>
      <c r="L9" s="4">
        <v>55</v>
      </c>
      <c r="M9" s="4" t="s">
        <v>18</v>
      </c>
      <c r="N9" s="4" t="s">
        <v>31</v>
      </c>
      <c r="O9" s="4" t="s">
        <v>42</v>
      </c>
      <c r="P9" s="4" t="s">
        <v>74</v>
      </c>
      <c r="R9" s="30"/>
    </row>
    <row r="10" spans="1:23" x14ac:dyDescent="0.3">
      <c r="A10" s="4">
        <v>2023</v>
      </c>
      <c r="B10" s="4" t="s">
        <v>32</v>
      </c>
      <c r="C10" s="4" t="s">
        <v>33</v>
      </c>
      <c r="D10" s="4" t="s">
        <v>34</v>
      </c>
      <c r="E10" s="4">
        <v>404</v>
      </c>
      <c r="F10" s="4">
        <v>161</v>
      </c>
      <c r="G10" s="4">
        <v>77</v>
      </c>
      <c r="H10" s="4">
        <v>65.040000000000006</v>
      </c>
      <c r="I10" s="4">
        <v>31.11</v>
      </c>
      <c r="J10" s="4">
        <v>33.94</v>
      </c>
      <c r="K10" s="4">
        <v>21.52</v>
      </c>
      <c r="L10" s="4">
        <v>43</v>
      </c>
      <c r="M10" s="4" t="s">
        <v>18</v>
      </c>
      <c r="N10" s="4" t="s">
        <v>31</v>
      </c>
      <c r="O10" s="4" t="s">
        <v>42</v>
      </c>
      <c r="P10" s="4" t="s">
        <v>73</v>
      </c>
      <c r="R10" s="30"/>
      <c r="S10" s="6"/>
    </row>
    <row r="11" spans="1:23" x14ac:dyDescent="0.3">
      <c r="A11" s="4">
        <v>2024</v>
      </c>
      <c r="B11" s="4" t="s">
        <v>21</v>
      </c>
      <c r="C11" s="4" t="s">
        <v>35</v>
      </c>
      <c r="D11" s="4" t="s">
        <v>36</v>
      </c>
      <c r="E11" s="4">
        <v>62</v>
      </c>
      <c r="F11" s="4">
        <v>164</v>
      </c>
      <c r="G11" s="4">
        <v>85</v>
      </c>
      <c r="H11" s="4">
        <v>10.17</v>
      </c>
      <c r="I11" s="4">
        <v>5.27</v>
      </c>
      <c r="J11" s="4">
        <v>4.9000000000000004</v>
      </c>
      <c r="K11" s="4">
        <v>24.36</v>
      </c>
      <c r="L11" s="4">
        <v>148</v>
      </c>
      <c r="M11" s="4" t="s">
        <v>37</v>
      </c>
      <c r="N11" s="4" t="s">
        <v>38</v>
      </c>
      <c r="O11" s="4" t="s">
        <v>44</v>
      </c>
      <c r="P11" s="4" t="s">
        <v>71</v>
      </c>
      <c r="Q11" s="6"/>
      <c r="R11" s="30"/>
      <c r="S11" s="6"/>
    </row>
    <row r="12" spans="1:23" x14ac:dyDescent="0.3">
      <c r="A12" s="4">
        <v>2024</v>
      </c>
      <c r="B12" s="4" t="s">
        <v>39</v>
      </c>
      <c r="C12" s="4" t="s">
        <v>35</v>
      </c>
      <c r="D12" s="4" t="s">
        <v>40</v>
      </c>
      <c r="E12" s="4">
        <v>142</v>
      </c>
      <c r="F12" s="4">
        <v>352</v>
      </c>
      <c r="G12" s="4">
        <v>178</v>
      </c>
      <c r="H12" s="4">
        <v>49.98</v>
      </c>
      <c r="I12" s="4">
        <v>25.28</v>
      </c>
      <c r="J12" s="4">
        <v>24.71</v>
      </c>
      <c r="K12" s="4">
        <v>17.3</v>
      </c>
      <c r="L12" s="4">
        <v>73</v>
      </c>
      <c r="M12" s="4" t="s">
        <v>28</v>
      </c>
      <c r="N12" s="4" t="s">
        <v>24</v>
      </c>
      <c r="O12" s="4" t="s">
        <v>63</v>
      </c>
      <c r="P12" s="4" t="s">
        <v>71</v>
      </c>
      <c r="Q12" s="6"/>
      <c r="R12" s="30"/>
    </row>
    <row r="13" spans="1:23" x14ac:dyDescent="0.3">
      <c r="A13" s="4">
        <v>2023</v>
      </c>
      <c r="B13" s="4" t="s">
        <v>41</v>
      </c>
      <c r="C13" s="4" t="s">
        <v>22</v>
      </c>
      <c r="D13" s="4" t="s">
        <v>23</v>
      </c>
      <c r="E13" s="4">
        <v>377</v>
      </c>
      <c r="F13" s="4">
        <v>421</v>
      </c>
      <c r="G13" s="4">
        <v>397</v>
      </c>
      <c r="H13" s="4">
        <v>158.72</v>
      </c>
      <c r="I13" s="4">
        <v>149.66999999999999</v>
      </c>
      <c r="J13" s="4">
        <v>9.0500000000000007</v>
      </c>
      <c r="K13" s="4">
        <v>0.2</v>
      </c>
      <c r="L13" s="4">
        <v>261</v>
      </c>
      <c r="M13" s="4" t="s">
        <v>37</v>
      </c>
      <c r="N13" s="4" t="s">
        <v>19</v>
      </c>
      <c r="O13" s="4" t="s">
        <v>62</v>
      </c>
      <c r="P13" s="4" t="s">
        <v>73</v>
      </c>
      <c r="R13" s="30"/>
    </row>
    <row r="14" spans="1:23" x14ac:dyDescent="0.3">
      <c r="A14" s="4">
        <v>2025</v>
      </c>
      <c r="B14" s="4" t="s">
        <v>32</v>
      </c>
      <c r="C14" s="4" t="s">
        <v>35</v>
      </c>
      <c r="D14" s="4" t="s">
        <v>43</v>
      </c>
      <c r="E14" s="4">
        <v>171</v>
      </c>
      <c r="F14" s="4">
        <v>308</v>
      </c>
      <c r="G14" s="4">
        <v>245</v>
      </c>
      <c r="H14" s="4">
        <v>52.67</v>
      </c>
      <c r="I14" s="4">
        <v>41.9</v>
      </c>
      <c r="J14" s="4">
        <v>10.77</v>
      </c>
      <c r="K14" s="4">
        <v>23.07</v>
      </c>
      <c r="L14" s="4">
        <v>103</v>
      </c>
      <c r="M14" s="4" t="s">
        <v>18</v>
      </c>
      <c r="N14" s="4" t="s">
        <v>19</v>
      </c>
      <c r="O14" s="4" t="s">
        <v>62</v>
      </c>
      <c r="P14" s="4" t="s">
        <v>76</v>
      </c>
      <c r="R14" s="30"/>
    </row>
    <row r="15" spans="1:23" x14ac:dyDescent="0.3">
      <c r="A15" s="4">
        <v>2023</v>
      </c>
      <c r="B15" s="4" t="s">
        <v>32</v>
      </c>
      <c r="C15" s="4" t="s">
        <v>22</v>
      </c>
      <c r="D15" s="4" t="s">
        <v>23</v>
      </c>
      <c r="E15" s="4">
        <v>214</v>
      </c>
      <c r="F15" s="4">
        <v>360</v>
      </c>
      <c r="G15" s="4">
        <v>261</v>
      </c>
      <c r="H15" s="4">
        <v>77.040000000000006</v>
      </c>
      <c r="I15" s="4">
        <v>55.85</v>
      </c>
      <c r="J15" s="4">
        <v>21.19</v>
      </c>
      <c r="K15" s="4">
        <v>1.84</v>
      </c>
      <c r="L15" s="4">
        <v>285</v>
      </c>
      <c r="M15" s="4" t="s">
        <v>28</v>
      </c>
      <c r="N15" s="4" t="s">
        <v>19</v>
      </c>
      <c r="O15" s="4" t="s">
        <v>62</v>
      </c>
      <c r="P15" s="4" t="s">
        <v>74</v>
      </c>
      <c r="R15" s="30"/>
      <c r="S15" s="6"/>
    </row>
    <row r="16" spans="1:23" x14ac:dyDescent="0.3">
      <c r="A16" s="4">
        <v>2023</v>
      </c>
      <c r="B16" s="4" t="s">
        <v>45</v>
      </c>
      <c r="C16" s="4" t="s">
        <v>35</v>
      </c>
      <c r="D16" s="4" t="s">
        <v>40</v>
      </c>
      <c r="E16" s="4">
        <v>72</v>
      </c>
      <c r="F16" s="4">
        <v>416</v>
      </c>
      <c r="G16" s="4">
        <v>177</v>
      </c>
      <c r="H16" s="4">
        <v>29.95</v>
      </c>
      <c r="I16" s="4">
        <v>12.74</v>
      </c>
      <c r="J16" s="4">
        <v>17.21</v>
      </c>
      <c r="K16" s="4">
        <v>23.85</v>
      </c>
      <c r="L16" s="4">
        <v>211</v>
      </c>
      <c r="M16" s="4" t="s">
        <v>18</v>
      </c>
      <c r="N16" s="4" t="s">
        <v>24</v>
      </c>
      <c r="O16" s="4" t="s">
        <v>63</v>
      </c>
      <c r="P16" s="4" t="s">
        <v>71</v>
      </c>
      <c r="Q16" s="6"/>
      <c r="R16" s="32"/>
    </row>
    <row r="17" spans="1:19" x14ac:dyDescent="0.3">
      <c r="A17" s="4">
        <v>2024</v>
      </c>
      <c r="B17" s="4" t="s">
        <v>46</v>
      </c>
      <c r="C17" s="4" t="s">
        <v>16</v>
      </c>
      <c r="D17" s="4" t="s">
        <v>30</v>
      </c>
      <c r="E17" s="4">
        <v>157</v>
      </c>
      <c r="F17" s="4">
        <v>323</v>
      </c>
      <c r="G17" s="4">
        <v>105</v>
      </c>
      <c r="H17" s="4">
        <v>50.71</v>
      </c>
      <c r="I17" s="4">
        <v>16.48</v>
      </c>
      <c r="J17" s="4">
        <v>34.229999999999997</v>
      </c>
      <c r="K17" s="4">
        <v>22.05</v>
      </c>
      <c r="L17" s="4">
        <v>63</v>
      </c>
      <c r="M17" s="4" t="s">
        <v>28</v>
      </c>
      <c r="N17" s="4" t="s">
        <v>38</v>
      </c>
      <c r="O17" s="4" t="s">
        <v>44</v>
      </c>
      <c r="P17" s="4" t="s">
        <v>73</v>
      </c>
      <c r="R17" s="33"/>
    </row>
    <row r="18" spans="1:19" x14ac:dyDescent="0.3">
      <c r="A18" s="4">
        <v>2024</v>
      </c>
      <c r="B18" s="4" t="s">
        <v>47</v>
      </c>
      <c r="C18" s="4" t="s">
        <v>33</v>
      </c>
      <c r="D18" s="4" t="s">
        <v>48</v>
      </c>
      <c r="E18" s="4">
        <v>116</v>
      </c>
      <c r="F18" s="4">
        <v>384</v>
      </c>
      <c r="G18" s="4">
        <v>225</v>
      </c>
      <c r="H18" s="4">
        <v>44.54</v>
      </c>
      <c r="I18" s="4">
        <v>26.1</v>
      </c>
      <c r="J18" s="4">
        <v>18.440000000000001</v>
      </c>
      <c r="K18" s="4">
        <v>22.33</v>
      </c>
      <c r="L18" s="4">
        <v>25</v>
      </c>
      <c r="M18" s="4" t="s">
        <v>37</v>
      </c>
      <c r="N18" s="4" t="s">
        <v>24</v>
      </c>
      <c r="O18" s="4" t="s">
        <v>63</v>
      </c>
      <c r="P18" s="4" t="s">
        <v>75</v>
      </c>
      <c r="S18" s="6"/>
    </row>
    <row r="19" spans="1:19" x14ac:dyDescent="0.3">
      <c r="A19" s="4">
        <v>2023</v>
      </c>
      <c r="B19" s="4" t="s">
        <v>46</v>
      </c>
      <c r="C19" s="4" t="s">
        <v>16</v>
      </c>
      <c r="D19" s="4" t="s">
        <v>30</v>
      </c>
      <c r="E19" s="4">
        <v>316</v>
      </c>
      <c r="F19" s="4">
        <v>338</v>
      </c>
      <c r="G19" s="4">
        <v>288</v>
      </c>
      <c r="H19" s="4">
        <v>106.81</v>
      </c>
      <c r="I19" s="4">
        <v>91.01</v>
      </c>
      <c r="J19" s="4">
        <v>15.8</v>
      </c>
      <c r="K19" s="4">
        <v>19.100000000000001</v>
      </c>
      <c r="L19" s="4">
        <v>55</v>
      </c>
      <c r="M19" s="4" t="s">
        <v>28</v>
      </c>
      <c r="N19" s="4" t="s">
        <v>38</v>
      </c>
      <c r="O19" s="4" t="s">
        <v>44</v>
      </c>
      <c r="P19" s="4" t="s">
        <v>71</v>
      </c>
      <c r="Q19" s="6"/>
      <c r="R19" s="32"/>
    </row>
    <row r="20" spans="1:19" x14ac:dyDescent="0.3">
      <c r="A20" s="4">
        <v>2024</v>
      </c>
      <c r="B20" s="4" t="s">
        <v>49</v>
      </c>
      <c r="C20" s="4" t="s">
        <v>33</v>
      </c>
      <c r="D20" s="4" t="s">
        <v>50</v>
      </c>
      <c r="E20" s="4">
        <v>421</v>
      </c>
      <c r="F20" s="4">
        <v>351</v>
      </c>
      <c r="G20" s="4">
        <v>278</v>
      </c>
      <c r="H20" s="4">
        <v>147.77000000000001</v>
      </c>
      <c r="I20" s="4">
        <v>117.04</v>
      </c>
      <c r="J20" s="4">
        <v>30.73</v>
      </c>
      <c r="K20" s="4">
        <v>-6.46</v>
      </c>
      <c r="L20" s="4">
        <v>75</v>
      </c>
      <c r="M20" s="4" t="s">
        <v>18</v>
      </c>
      <c r="N20" s="4" t="s">
        <v>24</v>
      </c>
      <c r="O20" s="4" t="s">
        <v>63</v>
      </c>
      <c r="P20" s="4" t="s">
        <v>73</v>
      </c>
      <c r="R20" s="34"/>
    </row>
    <row r="21" spans="1:19" x14ac:dyDescent="0.3">
      <c r="A21" s="4">
        <v>2023</v>
      </c>
      <c r="B21" s="4" t="s">
        <v>39</v>
      </c>
      <c r="C21" s="4" t="s">
        <v>26</v>
      </c>
      <c r="D21" s="4" t="s">
        <v>27</v>
      </c>
      <c r="E21" s="4">
        <v>334</v>
      </c>
      <c r="F21" s="4">
        <v>126</v>
      </c>
      <c r="G21" s="4">
        <v>81</v>
      </c>
      <c r="H21" s="4">
        <v>42.08</v>
      </c>
      <c r="I21" s="4">
        <v>27.05</v>
      </c>
      <c r="J21" s="4">
        <v>15.03</v>
      </c>
      <c r="K21" s="4">
        <v>-1.94</v>
      </c>
      <c r="L21" s="4">
        <v>192</v>
      </c>
      <c r="M21" s="4" t="s">
        <v>18</v>
      </c>
      <c r="N21" s="4" t="s">
        <v>19</v>
      </c>
      <c r="O21" s="4" t="s">
        <v>62</v>
      </c>
      <c r="P21" s="4" t="s">
        <v>73</v>
      </c>
    </row>
    <row r="22" spans="1:19" x14ac:dyDescent="0.3">
      <c r="A22" s="4">
        <v>2023</v>
      </c>
      <c r="B22" s="4" t="s">
        <v>21</v>
      </c>
      <c r="C22" s="4" t="s">
        <v>16</v>
      </c>
      <c r="D22" s="4" t="s">
        <v>30</v>
      </c>
      <c r="E22" s="4">
        <v>100</v>
      </c>
      <c r="F22" s="4">
        <v>324</v>
      </c>
      <c r="G22" s="4">
        <v>284</v>
      </c>
      <c r="H22" s="4">
        <v>32.4</v>
      </c>
      <c r="I22" s="4">
        <v>28.4</v>
      </c>
      <c r="J22" s="4">
        <v>4</v>
      </c>
      <c r="K22" s="4">
        <v>11.38</v>
      </c>
      <c r="L22" s="4">
        <v>34</v>
      </c>
      <c r="M22" s="4" t="s">
        <v>37</v>
      </c>
      <c r="N22" s="4" t="s">
        <v>38</v>
      </c>
      <c r="O22" s="4" t="s">
        <v>44</v>
      </c>
      <c r="P22" s="4" t="s">
        <v>72</v>
      </c>
    </row>
    <row r="23" spans="1:19" x14ac:dyDescent="0.3">
      <c r="A23" s="4">
        <v>2024</v>
      </c>
      <c r="B23" s="4" t="s">
        <v>39</v>
      </c>
      <c r="C23" s="4" t="s">
        <v>16</v>
      </c>
      <c r="D23" s="4" t="s">
        <v>17</v>
      </c>
      <c r="E23" s="4">
        <v>142</v>
      </c>
      <c r="F23" s="4">
        <v>406</v>
      </c>
      <c r="G23" s="4">
        <v>284</v>
      </c>
      <c r="H23" s="4">
        <v>57.65</v>
      </c>
      <c r="I23" s="4">
        <v>40.33</v>
      </c>
      <c r="J23" s="4">
        <v>17.32</v>
      </c>
      <c r="K23" s="4">
        <v>-0.98</v>
      </c>
      <c r="L23" s="4">
        <v>47</v>
      </c>
      <c r="M23" s="4" t="s">
        <v>37</v>
      </c>
      <c r="N23" s="4" t="s">
        <v>19</v>
      </c>
      <c r="O23" s="4" t="s">
        <v>62</v>
      </c>
      <c r="P23" s="4" t="s">
        <v>71</v>
      </c>
      <c r="R23" s="32"/>
    </row>
    <row r="24" spans="1:19" x14ac:dyDescent="0.3">
      <c r="A24" s="4">
        <v>2023</v>
      </c>
      <c r="B24" s="4" t="s">
        <v>51</v>
      </c>
      <c r="C24" s="4" t="s">
        <v>33</v>
      </c>
      <c r="D24" s="4" t="s">
        <v>48</v>
      </c>
      <c r="E24" s="4">
        <v>234</v>
      </c>
      <c r="F24" s="4">
        <v>247</v>
      </c>
      <c r="G24" s="4">
        <v>30</v>
      </c>
      <c r="H24" s="4">
        <v>57.8</v>
      </c>
      <c r="I24" s="4">
        <v>7.02</v>
      </c>
      <c r="J24" s="4">
        <v>50.78</v>
      </c>
      <c r="K24" s="4">
        <v>4.5</v>
      </c>
      <c r="L24" s="4">
        <v>78</v>
      </c>
      <c r="M24" s="4" t="s">
        <v>18</v>
      </c>
      <c r="N24" s="4" t="s">
        <v>38</v>
      </c>
      <c r="O24" s="4" t="s">
        <v>44</v>
      </c>
      <c r="P24" s="4" t="s">
        <v>75</v>
      </c>
      <c r="R24" s="33"/>
    </row>
    <row r="25" spans="1:19" x14ac:dyDescent="0.3">
      <c r="A25" s="4">
        <v>2024</v>
      </c>
      <c r="B25" s="4" t="s">
        <v>15</v>
      </c>
      <c r="C25" s="4" t="s">
        <v>33</v>
      </c>
      <c r="D25" s="4" t="s">
        <v>34</v>
      </c>
      <c r="E25" s="4">
        <v>373</v>
      </c>
      <c r="F25" s="4">
        <v>447</v>
      </c>
      <c r="G25" s="4">
        <v>410</v>
      </c>
      <c r="H25" s="4">
        <v>166.73</v>
      </c>
      <c r="I25" s="4">
        <v>152.93</v>
      </c>
      <c r="J25" s="4">
        <v>13.8</v>
      </c>
      <c r="K25" s="4">
        <v>15.64</v>
      </c>
      <c r="L25" s="4">
        <v>47</v>
      </c>
      <c r="M25" s="4" t="s">
        <v>18</v>
      </c>
      <c r="N25" s="4" t="s">
        <v>31</v>
      </c>
      <c r="O25" s="4" t="s">
        <v>42</v>
      </c>
      <c r="P25" s="4" t="s">
        <v>76</v>
      </c>
      <c r="S25" s="6"/>
    </row>
    <row r="26" spans="1:19" x14ac:dyDescent="0.3">
      <c r="A26" s="4">
        <v>2025</v>
      </c>
      <c r="B26" s="4" t="s">
        <v>41</v>
      </c>
      <c r="C26" s="4" t="s">
        <v>33</v>
      </c>
      <c r="D26" s="4" t="s">
        <v>34</v>
      </c>
      <c r="E26" s="4">
        <v>79</v>
      </c>
      <c r="F26" s="4">
        <v>327</v>
      </c>
      <c r="G26" s="4">
        <v>196</v>
      </c>
      <c r="H26" s="4">
        <v>25.83</v>
      </c>
      <c r="I26" s="4">
        <v>15.48</v>
      </c>
      <c r="J26" s="4">
        <v>10.35</v>
      </c>
      <c r="K26" s="4">
        <v>12.63</v>
      </c>
      <c r="L26" s="4">
        <v>233</v>
      </c>
      <c r="M26" s="4" t="s">
        <v>18</v>
      </c>
      <c r="N26" s="4" t="s">
        <v>24</v>
      </c>
      <c r="O26" s="4" t="s">
        <v>63</v>
      </c>
      <c r="P26" s="4" t="s">
        <v>73</v>
      </c>
      <c r="Q26" s="6"/>
      <c r="R26" s="32"/>
    </row>
    <row r="27" spans="1:19" x14ac:dyDescent="0.3">
      <c r="A27" s="4">
        <v>2023</v>
      </c>
      <c r="B27" s="4" t="s">
        <v>41</v>
      </c>
      <c r="C27" s="4" t="s">
        <v>26</v>
      </c>
      <c r="D27" s="4" t="s">
        <v>52</v>
      </c>
      <c r="E27" s="4">
        <v>195</v>
      </c>
      <c r="F27" s="4">
        <v>182</v>
      </c>
      <c r="G27" s="4">
        <v>151</v>
      </c>
      <c r="H27" s="4">
        <v>35.49</v>
      </c>
      <c r="I27" s="4">
        <v>29.45</v>
      </c>
      <c r="J27" s="4">
        <v>6.05</v>
      </c>
      <c r="K27" s="4">
        <v>1.66</v>
      </c>
      <c r="L27" s="4">
        <v>79</v>
      </c>
      <c r="M27" s="4" t="s">
        <v>37</v>
      </c>
      <c r="N27" s="4" t="s">
        <v>24</v>
      </c>
      <c r="O27" s="4" t="s">
        <v>63</v>
      </c>
      <c r="P27" s="4" t="s">
        <v>71</v>
      </c>
    </row>
    <row r="28" spans="1:19" x14ac:dyDescent="0.3">
      <c r="A28" s="4">
        <v>2024</v>
      </c>
      <c r="B28" s="4" t="s">
        <v>21</v>
      </c>
      <c r="C28" s="4" t="s">
        <v>35</v>
      </c>
      <c r="D28" s="4" t="s">
        <v>43</v>
      </c>
      <c r="E28" s="4">
        <v>131</v>
      </c>
      <c r="F28" s="4">
        <v>486</v>
      </c>
      <c r="G28" s="4">
        <v>308</v>
      </c>
      <c r="H28" s="4">
        <v>63.67</v>
      </c>
      <c r="I28" s="4">
        <v>40.35</v>
      </c>
      <c r="J28" s="4">
        <v>23.32</v>
      </c>
      <c r="K28" s="4">
        <v>23.51</v>
      </c>
      <c r="L28" s="4">
        <v>74</v>
      </c>
      <c r="M28" s="4" t="s">
        <v>18</v>
      </c>
      <c r="N28" s="4" t="s">
        <v>24</v>
      </c>
      <c r="O28" s="4" t="s">
        <v>63</v>
      </c>
      <c r="P28" s="4" t="s">
        <v>71</v>
      </c>
      <c r="S28" s="6"/>
    </row>
    <row r="29" spans="1:19" x14ac:dyDescent="0.3">
      <c r="A29" s="4">
        <v>2025</v>
      </c>
      <c r="B29" s="4" t="s">
        <v>49</v>
      </c>
      <c r="C29" s="4" t="s">
        <v>22</v>
      </c>
      <c r="D29" s="4" t="s">
        <v>53</v>
      </c>
      <c r="E29" s="4">
        <v>137</v>
      </c>
      <c r="F29" s="4">
        <v>88</v>
      </c>
      <c r="G29" s="4">
        <v>38</v>
      </c>
      <c r="H29" s="4">
        <v>12.06</v>
      </c>
      <c r="I29" s="4">
        <v>5.21</v>
      </c>
      <c r="J29" s="4">
        <v>6.85</v>
      </c>
      <c r="K29" s="4">
        <v>22.85</v>
      </c>
      <c r="L29" s="4">
        <v>152</v>
      </c>
      <c r="M29" s="4" t="s">
        <v>37</v>
      </c>
      <c r="N29" s="4" t="s">
        <v>31</v>
      </c>
      <c r="O29" s="4" t="s">
        <v>42</v>
      </c>
      <c r="P29" s="4" t="s">
        <v>71</v>
      </c>
      <c r="Q29" s="6"/>
      <c r="R29" s="32"/>
    </row>
    <row r="30" spans="1:19" x14ac:dyDescent="0.3">
      <c r="A30" s="4">
        <v>2025</v>
      </c>
      <c r="B30" s="4" t="s">
        <v>45</v>
      </c>
      <c r="C30" s="4" t="s">
        <v>35</v>
      </c>
      <c r="D30" s="4" t="s">
        <v>43</v>
      </c>
      <c r="E30" s="4">
        <v>315</v>
      </c>
      <c r="F30" s="4">
        <v>101</v>
      </c>
      <c r="G30" s="4">
        <v>59</v>
      </c>
      <c r="H30" s="4">
        <v>31.82</v>
      </c>
      <c r="I30" s="4">
        <v>18.59</v>
      </c>
      <c r="J30" s="4">
        <v>13.23</v>
      </c>
      <c r="K30" s="4">
        <v>1.42</v>
      </c>
      <c r="L30" s="4">
        <v>74</v>
      </c>
      <c r="M30" s="4" t="s">
        <v>37</v>
      </c>
      <c r="N30" s="4" t="s">
        <v>38</v>
      </c>
      <c r="O30" s="4" t="s">
        <v>44</v>
      </c>
      <c r="P30" s="4" t="s">
        <v>71</v>
      </c>
      <c r="R30" s="33"/>
    </row>
    <row r="31" spans="1:19" x14ac:dyDescent="0.3">
      <c r="A31" s="4">
        <v>2023</v>
      </c>
      <c r="B31" s="4" t="s">
        <v>46</v>
      </c>
      <c r="C31" s="4" t="s">
        <v>35</v>
      </c>
      <c r="D31" s="4" t="s">
        <v>43</v>
      </c>
      <c r="E31" s="4">
        <v>175</v>
      </c>
      <c r="F31" s="4">
        <v>368</v>
      </c>
      <c r="G31" s="4">
        <v>61</v>
      </c>
      <c r="H31" s="4">
        <v>64.400000000000006</v>
      </c>
      <c r="I31" s="4">
        <v>10.68</v>
      </c>
      <c r="J31" s="4">
        <v>53.73</v>
      </c>
      <c r="K31" s="4">
        <v>11.59</v>
      </c>
      <c r="L31" s="4">
        <v>121</v>
      </c>
      <c r="M31" s="4" t="s">
        <v>28</v>
      </c>
      <c r="N31" s="4" t="s">
        <v>31</v>
      </c>
      <c r="O31" s="4" t="s">
        <v>42</v>
      </c>
      <c r="P31" s="4" t="s">
        <v>71</v>
      </c>
    </row>
    <row r="32" spans="1:19" x14ac:dyDescent="0.3">
      <c r="A32" s="4">
        <v>2023</v>
      </c>
      <c r="B32" s="4" t="s">
        <v>32</v>
      </c>
      <c r="C32" s="4" t="s">
        <v>33</v>
      </c>
      <c r="D32" s="4" t="s">
        <v>54</v>
      </c>
      <c r="E32" s="4">
        <v>364</v>
      </c>
      <c r="F32" s="4">
        <v>496</v>
      </c>
      <c r="G32" s="4">
        <v>387</v>
      </c>
      <c r="H32" s="4">
        <v>180.54</v>
      </c>
      <c r="I32" s="4">
        <v>140.87</v>
      </c>
      <c r="J32" s="4">
        <v>39.68</v>
      </c>
      <c r="K32" s="4">
        <v>-4.28</v>
      </c>
      <c r="L32" s="4">
        <v>169</v>
      </c>
      <c r="M32" s="4" t="s">
        <v>18</v>
      </c>
      <c r="N32" s="4" t="s">
        <v>19</v>
      </c>
      <c r="O32" s="4" t="s">
        <v>62</v>
      </c>
      <c r="P32" s="4" t="s">
        <v>71</v>
      </c>
    </row>
    <row r="33" spans="1:19" x14ac:dyDescent="0.3">
      <c r="A33" s="4">
        <v>2023</v>
      </c>
      <c r="B33" s="4" t="s">
        <v>29</v>
      </c>
      <c r="C33" s="4" t="s">
        <v>22</v>
      </c>
      <c r="D33" s="4" t="s">
        <v>55</v>
      </c>
      <c r="E33" s="4">
        <v>316</v>
      </c>
      <c r="F33" s="4">
        <v>299</v>
      </c>
      <c r="G33" s="4">
        <v>139</v>
      </c>
      <c r="H33" s="4">
        <v>94.48</v>
      </c>
      <c r="I33" s="4">
        <v>43.92</v>
      </c>
      <c r="J33" s="4">
        <v>50.56</v>
      </c>
      <c r="K33" s="4">
        <v>6.58</v>
      </c>
      <c r="L33" s="4">
        <v>56</v>
      </c>
      <c r="M33" s="4" t="s">
        <v>18</v>
      </c>
      <c r="N33" s="4" t="s">
        <v>24</v>
      </c>
      <c r="O33" s="4" t="s">
        <v>63</v>
      </c>
      <c r="P33" s="4" t="s">
        <v>71</v>
      </c>
    </row>
    <row r="34" spans="1:19" x14ac:dyDescent="0.3">
      <c r="A34" s="4">
        <v>2023</v>
      </c>
      <c r="B34" s="4" t="s">
        <v>47</v>
      </c>
      <c r="C34" s="4" t="s">
        <v>16</v>
      </c>
      <c r="D34" s="4" t="s">
        <v>30</v>
      </c>
      <c r="E34" s="4">
        <v>295</v>
      </c>
      <c r="F34" s="4">
        <v>310</v>
      </c>
      <c r="G34" s="4">
        <v>94</v>
      </c>
      <c r="H34" s="4">
        <v>91.45</v>
      </c>
      <c r="I34" s="4">
        <v>27.73</v>
      </c>
      <c r="J34" s="4">
        <v>63.72</v>
      </c>
      <c r="K34" s="4">
        <v>-6.44</v>
      </c>
      <c r="L34" s="4">
        <v>238</v>
      </c>
      <c r="M34" s="4" t="s">
        <v>37</v>
      </c>
      <c r="N34" s="4" t="s">
        <v>31</v>
      </c>
      <c r="O34" s="4" t="s">
        <v>42</v>
      </c>
      <c r="P34" s="4" t="s">
        <v>71</v>
      </c>
    </row>
    <row r="35" spans="1:19" x14ac:dyDescent="0.3">
      <c r="A35" s="4">
        <v>2024</v>
      </c>
      <c r="B35" s="4" t="s">
        <v>41</v>
      </c>
      <c r="C35" s="4" t="s">
        <v>16</v>
      </c>
      <c r="D35" s="4" t="s">
        <v>56</v>
      </c>
      <c r="E35" s="4">
        <v>235</v>
      </c>
      <c r="F35" s="4">
        <v>343</v>
      </c>
      <c r="G35" s="4">
        <v>176</v>
      </c>
      <c r="H35" s="4">
        <v>80.61</v>
      </c>
      <c r="I35" s="4">
        <v>41.36</v>
      </c>
      <c r="J35" s="4">
        <v>39.25</v>
      </c>
      <c r="K35" s="4">
        <v>8.48</v>
      </c>
      <c r="L35" s="4">
        <v>50</v>
      </c>
      <c r="M35" s="4" t="s">
        <v>28</v>
      </c>
      <c r="N35" s="4" t="s">
        <v>38</v>
      </c>
      <c r="O35" s="4" t="s">
        <v>44</v>
      </c>
      <c r="P35" s="4" t="s">
        <v>71</v>
      </c>
      <c r="S35" s="10"/>
    </row>
    <row r="36" spans="1:19" x14ac:dyDescent="0.3">
      <c r="A36" s="4">
        <v>2023</v>
      </c>
      <c r="B36" s="4" t="s">
        <v>21</v>
      </c>
      <c r="C36" s="4" t="s">
        <v>26</v>
      </c>
      <c r="D36" s="4" t="s">
        <v>27</v>
      </c>
      <c r="E36" s="4">
        <v>407</v>
      </c>
      <c r="F36" s="4">
        <v>310</v>
      </c>
      <c r="G36" s="4">
        <v>159</v>
      </c>
      <c r="H36" s="4">
        <v>126.17</v>
      </c>
      <c r="I36" s="4">
        <v>64.709999999999994</v>
      </c>
      <c r="J36" s="4">
        <v>61.46</v>
      </c>
      <c r="K36" s="4">
        <v>4.25</v>
      </c>
      <c r="L36" s="4">
        <v>216</v>
      </c>
      <c r="M36" s="4" t="s">
        <v>28</v>
      </c>
      <c r="N36" s="4" t="s">
        <v>24</v>
      </c>
      <c r="O36" s="4" t="s">
        <v>63</v>
      </c>
      <c r="P36" s="4" t="s">
        <v>71</v>
      </c>
      <c r="S36" s="10"/>
    </row>
    <row r="37" spans="1:19" x14ac:dyDescent="0.3">
      <c r="A37" s="4">
        <v>2024</v>
      </c>
      <c r="B37" s="4" t="s">
        <v>49</v>
      </c>
      <c r="C37" s="4" t="s">
        <v>33</v>
      </c>
      <c r="D37" s="4" t="s">
        <v>48</v>
      </c>
      <c r="E37" s="4">
        <v>312</v>
      </c>
      <c r="F37" s="4">
        <v>476</v>
      </c>
      <c r="G37" s="4">
        <v>227</v>
      </c>
      <c r="H37" s="4">
        <v>148.51</v>
      </c>
      <c r="I37" s="4">
        <v>70.819999999999993</v>
      </c>
      <c r="J37" s="4">
        <v>77.69</v>
      </c>
      <c r="K37" s="4">
        <v>6.57</v>
      </c>
      <c r="L37" s="4">
        <v>50</v>
      </c>
      <c r="M37" s="4" t="s">
        <v>37</v>
      </c>
      <c r="N37" s="4" t="s">
        <v>24</v>
      </c>
      <c r="O37" s="4" t="s">
        <v>63</v>
      </c>
      <c r="P37" s="4" t="s">
        <v>73</v>
      </c>
      <c r="S37" s="10"/>
    </row>
    <row r="38" spans="1:19" x14ac:dyDescent="0.3">
      <c r="A38" s="4">
        <v>2025</v>
      </c>
      <c r="B38" s="4" t="s">
        <v>21</v>
      </c>
      <c r="C38" s="4" t="s">
        <v>22</v>
      </c>
      <c r="D38" s="4" t="s">
        <v>23</v>
      </c>
      <c r="E38" s="4">
        <v>500</v>
      </c>
      <c r="F38" s="4">
        <v>429</v>
      </c>
      <c r="G38" s="4">
        <v>93</v>
      </c>
      <c r="H38" s="4">
        <v>214.5</v>
      </c>
      <c r="I38" s="4">
        <v>46.5</v>
      </c>
      <c r="J38" s="4">
        <v>168</v>
      </c>
      <c r="K38" s="4">
        <v>9.66</v>
      </c>
      <c r="L38" s="4">
        <v>28</v>
      </c>
      <c r="M38" s="4" t="s">
        <v>28</v>
      </c>
      <c r="N38" s="4" t="s">
        <v>31</v>
      </c>
      <c r="O38" s="4" t="s">
        <v>42</v>
      </c>
      <c r="P38" s="4" t="s">
        <v>72</v>
      </c>
      <c r="S38" s="10"/>
    </row>
    <row r="39" spans="1:19" x14ac:dyDescent="0.3">
      <c r="A39" s="4">
        <v>2025</v>
      </c>
      <c r="B39" s="4" t="s">
        <v>47</v>
      </c>
      <c r="C39" s="4" t="s">
        <v>35</v>
      </c>
      <c r="D39" s="4" t="s">
        <v>36</v>
      </c>
      <c r="E39" s="4">
        <v>218</v>
      </c>
      <c r="F39" s="4">
        <v>436</v>
      </c>
      <c r="G39" s="4">
        <v>201</v>
      </c>
      <c r="H39" s="4">
        <v>95.05</v>
      </c>
      <c r="I39" s="4">
        <v>43.82</v>
      </c>
      <c r="J39" s="4">
        <v>51.23</v>
      </c>
      <c r="K39" s="4">
        <v>2.25</v>
      </c>
      <c r="L39" s="4">
        <v>144</v>
      </c>
      <c r="M39" s="4" t="s">
        <v>37</v>
      </c>
      <c r="N39" s="4" t="s">
        <v>38</v>
      </c>
      <c r="O39" s="4" t="s">
        <v>44</v>
      </c>
      <c r="P39" s="4" t="s">
        <v>73</v>
      </c>
      <c r="S39" s="10"/>
    </row>
    <row r="40" spans="1:19" x14ac:dyDescent="0.3">
      <c r="A40" s="4">
        <v>2024</v>
      </c>
      <c r="B40" s="4" t="s">
        <v>57</v>
      </c>
      <c r="C40" s="4" t="s">
        <v>35</v>
      </c>
      <c r="D40" s="4" t="s">
        <v>36</v>
      </c>
      <c r="E40" s="4">
        <v>195</v>
      </c>
      <c r="F40" s="4">
        <v>386</v>
      </c>
      <c r="G40" s="4">
        <v>176</v>
      </c>
      <c r="H40" s="4">
        <v>75.27</v>
      </c>
      <c r="I40" s="4">
        <v>34.32</v>
      </c>
      <c r="J40" s="4">
        <v>40.950000000000003</v>
      </c>
      <c r="K40" s="4">
        <v>-0.83</v>
      </c>
      <c r="L40" s="4">
        <v>206</v>
      </c>
      <c r="M40" s="4" t="s">
        <v>37</v>
      </c>
      <c r="N40" s="4" t="s">
        <v>19</v>
      </c>
      <c r="O40" s="4" t="s">
        <v>62</v>
      </c>
      <c r="P40" s="4" t="s">
        <v>73</v>
      </c>
    </row>
    <row r="41" spans="1:19" x14ac:dyDescent="0.3">
      <c r="A41" s="4">
        <v>2025</v>
      </c>
      <c r="B41" s="4" t="s">
        <v>39</v>
      </c>
      <c r="C41" s="4" t="s">
        <v>26</v>
      </c>
      <c r="D41" s="4" t="s">
        <v>27</v>
      </c>
      <c r="E41" s="4">
        <v>456</v>
      </c>
      <c r="F41" s="4">
        <v>403</v>
      </c>
      <c r="G41" s="4">
        <v>258</v>
      </c>
      <c r="H41" s="4">
        <v>183.77</v>
      </c>
      <c r="I41" s="4">
        <v>117.65</v>
      </c>
      <c r="J41" s="4">
        <v>66.12</v>
      </c>
      <c r="K41" s="4">
        <v>6.13</v>
      </c>
      <c r="L41" s="4">
        <v>189</v>
      </c>
      <c r="M41" s="4" t="s">
        <v>37</v>
      </c>
      <c r="N41" s="4" t="s">
        <v>38</v>
      </c>
      <c r="O41" s="4" t="s">
        <v>44</v>
      </c>
      <c r="P41" s="4" t="s">
        <v>74</v>
      </c>
    </row>
    <row r="42" spans="1:19" x14ac:dyDescent="0.3">
      <c r="A42" s="4">
        <v>2023</v>
      </c>
      <c r="B42" s="4" t="s">
        <v>46</v>
      </c>
      <c r="C42" s="4" t="s">
        <v>26</v>
      </c>
      <c r="D42" s="4" t="s">
        <v>27</v>
      </c>
      <c r="E42" s="4">
        <v>130</v>
      </c>
      <c r="F42" s="4">
        <v>449</v>
      </c>
      <c r="G42" s="4">
        <v>290</v>
      </c>
      <c r="H42" s="4">
        <v>58.37</v>
      </c>
      <c r="I42" s="4">
        <v>37.700000000000003</v>
      </c>
      <c r="J42" s="4">
        <v>20.67</v>
      </c>
      <c r="K42" s="4">
        <v>17.62</v>
      </c>
      <c r="L42" s="4">
        <v>136</v>
      </c>
      <c r="M42" s="4" t="s">
        <v>37</v>
      </c>
      <c r="N42" s="4" t="s">
        <v>24</v>
      </c>
      <c r="O42" s="4" t="s">
        <v>63</v>
      </c>
      <c r="P42" s="4" t="s">
        <v>74</v>
      </c>
    </row>
    <row r="43" spans="1:19" x14ac:dyDescent="0.3">
      <c r="A43" s="4">
        <v>2024</v>
      </c>
      <c r="B43" s="4" t="s">
        <v>21</v>
      </c>
      <c r="C43" s="4" t="s">
        <v>35</v>
      </c>
      <c r="D43" s="4" t="s">
        <v>40</v>
      </c>
      <c r="E43" s="4">
        <v>204</v>
      </c>
      <c r="F43" s="4">
        <v>84</v>
      </c>
      <c r="G43" s="4">
        <v>58</v>
      </c>
      <c r="H43" s="4">
        <v>17.14</v>
      </c>
      <c r="I43" s="4">
        <v>11.83</v>
      </c>
      <c r="J43" s="4">
        <v>5.3</v>
      </c>
      <c r="K43" s="4">
        <v>2.5099999999999998</v>
      </c>
      <c r="L43" s="4">
        <v>251</v>
      </c>
      <c r="M43" s="4" t="s">
        <v>18</v>
      </c>
      <c r="N43" s="4" t="s">
        <v>31</v>
      </c>
      <c r="O43" s="4" t="s">
        <v>42</v>
      </c>
      <c r="P43" s="4" t="s">
        <v>76</v>
      </c>
    </row>
    <row r="44" spans="1:19" x14ac:dyDescent="0.3">
      <c r="A44" s="4">
        <v>2023</v>
      </c>
      <c r="B44" s="4" t="s">
        <v>45</v>
      </c>
      <c r="C44" s="4" t="s">
        <v>35</v>
      </c>
      <c r="D44" s="4" t="s">
        <v>36</v>
      </c>
      <c r="E44" s="4">
        <v>270</v>
      </c>
      <c r="F44" s="4">
        <v>70</v>
      </c>
      <c r="G44" s="4">
        <v>48</v>
      </c>
      <c r="H44" s="4">
        <v>18.899999999999999</v>
      </c>
      <c r="I44" s="4">
        <v>12.96</v>
      </c>
      <c r="J44" s="4">
        <v>5.94</v>
      </c>
      <c r="K44" s="4">
        <v>22.65</v>
      </c>
      <c r="L44" s="4">
        <v>65</v>
      </c>
      <c r="M44" s="4" t="s">
        <v>18</v>
      </c>
      <c r="N44" s="4" t="s">
        <v>19</v>
      </c>
      <c r="O44" s="4" t="s">
        <v>62</v>
      </c>
      <c r="P44" s="4" t="s">
        <v>73</v>
      </c>
    </row>
    <row r="45" spans="1:19" x14ac:dyDescent="0.3">
      <c r="A45" s="4">
        <v>2024</v>
      </c>
      <c r="B45" s="4" t="s">
        <v>39</v>
      </c>
      <c r="C45" s="4" t="s">
        <v>16</v>
      </c>
      <c r="D45" s="4" t="s">
        <v>30</v>
      </c>
      <c r="E45" s="4">
        <v>289</v>
      </c>
      <c r="F45" s="4">
        <v>67</v>
      </c>
      <c r="G45" s="4">
        <v>47</v>
      </c>
      <c r="H45" s="4">
        <v>19.36</v>
      </c>
      <c r="I45" s="4">
        <v>13.58</v>
      </c>
      <c r="J45" s="4">
        <v>5.78</v>
      </c>
      <c r="K45" s="4">
        <v>2.75</v>
      </c>
      <c r="L45" s="4">
        <v>161</v>
      </c>
      <c r="M45" s="4" t="s">
        <v>18</v>
      </c>
      <c r="N45" s="4" t="s">
        <v>24</v>
      </c>
      <c r="O45" s="4" t="s">
        <v>63</v>
      </c>
      <c r="P45" s="4" t="s">
        <v>71</v>
      </c>
    </row>
    <row r="46" spans="1:19" x14ac:dyDescent="0.3">
      <c r="A46" s="4">
        <v>2023</v>
      </c>
      <c r="B46" s="4" t="s">
        <v>15</v>
      </c>
      <c r="C46" s="4" t="s">
        <v>33</v>
      </c>
      <c r="D46" s="4" t="s">
        <v>54</v>
      </c>
      <c r="E46" s="4">
        <v>252</v>
      </c>
      <c r="F46" s="4">
        <v>164</v>
      </c>
      <c r="G46" s="4">
        <v>108</v>
      </c>
      <c r="H46" s="4">
        <v>41.33</v>
      </c>
      <c r="I46" s="4">
        <v>27.22</v>
      </c>
      <c r="J46" s="4">
        <v>14.11</v>
      </c>
      <c r="K46" s="4">
        <v>15.12</v>
      </c>
      <c r="L46" s="4">
        <v>238</v>
      </c>
      <c r="M46" s="4" t="s">
        <v>28</v>
      </c>
      <c r="N46" s="4" t="s">
        <v>31</v>
      </c>
      <c r="O46" s="4" t="s">
        <v>42</v>
      </c>
      <c r="P46" s="4" t="s">
        <v>75</v>
      </c>
    </row>
    <row r="47" spans="1:19" x14ac:dyDescent="0.3">
      <c r="A47" s="4">
        <v>2024</v>
      </c>
      <c r="B47" s="4" t="s">
        <v>51</v>
      </c>
      <c r="C47" s="4" t="s">
        <v>35</v>
      </c>
      <c r="D47" s="4" t="s">
        <v>40</v>
      </c>
      <c r="E47" s="4">
        <v>123</v>
      </c>
      <c r="F47" s="4">
        <v>111</v>
      </c>
      <c r="G47" s="4">
        <v>79</v>
      </c>
      <c r="H47" s="4">
        <v>13.65</v>
      </c>
      <c r="I47" s="4">
        <v>9.7200000000000006</v>
      </c>
      <c r="J47" s="4">
        <v>3.94</v>
      </c>
      <c r="K47" s="4">
        <v>18.8</v>
      </c>
      <c r="L47" s="4">
        <v>35</v>
      </c>
      <c r="M47" s="4" t="s">
        <v>18</v>
      </c>
      <c r="N47" s="4" t="s">
        <v>38</v>
      </c>
      <c r="O47" s="4" t="s">
        <v>44</v>
      </c>
      <c r="P47" s="4" t="s">
        <v>75</v>
      </c>
    </row>
    <row r="48" spans="1:19" x14ac:dyDescent="0.3">
      <c r="A48" s="4">
        <v>2023</v>
      </c>
      <c r="B48" s="4" t="s">
        <v>21</v>
      </c>
      <c r="C48" s="4" t="s">
        <v>33</v>
      </c>
      <c r="D48" s="4" t="s">
        <v>50</v>
      </c>
      <c r="E48" s="4">
        <v>262</v>
      </c>
      <c r="F48" s="4">
        <v>384</v>
      </c>
      <c r="G48" s="4">
        <v>218</v>
      </c>
      <c r="H48" s="4">
        <v>100.61</v>
      </c>
      <c r="I48" s="4">
        <v>57.12</v>
      </c>
      <c r="J48" s="4">
        <v>43.49</v>
      </c>
      <c r="K48" s="4">
        <v>17.579999999999998</v>
      </c>
      <c r="L48" s="4">
        <v>126</v>
      </c>
      <c r="M48" s="4" t="s">
        <v>28</v>
      </c>
      <c r="N48" s="4" t="s">
        <v>31</v>
      </c>
      <c r="O48" s="4" t="s">
        <v>42</v>
      </c>
      <c r="P48" s="4" t="s">
        <v>75</v>
      </c>
    </row>
    <row r="49" spans="1:16" x14ac:dyDescent="0.3">
      <c r="A49" s="4">
        <v>2023</v>
      </c>
      <c r="B49" s="4" t="s">
        <v>41</v>
      </c>
      <c r="C49" s="4" t="s">
        <v>22</v>
      </c>
      <c r="D49" s="4" t="s">
        <v>23</v>
      </c>
      <c r="E49" s="4">
        <v>381</v>
      </c>
      <c r="F49" s="4">
        <v>160</v>
      </c>
      <c r="G49" s="4">
        <v>110</v>
      </c>
      <c r="H49" s="4">
        <v>60.96</v>
      </c>
      <c r="I49" s="4">
        <v>41.91</v>
      </c>
      <c r="J49" s="4">
        <v>19.05</v>
      </c>
      <c r="K49" s="4">
        <v>21.65</v>
      </c>
      <c r="L49" s="4">
        <v>106</v>
      </c>
      <c r="M49" s="4" t="s">
        <v>37</v>
      </c>
      <c r="N49" s="4" t="s">
        <v>19</v>
      </c>
      <c r="O49" s="4" t="s">
        <v>62</v>
      </c>
      <c r="P49" s="4" t="s">
        <v>75</v>
      </c>
    </row>
    <row r="50" spans="1:16" x14ac:dyDescent="0.3">
      <c r="A50" s="4">
        <v>2024</v>
      </c>
      <c r="B50" s="4" t="s">
        <v>49</v>
      </c>
      <c r="C50" s="4" t="s">
        <v>22</v>
      </c>
      <c r="D50" s="4" t="s">
        <v>23</v>
      </c>
      <c r="E50" s="4">
        <v>81</v>
      </c>
      <c r="F50" s="4">
        <v>397</v>
      </c>
      <c r="G50" s="4">
        <v>270</v>
      </c>
      <c r="H50" s="4">
        <v>32.159999999999997</v>
      </c>
      <c r="I50" s="4">
        <v>21.87</v>
      </c>
      <c r="J50" s="4">
        <v>10.29</v>
      </c>
      <c r="K50" s="4">
        <v>14.56</v>
      </c>
      <c r="L50" s="4">
        <v>152</v>
      </c>
      <c r="M50" s="4" t="s">
        <v>37</v>
      </c>
      <c r="N50" s="4" t="s">
        <v>38</v>
      </c>
      <c r="O50" s="4" t="s">
        <v>44</v>
      </c>
      <c r="P50" s="4" t="s">
        <v>75</v>
      </c>
    </row>
    <row r="51" spans="1:16" x14ac:dyDescent="0.3">
      <c r="A51" s="4">
        <v>2023</v>
      </c>
      <c r="B51" s="4" t="s">
        <v>45</v>
      </c>
      <c r="C51" s="4" t="s">
        <v>26</v>
      </c>
      <c r="D51" s="4" t="s">
        <v>52</v>
      </c>
      <c r="E51" s="4">
        <v>249</v>
      </c>
      <c r="F51" s="4">
        <v>210</v>
      </c>
      <c r="G51" s="4">
        <v>56</v>
      </c>
      <c r="H51" s="4">
        <v>52.29</v>
      </c>
      <c r="I51" s="4">
        <v>13.94</v>
      </c>
      <c r="J51" s="4">
        <v>38.35</v>
      </c>
      <c r="K51" s="4">
        <v>4.66</v>
      </c>
      <c r="L51" s="4">
        <v>78</v>
      </c>
      <c r="M51" s="4" t="s">
        <v>37</v>
      </c>
      <c r="N51" s="4" t="s">
        <v>19</v>
      </c>
      <c r="O51" s="4" t="s">
        <v>62</v>
      </c>
      <c r="P51" s="4" t="s">
        <v>75</v>
      </c>
    </row>
    <row r="52" spans="1:16" x14ac:dyDescent="0.3">
      <c r="A52" s="4">
        <v>2024</v>
      </c>
      <c r="B52" s="4" t="s">
        <v>29</v>
      </c>
      <c r="C52" s="4" t="s">
        <v>16</v>
      </c>
      <c r="D52" s="4" t="s">
        <v>30</v>
      </c>
      <c r="E52" s="4">
        <v>262</v>
      </c>
      <c r="F52" s="4">
        <v>251</v>
      </c>
      <c r="G52" s="4">
        <v>178</v>
      </c>
      <c r="H52" s="4">
        <v>65.760000000000005</v>
      </c>
      <c r="I52" s="4">
        <v>46.64</v>
      </c>
      <c r="J52" s="4">
        <v>19.13</v>
      </c>
      <c r="K52" s="4">
        <v>9.39</v>
      </c>
      <c r="L52" s="4">
        <v>178</v>
      </c>
      <c r="M52" s="4" t="s">
        <v>18</v>
      </c>
      <c r="N52" s="4" t="s">
        <v>19</v>
      </c>
      <c r="O52" s="4" t="s">
        <v>62</v>
      </c>
      <c r="P52" s="4" t="s">
        <v>75</v>
      </c>
    </row>
    <row r="53" spans="1:16" x14ac:dyDescent="0.3">
      <c r="A53" s="4">
        <v>2023</v>
      </c>
      <c r="B53" s="4" t="s">
        <v>41</v>
      </c>
      <c r="C53" s="4" t="s">
        <v>26</v>
      </c>
      <c r="D53" s="4" t="s">
        <v>27</v>
      </c>
      <c r="E53" s="4">
        <v>377</v>
      </c>
      <c r="F53" s="4">
        <v>368</v>
      </c>
      <c r="G53" s="4">
        <v>99</v>
      </c>
      <c r="H53" s="4">
        <v>138.74</v>
      </c>
      <c r="I53" s="4">
        <v>37.32</v>
      </c>
      <c r="J53" s="4">
        <v>101.41</v>
      </c>
      <c r="K53" s="4">
        <v>8.56</v>
      </c>
      <c r="L53" s="4">
        <v>106</v>
      </c>
      <c r="M53" s="4" t="s">
        <v>37</v>
      </c>
      <c r="N53" s="4" t="s">
        <v>19</v>
      </c>
      <c r="O53" s="4" t="s">
        <v>62</v>
      </c>
      <c r="P53" s="4" t="s">
        <v>75</v>
      </c>
    </row>
    <row r="54" spans="1:16" x14ac:dyDescent="0.3">
      <c r="A54" s="4">
        <v>2023</v>
      </c>
      <c r="B54" s="4" t="s">
        <v>41</v>
      </c>
      <c r="C54" s="4" t="s">
        <v>33</v>
      </c>
      <c r="D54" s="4" t="s">
        <v>48</v>
      </c>
      <c r="E54" s="4">
        <v>436</v>
      </c>
      <c r="F54" s="4">
        <v>410</v>
      </c>
      <c r="G54" s="4">
        <v>104</v>
      </c>
      <c r="H54" s="4">
        <v>178.76</v>
      </c>
      <c r="I54" s="4">
        <v>45.34</v>
      </c>
      <c r="J54" s="4">
        <v>133.41999999999999</v>
      </c>
      <c r="K54" s="4">
        <v>-8.83</v>
      </c>
      <c r="L54" s="4">
        <v>169</v>
      </c>
      <c r="M54" s="4" t="s">
        <v>18</v>
      </c>
      <c r="N54" s="4" t="s">
        <v>24</v>
      </c>
      <c r="O54" s="4" t="s">
        <v>63</v>
      </c>
      <c r="P54" s="4" t="s">
        <v>75</v>
      </c>
    </row>
    <row r="55" spans="1:16" x14ac:dyDescent="0.3">
      <c r="A55" s="4">
        <v>2024</v>
      </c>
      <c r="B55" s="4" t="s">
        <v>39</v>
      </c>
      <c r="C55" s="4" t="s">
        <v>16</v>
      </c>
      <c r="D55" s="4" t="s">
        <v>17</v>
      </c>
      <c r="E55" s="4">
        <v>216</v>
      </c>
      <c r="F55" s="4">
        <v>111</v>
      </c>
      <c r="G55" s="4">
        <v>64</v>
      </c>
      <c r="H55" s="4">
        <v>23.98</v>
      </c>
      <c r="I55" s="4">
        <v>13.82</v>
      </c>
      <c r="J55" s="4">
        <v>10.15</v>
      </c>
      <c r="K55" s="4">
        <v>14.54</v>
      </c>
      <c r="L55" s="4">
        <v>62</v>
      </c>
      <c r="M55" s="4" t="s">
        <v>37</v>
      </c>
      <c r="N55" s="4" t="s">
        <v>38</v>
      </c>
      <c r="O55" s="4" t="s">
        <v>44</v>
      </c>
      <c r="P55" s="4" t="s">
        <v>75</v>
      </c>
    </row>
    <row r="56" spans="1:16" x14ac:dyDescent="0.3">
      <c r="A56" s="4">
        <v>2023</v>
      </c>
      <c r="B56" s="4" t="s">
        <v>41</v>
      </c>
      <c r="C56" s="4" t="s">
        <v>22</v>
      </c>
      <c r="D56" s="4" t="s">
        <v>55</v>
      </c>
      <c r="E56" s="4">
        <v>303</v>
      </c>
      <c r="F56" s="4">
        <v>198</v>
      </c>
      <c r="G56" s="4">
        <v>51</v>
      </c>
      <c r="H56" s="4">
        <v>59.99</v>
      </c>
      <c r="I56" s="4">
        <v>15.45</v>
      </c>
      <c r="J56" s="4">
        <v>44.54</v>
      </c>
      <c r="K56" s="4">
        <v>-0.27</v>
      </c>
      <c r="L56" s="4">
        <v>60</v>
      </c>
      <c r="M56" s="4" t="s">
        <v>37</v>
      </c>
      <c r="N56" s="4" t="s">
        <v>24</v>
      </c>
      <c r="O56" s="4" t="s">
        <v>63</v>
      </c>
      <c r="P56" s="4" t="s">
        <v>72</v>
      </c>
    </row>
    <row r="57" spans="1:16" x14ac:dyDescent="0.3">
      <c r="A57" s="4">
        <v>2025</v>
      </c>
      <c r="B57" s="4" t="s">
        <v>15</v>
      </c>
      <c r="C57" s="4" t="s">
        <v>22</v>
      </c>
      <c r="D57" s="4" t="s">
        <v>55</v>
      </c>
      <c r="E57" s="4">
        <v>74</v>
      </c>
      <c r="F57" s="4">
        <v>113</v>
      </c>
      <c r="G57" s="4">
        <v>86</v>
      </c>
      <c r="H57" s="4">
        <v>8.36</v>
      </c>
      <c r="I57" s="4">
        <v>6.36</v>
      </c>
      <c r="J57" s="4">
        <v>2</v>
      </c>
      <c r="K57" s="4">
        <v>10.08</v>
      </c>
      <c r="L57" s="4">
        <v>191</v>
      </c>
      <c r="M57" s="4" t="s">
        <v>18</v>
      </c>
      <c r="N57" s="4" t="s">
        <v>19</v>
      </c>
      <c r="O57" s="4" t="s">
        <v>62</v>
      </c>
      <c r="P57" s="4" t="s">
        <v>74</v>
      </c>
    </row>
    <row r="58" spans="1:16" x14ac:dyDescent="0.3">
      <c r="A58" s="4">
        <v>2025</v>
      </c>
      <c r="B58" s="4" t="s">
        <v>57</v>
      </c>
      <c r="C58" s="4" t="s">
        <v>16</v>
      </c>
      <c r="D58" s="4" t="s">
        <v>30</v>
      </c>
      <c r="E58" s="4">
        <v>88</v>
      </c>
      <c r="F58" s="4">
        <v>355</v>
      </c>
      <c r="G58" s="4">
        <v>145</v>
      </c>
      <c r="H58" s="4">
        <v>31.24</v>
      </c>
      <c r="I58" s="4">
        <v>12.76</v>
      </c>
      <c r="J58" s="4">
        <v>18.48</v>
      </c>
      <c r="K58" s="4">
        <v>-6.35</v>
      </c>
      <c r="L58" s="4">
        <v>246</v>
      </c>
      <c r="M58" s="4" t="s">
        <v>18</v>
      </c>
      <c r="N58" s="4" t="s">
        <v>38</v>
      </c>
      <c r="O58" s="4" t="s">
        <v>44</v>
      </c>
      <c r="P58" s="4" t="s">
        <v>74</v>
      </c>
    </row>
    <row r="59" spans="1:16" x14ac:dyDescent="0.3">
      <c r="A59" s="4">
        <v>2024</v>
      </c>
      <c r="B59" s="4" t="s">
        <v>39</v>
      </c>
      <c r="C59" s="4" t="s">
        <v>26</v>
      </c>
      <c r="D59" s="4" t="s">
        <v>58</v>
      </c>
      <c r="E59" s="4">
        <v>288</v>
      </c>
      <c r="F59" s="4">
        <v>97</v>
      </c>
      <c r="G59" s="4">
        <v>71</v>
      </c>
      <c r="H59" s="4">
        <v>27.94</v>
      </c>
      <c r="I59" s="4">
        <v>20.45</v>
      </c>
      <c r="J59" s="4">
        <v>7.49</v>
      </c>
      <c r="K59" s="4">
        <v>5.32</v>
      </c>
      <c r="L59" s="4">
        <v>230</v>
      </c>
      <c r="M59" s="4" t="s">
        <v>18</v>
      </c>
      <c r="N59" s="4" t="s">
        <v>31</v>
      </c>
      <c r="O59" s="4" t="s">
        <v>42</v>
      </c>
      <c r="P59" s="4" t="s">
        <v>73</v>
      </c>
    </row>
    <row r="60" spans="1:16" x14ac:dyDescent="0.3">
      <c r="A60" s="4">
        <v>2023</v>
      </c>
      <c r="B60" s="4" t="s">
        <v>39</v>
      </c>
      <c r="C60" s="4" t="s">
        <v>26</v>
      </c>
      <c r="D60" s="4" t="s">
        <v>52</v>
      </c>
      <c r="E60" s="4">
        <v>295</v>
      </c>
      <c r="F60" s="4">
        <v>457</v>
      </c>
      <c r="G60" s="4">
        <v>300</v>
      </c>
      <c r="H60" s="4">
        <v>134.81</v>
      </c>
      <c r="I60" s="4">
        <v>88.5</v>
      </c>
      <c r="J60" s="4">
        <v>46.31</v>
      </c>
      <c r="K60" s="4">
        <v>0.34</v>
      </c>
      <c r="L60" s="4">
        <v>74</v>
      </c>
      <c r="M60" s="4" t="s">
        <v>37</v>
      </c>
      <c r="N60" s="4" t="s">
        <v>24</v>
      </c>
      <c r="O60" s="4" t="s">
        <v>63</v>
      </c>
      <c r="P60" s="4" t="s">
        <v>72</v>
      </c>
    </row>
    <row r="61" spans="1:16" x14ac:dyDescent="0.3">
      <c r="A61" s="4">
        <v>2024</v>
      </c>
      <c r="B61" s="4" t="s">
        <v>15</v>
      </c>
      <c r="C61" s="4" t="s">
        <v>33</v>
      </c>
      <c r="D61" s="4" t="s">
        <v>34</v>
      </c>
      <c r="E61" s="4">
        <v>407</v>
      </c>
      <c r="F61" s="4">
        <v>58</v>
      </c>
      <c r="G61" s="4">
        <v>32</v>
      </c>
      <c r="H61" s="4">
        <v>23.61</v>
      </c>
      <c r="I61" s="4">
        <v>13.02</v>
      </c>
      <c r="J61" s="4">
        <v>10.58</v>
      </c>
      <c r="K61" s="4">
        <v>-4.0599999999999996</v>
      </c>
      <c r="L61" s="4">
        <v>118</v>
      </c>
      <c r="M61" s="4" t="s">
        <v>28</v>
      </c>
      <c r="N61" s="4" t="s">
        <v>24</v>
      </c>
      <c r="O61" s="4" t="s">
        <v>63</v>
      </c>
      <c r="P61" s="4" t="s">
        <v>74</v>
      </c>
    </row>
    <row r="62" spans="1:16" x14ac:dyDescent="0.3">
      <c r="A62" s="4">
        <v>2024</v>
      </c>
      <c r="B62" s="4" t="s">
        <v>32</v>
      </c>
      <c r="C62" s="4" t="s">
        <v>22</v>
      </c>
      <c r="D62" s="4" t="s">
        <v>23</v>
      </c>
      <c r="E62" s="4">
        <v>183</v>
      </c>
      <c r="F62" s="4">
        <v>480</v>
      </c>
      <c r="G62" s="4">
        <v>62</v>
      </c>
      <c r="H62" s="4">
        <v>87.84</v>
      </c>
      <c r="I62" s="4">
        <v>11.35</v>
      </c>
      <c r="J62" s="4">
        <v>76.489999999999995</v>
      </c>
      <c r="K62" s="4">
        <v>-2.1800000000000002</v>
      </c>
      <c r="L62" s="4">
        <v>53</v>
      </c>
      <c r="M62" s="4" t="s">
        <v>18</v>
      </c>
      <c r="N62" s="4" t="s">
        <v>19</v>
      </c>
      <c r="O62" s="4" t="s">
        <v>62</v>
      </c>
      <c r="P62" s="4" t="s">
        <v>71</v>
      </c>
    </row>
    <row r="63" spans="1:16" x14ac:dyDescent="0.3">
      <c r="A63" s="4">
        <v>2025</v>
      </c>
      <c r="B63" s="4" t="s">
        <v>51</v>
      </c>
      <c r="C63" s="4" t="s">
        <v>35</v>
      </c>
      <c r="D63" s="4" t="s">
        <v>43</v>
      </c>
      <c r="E63" s="4">
        <v>242</v>
      </c>
      <c r="F63" s="4">
        <v>393</v>
      </c>
      <c r="G63" s="4">
        <v>102</v>
      </c>
      <c r="H63" s="4">
        <v>95.11</v>
      </c>
      <c r="I63" s="4">
        <v>24.68</v>
      </c>
      <c r="J63" s="4">
        <v>70.42</v>
      </c>
      <c r="K63" s="4">
        <v>24.27</v>
      </c>
      <c r="L63" s="4">
        <v>273</v>
      </c>
      <c r="M63" s="4" t="s">
        <v>37</v>
      </c>
      <c r="N63" s="4" t="s">
        <v>38</v>
      </c>
      <c r="O63" s="4" t="s">
        <v>44</v>
      </c>
      <c r="P63" s="4" t="s">
        <v>76</v>
      </c>
    </row>
    <row r="64" spans="1:16" x14ac:dyDescent="0.3">
      <c r="A64" s="4">
        <v>2024</v>
      </c>
      <c r="B64" s="4" t="s">
        <v>45</v>
      </c>
      <c r="C64" s="4" t="s">
        <v>16</v>
      </c>
      <c r="D64" s="4" t="s">
        <v>30</v>
      </c>
      <c r="E64" s="4">
        <v>398</v>
      </c>
      <c r="F64" s="4">
        <v>82</v>
      </c>
      <c r="G64" s="4">
        <v>60</v>
      </c>
      <c r="H64" s="4">
        <v>32.64</v>
      </c>
      <c r="I64" s="4">
        <v>23.88</v>
      </c>
      <c r="J64" s="4">
        <v>8.76</v>
      </c>
      <c r="K64" s="4">
        <v>15.54</v>
      </c>
      <c r="L64" s="4">
        <v>136</v>
      </c>
      <c r="M64" s="4" t="s">
        <v>28</v>
      </c>
      <c r="N64" s="4" t="s">
        <v>19</v>
      </c>
      <c r="O64" s="4" t="s">
        <v>62</v>
      </c>
      <c r="P64" s="4" t="s">
        <v>74</v>
      </c>
    </row>
    <row r="65" spans="1:16" x14ac:dyDescent="0.3">
      <c r="A65" s="4">
        <v>2023</v>
      </c>
      <c r="B65" s="4" t="s">
        <v>45</v>
      </c>
      <c r="C65" s="4" t="s">
        <v>22</v>
      </c>
      <c r="D65" s="4" t="s">
        <v>59</v>
      </c>
      <c r="E65" s="4">
        <v>180</v>
      </c>
      <c r="F65" s="4">
        <v>124</v>
      </c>
      <c r="G65" s="4">
        <v>46</v>
      </c>
      <c r="H65" s="4">
        <v>22.32</v>
      </c>
      <c r="I65" s="4">
        <v>8.2799999999999994</v>
      </c>
      <c r="J65" s="4">
        <v>14.04</v>
      </c>
      <c r="K65" s="4">
        <v>0.61</v>
      </c>
      <c r="L65" s="4">
        <v>21</v>
      </c>
      <c r="M65" s="4" t="s">
        <v>28</v>
      </c>
      <c r="N65" s="4" t="s">
        <v>38</v>
      </c>
      <c r="O65" s="4" t="s">
        <v>44</v>
      </c>
      <c r="P65" s="4" t="s">
        <v>75</v>
      </c>
    </row>
    <row r="66" spans="1:16" x14ac:dyDescent="0.3">
      <c r="A66" s="4">
        <v>2023</v>
      </c>
      <c r="B66" s="4" t="s">
        <v>57</v>
      </c>
      <c r="C66" s="4" t="s">
        <v>26</v>
      </c>
      <c r="D66" s="4" t="s">
        <v>52</v>
      </c>
      <c r="E66" s="4">
        <v>228</v>
      </c>
      <c r="F66" s="4">
        <v>113</v>
      </c>
      <c r="G66" s="4">
        <v>36</v>
      </c>
      <c r="H66" s="4">
        <v>25.76</v>
      </c>
      <c r="I66" s="4">
        <v>8.2100000000000009</v>
      </c>
      <c r="J66" s="4">
        <v>17.559999999999999</v>
      </c>
      <c r="K66" s="4">
        <v>12.94</v>
      </c>
      <c r="L66" s="4">
        <v>291</v>
      </c>
      <c r="M66" s="4" t="s">
        <v>18</v>
      </c>
      <c r="N66" s="4" t="s">
        <v>31</v>
      </c>
      <c r="O66" s="4" t="s">
        <v>42</v>
      </c>
      <c r="P66" s="4" t="s">
        <v>71</v>
      </c>
    </row>
    <row r="67" spans="1:16" x14ac:dyDescent="0.3">
      <c r="A67" s="4">
        <v>2025</v>
      </c>
      <c r="B67" s="4" t="s">
        <v>32</v>
      </c>
      <c r="C67" s="4" t="s">
        <v>26</v>
      </c>
      <c r="D67" s="4" t="s">
        <v>27</v>
      </c>
      <c r="E67" s="4">
        <v>359</v>
      </c>
      <c r="F67" s="4">
        <v>467</v>
      </c>
      <c r="G67" s="4">
        <v>111</v>
      </c>
      <c r="H67" s="4">
        <v>167.65</v>
      </c>
      <c r="I67" s="4">
        <v>39.85</v>
      </c>
      <c r="J67" s="4">
        <v>127.8</v>
      </c>
      <c r="K67" s="4">
        <v>22.65</v>
      </c>
      <c r="L67" s="4">
        <v>220</v>
      </c>
      <c r="M67" s="4" t="s">
        <v>18</v>
      </c>
      <c r="N67" s="4" t="s">
        <v>38</v>
      </c>
      <c r="O67" s="4" t="s">
        <v>44</v>
      </c>
      <c r="P67" s="4" t="s">
        <v>75</v>
      </c>
    </row>
    <row r="68" spans="1:16" x14ac:dyDescent="0.3">
      <c r="A68" s="4">
        <v>2023</v>
      </c>
      <c r="B68" s="4" t="s">
        <v>39</v>
      </c>
      <c r="C68" s="4" t="s">
        <v>22</v>
      </c>
      <c r="D68" s="4" t="s">
        <v>23</v>
      </c>
      <c r="E68" s="4">
        <v>239</v>
      </c>
      <c r="F68" s="4">
        <v>472</v>
      </c>
      <c r="G68" s="4">
        <v>358</v>
      </c>
      <c r="H68" s="4">
        <v>112.81</v>
      </c>
      <c r="I68" s="4">
        <v>85.56</v>
      </c>
      <c r="J68" s="4">
        <v>27.25</v>
      </c>
      <c r="K68" s="4">
        <v>5.8</v>
      </c>
      <c r="L68" s="4">
        <v>137</v>
      </c>
      <c r="M68" s="4" t="s">
        <v>18</v>
      </c>
      <c r="N68" s="4" t="s">
        <v>19</v>
      </c>
      <c r="O68" s="4" t="s">
        <v>62</v>
      </c>
      <c r="P68" s="4" t="s">
        <v>75</v>
      </c>
    </row>
    <row r="69" spans="1:16" x14ac:dyDescent="0.3">
      <c r="A69" s="4">
        <v>2023</v>
      </c>
      <c r="B69" s="4" t="s">
        <v>41</v>
      </c>
      <c r="C69" s="4" t="s">
        <v>16</v>
      </c>
      <c r="D69" s="4" t="s">
        <v>30</v>
      </c>
      <c r="E69" s="4">
        <v>361</v>
      </c>
      <c r="F69" s="4">
        <v>143</v>
      </c>
      <c r="G69" s="4">
        <v>32</v>
      </c>
      <c r="H69" s="4">
        <v>51.62</v>
      </c>
      <c r="I69" s="4">
        <v>11.55</v>
      </c>
      <c r="J69" s="4">
        <v>40.07</v>
      </c>
      <c r="K69" s="4">
        <v>4.6399999999999997</v>
      </c>
      <c r="L69" s="4">
        <v>139</v>
      </c>
      <c r="M69" s="4" t="s">
        <v>18</v>
      </c>
      <c r="N69" s="4" t="s">
        <v>31</v>
      </c>
      <c r="O69" s="4" t="s">
        <v>42</v>
      </c>
      <c r="P69" s="4" t="s">
        <v>76</v>
      </c>
    </row>
    <row r="70" spans="1:16" x14ac:dyDescent="0.3">
      <c r="A70" s="4">
        <v>2023</v>
      </c>
      <c r="B70" s="4" t="s">
        <v>47</v>
      </c>
      <c r="C70" s="4" t="s">
        <v>35</v>
      </c>
      <c r="D70" s="4" t="s">
        <v>43</v>
      </c>
      <c r="E70" s="4">
        <v>204</v>
      </c>
      <c r="F70" s="4">
        <v>230</v>
      </c>
      <c r="G70" s="4">
        <v>123</v>
      </c>
      <c r="H70" s="4">
        <v>46.92</v>
      </c>
      <c r="I70" s="4">
        <v>25.09</v>
      </c>
      <c r="J70" s="4">
        <v>21.83</v>
      </c>
      <c r="K70" s="4">
        <v>20.170000000000002</v>
      </c>
      <c r="L70" s="4">
        <v>52</v>
      </c>
      <c r="M70" s="4" t="s">
        <v>18</v>
      </c>
      <c r="N70" s="4" t="s">
        <v>19</v>
      </c>
      <c r="O70" s="4" t="s">
        <v>62</v>
      </c>
      <c r="P70" s="4" t="s">
        <v>76</v>
      </c>
    </row>
    <row r="71" spans="1:16" x14ac:dyDescent="0.3">
      <c r="A71" s="4">
        <v>2024</v>
      </c>
      <c r="B71" s="4" t="s">
        <v>51</v>
      </c>
      <c r="C71" s="4" t="s">
        <v>16</v>
      </c>
      <c r="D71" s="4" t="s">
        <v>56</v>
      </c>
      <c r="E71" s="4">
        <v>193</v>
      </c>
      <c r="F71" s="4">
        <v>180</v>
      </c>
      <c r="G71" s="4">
        <v>134</v>
      </c>
      <c r="H71" s="4">
        <v>34.74</v>
      </c>
      <c r="I71" s="4">
        <v>25.86</v>
      </c>
      <c r="J71" s="4">
        <v>8.8800000000000008</v>
      </c>
      <c r="K71" s="4">
        <v>1.37</v>
      </c>
      <c r="L71" s="4">
        <v>191</v>
      </c>
      <c r="M71" s="4" t="s">
        <v>37</v>
      </c>
      <c r="N71" s="4" t="s">
        <v>31</v>
      </c>
      <c r="O71" s="4" t="s">
        <v>42</v>
      </c>
      <c r="P71" s="4" t="s">
        <v>76</v>
      </c>
    </row>
    <row r="72" spans="1:16" x14ac:dyDescent="0.3">
      <c r="A72" s="4">
        <v>2024</v>
      </c>
      <c r="B72" s="4" t="s">
        <v>49</v>
      </c>
      <c r="C72" s="4" t="s">
        <v>22</v>
      </c>
      <c r="D72" s="4" t="s">
        <v>55</v>
      </c>
      <c r="E72" s="4">
        <v>277</v>
      </c>
      <c r="F72" s="4">
        <v>440</v>
      </c>
      <c r="G72" s="4">
        <v>307</v>
      </c>
      <c r="H72" s="4">
        <v>121.88</v>
      </c>
      <c r="I72" s="4">
        <v>85.04</v>
      </c>
      <c r="J72" s="4">
        <v>36.840000000000003</v>
      </c>
      <c r="K72" s="4">
        <v>1.91</v>
      </c>
      <c r="L72" s="4">
        <v>188</v>
      </c>
      <c r="M72" s="4" t="s">
        <v>18</v>
      </c>
      <c r="N72" s="4" t="s">
        <v>19</v>
      </c>
      <c r="O72" s="4" t="s">
        <v>62</v>
      </c>
      <c r="P72" s="4" t="s">
        <v>74</v>
      </c>
    </row>
    <row r="73" spans="1:16" x14ac:dyDescent="0.3">
      <c r="A73" s="4">
        <v>2025</v>
      </c>
      <c r="B73" s="4" t="s">
        <v>29</v>
      </c>
      <c r="C73" s="4" t="s">
        <v>33</v>
      </c>
      <c r="D73" s="4" t="s">
        <v>54</v>
      </c>
      <c r="E73" s="4">
        <v>52</v>
      </c>
      <c r="F73" s="4">
        <v>67</v>
      </c>
      <c r="G73" s="4">
        <v>39</v>
      </c>
      <c r="H73" s="4">
        <v>3.48</v>
      </c>
      <c r="I73" s="4">
        <v>2.0299999999999998</v>
      </c>
      <c r="J73" s="4">
        <v>1.46</v>
      </c>
      <c r="K73" s="4">
        <v>1.21</v>
      </c>
      <c r="L73" s="4">
        <v>59</v>
      </c>
      <c r="M73" s="4" t="s">
        <v>28</v>
      </c>
      <c r="N73" s="4" t="s">
        <v>38</v>
      </c>
      <c r="O73" s="4" t="s">
        <v>44</v>
      </c>
      <c r="P73" s="4" t="s">
        <v>76</v>
      </c>
    </row>
    <row r="74" spans="1:16" x14ac:dyDescent="0.3">
      <c r="A74" s="4">
        <v>2024</v>
      </c>
      <c r="B74" s="4" t="s">
        <v>57</v>
      </c>
      <c r="C74" s="4" t="s">
        <v>35</v>
      </c>
      <c r="D74" s="4" t="s">
        <v>36</v>
      </c>
      <c r="E74" s="4">
        <v>422</v>
      </c>
      <c r="F74" s="4">
        <v>431</v>
      </c>
      <c r="G74" s="4">
        <v>178</v>
      </c>
      <c r="H74" s="4">
        <v>181.88</v>
      </c>
      <c r="I74" s="4">
        <v>75.12</v>
      </c>
      <c r="J74" s="4">
        <v>106.77</v>
      </c>
      <c r="K74" s="4">
        <v>23.27</v>
      </c>
      <c r="L74" s="4">
        <v>131</v>
      </c>
      <c r="M74" s="4" t="s">
        <v>37</v>
      </c>
      <c r="N74" s="4" t="s">
        <v>24</v>
      </c>
      <c r="O74" s="4" t="s">
        <v>63</v>
      </c>
      <c r="P74" s="4" t="s">
        <v>76</v>
      </c>
    </row>
    <row r="75" spans="1:16" x14ac:dyDescent="0.3">
      <c r="A75" s="4">
        <v>2023</v>
      </c>
      <c r="B75" s="4" t="s">
        <v>29</v>
      </c>
      <c r="C75" s="4" t="s">
        <v>26</v>
      </c>
      <c r="D75" s="4" t="s">
        <v>58</v>
      </c>
      <c r="E75" s="4">
        <v>488</v>
      </c>
      <c r="F75" s="4">
        <v>59</v>
      </c>
      <c r="G75" s="4">
        <v>43</v>
      </c>
      <c r="H75" s="4">
        <v>28.79</v>
      </c>
      <c r="I75" s="4">
        <v>20.98</v>
      </c>
      <c r="J75" s="4">
        <v>7.81</v>
      </c>
      <c r="K75" s="4">
        <v>-1.67</v>
      </c>
      <c r="L75" s="4">
        <v>107</v>
      </c>
      <c r="M75" s="4" t="s">
        <v>37</v>
      </c>
      <c r="N75" s="4" t="s">
        <v>31</v>
      </c>
      <c r="O75" s="4" t="s">
        <v>42</v>
      </c>
      <c r="P75" s="4" t="s">
        <v>75</v>
      </c>
    </row>
    <row r="76" spans="1:16" x14ac:dyDescent="0.3">
      <c r="A76" s="4">
        <v>2023</v>
      </c>
      <c r="B76" s="4" t="s">
        <v>51</v>
      </c>
      <c r="C76" s="4" t="s">
        <v>22</v>
      </c>
      <c r="D76" s="4" t="s">
        <v>55</v>
      </c>
      <c r="E76" s="4">
        <v>363</v>
      </c>
      <c r="F76" s="4">
        <v>101</v>
      </c>
      <c r="G76" s="4">
        <v>35</v>
      </c>
      <c r="H76" s="4">
        <v>36.659999999999997</v>
      </c>
      <c r="I76" s="4">
        <v>12.71</v>
      </c>
      <c r="J76" s="4">
        <v>23.96</v>
      </c>
      <c r="K76" s="4">
        <v>15.69</v>
      </c>
      <c r="L76" s="4">
        <v>67</v>
      </c>
      <c r="M76" s="4" t="s">
        <v>37</v>
      </c>
      <c r="N76" s="4" t="s">
        <v>38</v>
      </c>
      <c r="O76" s="4" t="s">
        <v>44</v>
      </c>
      <c r="P76" s="4" t="s">
        <v>72</v>
      </c>
    </row>
    <row r="77" spans="1:16" x14ac:dyDescent="0.3">
      <c r="A77" s="4">
        <v>2023</v>
      </c>
      <c r="B77" s="4" t="s">
        <v>47</v>
      </c>
      <c r="C77" s="4" t="s">
        <v>16</v>
      </c>
      <c r="D77" s="4" t="s">
        <v>17</v>
      </c>
      <c r="E77" s="4">
        <v>320</v>
      </c>
      <c r="F77" s="4">
        <v>212</v>
      </c>
      <c r="G77" s="4">
        <v>153</v>
      </c>
      <c r="H77" s="4">
        <v>67.84</v>
      </c>
      <c r="I77" s="4">
        <v>48.96</v>
      </c>
      <c r="J77" s="4">
        <v>18.88</v>
      </c>
      <c r="K77" s="4">
        <v>-3.41</v>
      </c>
      <c r="L77" s="4">
        <v>171</v>
      </c>
      <c r="M77" s="4" t="s">
        <v>37</v>
      </c>
      <c r="N77" s="4" t="s">
        <v>24</v>
      </c>
      <c r="O77" s="4" t="s">
        <v>63</v>
      </c>
      <c r="P77" s="4" t="s">
        <v>73</v>
      </c>
    </row>
    <row r="78" spans="1:16" x14ac:dyDescent="0.3">
      <c r="A78" s="4">
        <v>2024</v>
      </c>
      <c r="B78" s="4" t="s">
        <v>21</v>
      </c>
      <c r="C78" s="4" t="s">
        <v>22</v>
      </c>
      <c r="D78" s="4" t="s">
        <v>23</v>
      </c>
      <c r="E78" s="4">
        <v>181</v>
      </c>
      <c r="F78" s="4">
        <v>391</v>
      </c>
      <c r="G78" s="4">
        <v>295</v>
      </c>
      <c r="H78" s="4">
        <v>70.77</v>
      </c>
      <c r="I78" s="4">
        <v>53.4</v>
      </c>
      <c r="J78" s="4">
        <v>17.38</v>
      </c>
      <c r="K78" s="4">
        <v>14.28</v>
      </c>
      <c r="L78" s="4">
        <v>46</v>
      </c>
      <c r="M78" s="4" t="s">
        <v>28</v>
      </c>
      <c r="N78" s="4" t="s">
        <v>24</v>
      </c>
      <c r="O78" s="4" t="s">
        <v>63</v>
      </c>
      <c r="P78" s="4" t="s">
        <v>72</v>
      </c>
    </row>
    <row r="79" spans="1:16" x14ac:dyDescent="0.3">
      <c r="A79" s="4">
        <v>2023</v>
      </c>
      <c r="B79" s="4" t="s">
        <v>45</v>
      </c>
      <c r="C79" s="4" t="s">
        <v>33</v>
      </c>
      <c r="D79" s="4" t="s">
        <v>54</v>
      </c>
      <c r="E79" s="4">
        <v>391</v>
      </c>
      <c r="F79" s="4">
        <v>314</v>
      </c>
      <c r="G79" s="4">
        <v>98</v>
      </c>
      <c r="H79" s="4">
        <v>122.77</v>
      </c>
      <c r="I79" s="4">
        <v>38.32</v>
      </c>
      <c r="J79" s="4">
        <v>84.46</v>
      </c>
      <c r="K79" s="4">
        <v>7.41</v>
      </c>
      <c r="L79" s="4">
        <v>111</v>
      </c>
      <c r="M79" s="4" t="s">
        <v>18</v>
      </c>
      <c r="N79" s="4" t="s">
        <v>24</v>
      </c>
      <c r="O79" s="4" t="s">
        <v>63</v>
      </c>
      <c r="P79" s="4" t="s">
        <v>71</v>
      </c>
    </row>
    <row r="80" spans="1:16" x14ac:dyDescent="0.3">
      <c r="A80" s="4">
        <v>2025</v>
      </c>
      <c r="B80" s="4" t="s">
        <v>32</v>
      </c>
      <c r="C80" s="4" t="s">
        <v>22</v>
      </c>
      <c r="D80" s="4" t="s">
        <v>55</v>
      </c>
      <c r="E80" s="4">
        <v>244</v>
      </c>
      <c r="F80" s="4">
        <v>109</v>
      </c>
      <c r="G80" s="4">
        <v>39</v>
      </c>
      <c r="H80" s="4">
        <v>26.6</v>
      </c>
      <c r="I80" s="4">
        <v>9.52</v>
      </c>
      <c r="J80" s="4">
        <v>17.079999999999998</v>
      </c>
      <c r="K80" s="4">
        <v>-4.42</v>
      </c>
      <c r="L80" s="4">
        <v>109</v>
      </c>
      <c r="M80" s="4" t="s">
        <v>18</v>
      </c>
      <c r="N80" s="4" t="s">
        <v>24</v>
      </c>
      <c r="O80" s="4" t="s">
        <v>63</v>
      </c>
      <c r="P80" s="4" t="s">
        <v>75</v>
      </c>
    </row>
    <row r="81" spans="1:16" x14ac:dyDescent="0.3">
      <c r="A81" s="4">
        <v>2024</v>
      </c>
      <c r="B81" s="4" t="s">
        <v>15</v>
      </c>
      <c r="C81" s="4" t="s">
        <v>33</v>
      </c>
      <c r="D81" s="4" t="s">
        <v>48</v>
      </c>
      <c r="E81" s="4">
        <v>455</v>
      </c>
      <c r="F81" s="4">
        <v>291</v>
      </c>
      <c r="G81" s="4">
        <v>103</v>
      </c>
      <c r="H81" s="4">
        <v>132.41</v>
      </c>
      <c r="I81" s="4">
        <v>46.87</v>
      </c>
      <c r="J81" s="4">
        <v>85.54</v>
      </c>
      <c r="K81" s="4">
        <v>22.42</v>
      </c>
      <c r="L81" s="4">
        <v>67</v>
      </c>
      <c r="M81" s="4" t="s">
        <v>37</v>
      </c>
      <c r="N81" s="4" t="s">
        <v>38</v>
      </c>
      <c r="O81" s="4" t="s">
        <v>44</v>
      </c>
      <c r="P81" s="4" t="s">
        <v>71</v>
      </c>
    </row>
    <row r="82" spans="1:16" x14ac:dyDescent="0.3">
      <c r="A82" s="4">
        <v>2025</v>
      </c>
      <c r="B82" s="4" t="s">
        <v>39</v>
      </c>
      <c r="C82" s="4" t="s">
        <v>26</v>
      </c>
      <c r="D82" s="4" t="s">
        <v>52</v>
      </c>
      <c r="E82" s="4">
        <v>189</v>
      </c>
      <c r="F82" s="4">
        <v>166</v>
      </c>
      <c r="G82" s="4">
        <v>90</v>
      </c>
      <c r="H82" s="4">
        <v>31.37</v>
      </c>
      <c r="I82" s="4">
        <v>17.010000000000002</v>
      </c>
      <c r="J82" s="4">
        <v>14.36</v>
      </c>
      <c r="K82" s="4">
        <v>-9.01</v>
      </c>
      <c r="L82" s="4">
        <v>67</v>
      </c>
      <c r="M82" s="4" t="s">
        <v>28</v>
      </c>
      <c r="N82" s="4" t="s">
        <v>24</v>
      </c>
      <c r="O82" s="4" t="s">
        <v>63</v>
      </c>
      <c r="P82" s="4" t="s">
        <v>71</v>
      </c>
    </row>
    <row r="83" spans="1:16" x14ac:dyDescent="0.3">
      <c r="A83" s="4">
        <v>2023</v>
      </c>
      <c r="B83" s="4" t="s">
        <v>57</v>
      </c>
      <c r="C83" s="4" t="s">
        <v>33</v>
      </c>
      <c r="D83" s="4" t="s">
        <v>54</v>
      </c>
      <c r="E83" s="4">
        <v>50</v>
      </c>
      <c r="F83" s="4">
        <v>149</v>
      </c>
      <c r="G83" s="4">
        <v>49</v>
      </c>
      <c r="H83" s="4">
        <v>7.45</v>
      </c>
      <c r="I83" s="4">
        <v>2.4500000000000002</v>
      </c>
      <c r="J83" s="4">
        <v>5</v>
      </c>
      <c r="K83" s="4">
        <v>19.91</v>
      </c>
      <c r="L83" s="4">
        <v>230</v>
      </c>
      <c r="M83" s="4" t="s">
        <v>18</v>
      </c>
      <c r="N83" s="4" t="s">
        <v>24</v>
      </c>
      <c r="O83" s="4" t="s">
        <v>63</v>
      </c>
      <c r="P83" s="4" t="s">
        <v>71</v>
      </c>
    </row>
    <row r="84" spans="1:16" x14ac:dyDescent="0.3">
      <c r="A84" s="4">
        <v>2023</v>
      </c>
      <c r="B84" s="4" t="s">
        <v>49</v>
      </c>
      <c r="C84" s="4" t="s">
        <v>16</v>
      </c>
      <c r="D84" s="4" t="s">
        <v>56</v>
      </c>
      <c r="E84" s="4">
        <v>380</v>
      </c>
      <c r="F84" s="4">
        <v>447</v>
      </c>
      <c r="G84" s="4">
        <v>159</v>
      </c>
      <c r="H84" s="4">
        <v>169.86</v>
      </c>
      <c r="I84" s="4">
        <v>60.42</v>
      </c>
      <c r="J84" s="4">
        <v>109.44</v>
      </c>
      <c r="K84" s="4">
        <v>8.11</v>
      </c>
      <c r="L84" s="4">
        <v>197</v>
      </c>
      <c r="M84" s="4" t="s">
        <v>28</v>
      </c>
      <c r="N84" s="4" t="s">
        <v>19</v>
      </c>
      <c r="O84" s="4" t="s">
        <v>62</v>
      </c>
      <c r="P84" s="4" t="s">
        <v>71</v>
      </c>
    </row>
    <row r="85" spans="1:16" x14ac:dyDescent="0.3">
      <c r="A85" s="4">
        <v>2024</v>
      </c>
      <c r="B85" s="4" t="s">
        <v>41</v>
      </c>
      <c r="C85" s="4" t="s">
        <v>22</v>
      </c>
      <c r="D85" s="4" t="s">
        <v>53</v>
      </c>
      <c r="E85" s="4">
        <v>126</v>
      </c>
      <c r="F85" s="4">
        <v>327</v>
      </c>
      <c r="G85" s="4">
        <v>68</v>
      </c>
      <c r="H85" s="4">
        <v>41.2</v>
      </c>
      <c r="I85" s="4">
        <v>8.57</v>
      </c>
      <c r="J85" s="4">
        <v>32.630000000000003</v>
      </c>
      <c r="K85" s="4">
        <v>3.09</v>
      </c>
      <c r="L85" s="4">
        <v>278</v>
      </c>
      <c r="M85" s="4" t="s">
        <v>18</v>
      </c>
      <c r="N85" s="4" t="s">
        <v>31</v>
      </c>
      <c r="O85" s="4" t="s">
        <v>42</v>
      </c>
      <c r="P85" s="4" t="s">
        <v>71</v>
      </c>
    </row>
    <row r="86" spans="1:16" x14ac:dyDescent="0.3">
      <c r="A86" s="4">
        <v>2025</v>
      </c>
      <c r="B86" s="4" t="s">
        <v>32</v>
      </c>
      <c r="C86" s="4" t="s">
        <v>16</v>
      </c>
      <c r="D86" s="4" t="s">
        <v>56</v>
      </c>
      <c r="E86" s="4">
        <v>228</v>
      </c>
      <c r="F86" s="4">
        <v>120</v>
      </c>
      <c r="G86" s="4">
        <v>92</v>
      </c>
      <c r="H86" s="4">
        <v>27.36</v>
      </c>
      <c r="I86" s="4">
        <v>20.98</v>
      </c>
      <c r="J86" s="4">
        <v>6.38</v>
      </c>
      <c r="K86" s="4">
        <v>-5.7</v>
      </c>
      <c r="L86" s="4">
        <v>173</v>
      </c>
      <c r="M86" s="4" t="s">
        <v>18</v>
      </c>
      <c r="N86" s="4" t="s">
        <v>19</v>
      </c>
      <c r="O86" s="4" t="s">
        <v>62</v>
      </c>
      <c r="P86" s="4" t="s">
        <v>71</v>
      </c>
    </row>
    <row r="87" spans="1:16" x14ac:dyDescent="0.3">
      <c r="A87" s="4">
        <v>2024</v>
      </c>
      <c r="B87" s="4" t="s">
        <v>21</v>
      </c>
      <c r="C87" s="4" t="s">
        <v>22</v>
      </c>
      <c r="D87" s="4" t="s">
        <v>55</v>
      </c>
      <c r="E87" s="4">
        <v>411</v>
      </c>
      <c r="F87" s="4">
        <v>238</v>
      </c>
      <c r="G87" s="4">
        <v>177</v>
      </c>
      <c r="H87" s="4">
        <v>97.82</v>
      </c>
      <c r="I87" s="4">
        <v>72.75</v>
      </c>
      <c r="J87" s="4">
        <v>25.07</v>
      </c>
      <c r="K87" s="4">
        <v>14.96</v>
      </c>
      <c r="L87" s="4">
        <v>99</v>
      </c>
      <c r="M87" s="4" t="s">
        <v>18</v>
      </c>
      <c r="N87" s="4" t="s">
        <v>24</v>
      </c>
      <c r="O87" s="4" t="s">
        <v>63</v>
      </c>
      <c r="P87" s="4" t="s">
        <v>71</v>
      </c>
    </row>
    <row r="88" spans="1:16" x14ac:dyDescent="0.3">
      <c r="A88" s="4">
        <v>2024</v>
      </c>
      <c r="B88" s="4" t="s">
        <v>46</v>
      </c>
      <c r="C88" s="4" t="s">
        <v>26</v>
      </c>
      <c r="D88" s="4" t="s">
        <v>52</v>
      </c>
      <c r="E88" s="4">
        <v>312</v>
      </c>
      <c r="F88" s="4">
        <v>117</v>
      </c>
      <c r="G88" s="4">
        <v>60</v>
      </c>
      <c r="H88" s="4">
        <v>36.5</v>
      </c>
      <c r="I88" s="4">
        <v>18.72</v>
      </c>
      <c r="J88" s="4">
        <v>17.78</v>
      </c>
      <c r="K88" s="4">
        <v>-9.2100000000000009</v>
      </c>
      <c r="L88" s="4">
        <v>156</v>
      </c>
      <c r="M88" s="4" t="s">
        <v>28</v>
      </c>
      <c r="N88" s="4" t="s">
        <v>24</v>
      </c>
      <c r="O88" s="4" t="s">
        <v>63</v>
      </c>
      <c r="P88" s="4" t="s">
        <v>71</v>
      </c>
    </row>
    <row r="89" spans="1:16" x14ac:dyDescent="0.3">
      <c r="A89" s="4">
        <v>2025</v>
      </c>
      <c r="B89" s="4" t="s">
        <v>32</v>
      </c>
      <c r="C89" s="4" t="s">
        <v>35</v>
      </c>
      <c r="D89" s="4" t="s">
        <v>36</v>
      </c>
      <c r="E89" s="4">
        <v>323</v>
      </c>
      <c r="F89" s="4">
        <v>201</v>
      </c>
      <c r="G89" s="4">
        <v>189</v>
      </c>
      <c r="H89" s="4">
        <v>64.92</v>
      </c>
      <c r="I89" s="4">
        <v>61.05</v>
      </c>
      <c r="J89" s="4">
        <v>3.88</v>
      </c>
      <c r="K89" s="4">
        <v>-1.6</v>
      </c>
      <c r="L89" s="4">
        <v>218</v>
      </c>
      <c r="M89" s="4" t="s">
        <v>37</v>
      </c>
      <c r="N89" s="4" t="s">
        <v>38</v>
      </c>
      <c r="O89" s="4" t="s">
        <v>44</v>
      </c>
      <c r="P89" s="4" t="s">
        <v>71</v>
      </c>
    </row>
    <row r="90" spans="1:16" x14ac:dyDescent="0.3">
      <c r="A90" s="4">
        <v>2023</v>
      </c>
      <c r="B90" s="4" t="s">
        <v>47</v>
      </c>
      <c r="C90" s="4" t="s">
        <v>26</v>
      </c>
      <c r="D90" s="4" t="s">
        <v>27</v>
      </c>
      <c r="E90" s="4">
        <v>132</v>
      </c>
      <c r="F90" s="4">
        <v>457</v>
      </c>
      <c r="G90" s="4">
        <v>226</v>
      </c>
      <c r="H90" s="4">
        <v>60.32</v>
      </c>
      <c r="I90" s="4">
        <v>29.83</v>
      </c>
      <c r="J90" s="4">
        <v>30.49</v>
      </c>
      <c r="K90" s="4">
        <v>3.9</v>
      </c>
      <c r="L90" s="4">
        <v>138</v>
      </c>
      <c r="M90" s="4" t="s">
        <v>37</v>
      </c>
      <c r="N90" s="4" t="s">
        <v>38</v>
      </c>
      <c r="O90" s="4" t="s">
        <v>44</v>
      </c>
      <c r="P90" s="4" t="s">
        <v>71</v>
      </c>
    </row>
    <row r="91" spans="1:16" x14ac:dyDescent="0.3">
      <c r="A91" s="4">
        <v>2023</v>
      </c>
      <c r="B91" s="4" t="s">
        <v>47</v>
      </c>
      <c r="C91" s="4" t="s">
        <v>22</v>
      </c>
      <c r="D91" s="4" t="s">
        <v>53</v>
      </c>
      <c r="E91" s="4">
        <v>201</v>
      </c>
      <c r="F91" s="4">
        <v>146</v>
      </c>
      <c r="G91" s="4">
        <v>64</v>
      </c>
      <c r="H91" s="4">
        <v>29.35</v>
      </c>
      <c r="I91" s="4">
        <v>12.86</v>
      </c>
      <c r="J91" s="4">
        <v>16.48</v>
      </c>
      <c r="K91" s="4">
        <v>3.72</v>
      </c>
      <c r="L91" s="4">
        <v>69</v>
      </c>
      <c r="M91" s="4" t="s">
        <v>18</v>
      </c>
      <c r="N91" s="4" t="s">
        <v>19</v>
      </c>
      <c r="O91" s="4" t="s">
        <v>62</v>
      </c>
      <c r="P91" s="4" t="s">
        <v>72</v>
      </c>
    </row>
    <row r="92" spans="1:16" x14ac:dyDescent="0.3">
      <c r="A92" s="4">
        <v>2024</v>
      </c>
      <c r="B92" s="4" t="s">
        <v>21</v>
      </c>
      <c r="C92" s="4" t="s">
        <v>35</v>
      </c>
      <c r="D92" s="4" t="s">
        <v>36</v>
      </c>
      <c r="E92" s="4">
        <v>232</v>
      </c>
      <c r="F92" s="4">
        <v>84</v>
      </c>
      <c r="G92" s="4">
        <v>67</v>
      </c>
      <c r="H92" s="4">
        <v>19.489999999999998</v>
      </c>
      <c r="I92" s="4">
        <v>15.54</v>
      </c>
      <c r="J92" s="4">
        <v>3.94</v>
      </c>
      <c r="K92" s="4">
        <v>10.9</v>
      </c>
      <c r="L92" s="4">
        <v>297</v>
      </c>
      <c r="M92" s="4" t="s">
        <v>37</v>
      </c>
      <c r="N92" s="4" t="s">
        <v>38</v>
      </c>
      <c r="O92" s="4" t="s">
        <v>44</v>
      </c>
      <c r="P92" s="4" t="s">
        <v>74</v>
      </c>
    </row>
    <row r="93" spans="1:16" x14ac:dyDescent="0.3">
      <c r="A93" s="4">
        <v>2025</v>
      </c>
      <c r="B93" s="4" t="s">
        <v>29</v>
      </c>
      <c r="C93" s="4" t="s">
        <v>16</v>
      </c>
      <c r="D93" s="4" t="s">
        <v>30</v>
      </c>
      <c r="E93" s="4">
        <v>91</v>
      </c>
      <c r="F93" s="4">
        <v>287</v>
      </c>
      <c r="G93" s="4">
        <v>243</v>
      </c>
      <c r="H93" s="4">
        <v>26.12</v>
      </c>
      <c r="I93" s="4">
        <v>22.11</v>
      </c>
      <c r="J93" s="4">
        <v>4</v>
      </c>
      <c r="K93" s="4">
        <v>-6.86</v>
      </c>
      <c r="L93" s="4">
        <v>197</v>
      </c>
      <c r="M93" s="4" t="s">
        <v>18</v>
      </c>
      <c r="N93" s="4" t="s">
        <v>24</v>
      </c>
      <c r="O93" s="4" t="s">
        <v>63</v>
      </c>
      <c r="P93" s="4" t="s">
        <v>71</v>
      </c>
    </row>
    <row r="94" spans="1:16" x14ac:dyDescent="0.3">
      <c r="A94" s="4">
        <v>2024</v>
      </c>
      <c r="B94" s="4" t="s">
        <v>32</v>
      </c>
      <c r="C94" s="4" t="s">
        <v>22</v>
      </c>
      <c r="D94" s="4" t="s">
        <v>53</v>
      </c>
      <c r="E94" s="4">
        <v>72</v>
      </c>
      <c r="F94" s="4">
        <v>342</v>
      </c>
      <c r="G94" s="4">
        <v>169</v>
      </c>
      <c r="H94" s="4">
        <v>24.62</v>
      </c>
      <c r="I94" s="4">
        <v>12.17</v>
      </c>
      <c r="J94" s="4">
        <v>12.46</v>
      </c>
      <c r="K94" s="4">
        <v>-0.02</v>
      </c>
      <c r="L94" s="4">
        <v>108</v>
      </c>
      <c r="M94" s="4" t="s">
        <v>37</v>
      </c>
      <c r="N94" s="4" t="s">
        <v>24</v>
      </c>
      <c r="O94" s="4" t="s">
        <v>63</v>
      </c>
      <c r="P94" s="4" t="s">
        <v>72</v>
      </c>
    </row>
    <row r="95" spans="1:16" x14ac:dyDescent="0.3">
      <c r="A95" s="4">
        <v>2023</v>
      </c>
      <c r="B95" s="4" t="s">
        <v>29</v>
      </c>
      <c r="C95" s="4" t="s">
        <v>22</v>
      </c>
      <c r="D95" s="4" t="s">
        <v>55</v>
      </c>
      <c r="E95" s="4">
        <v>81</v>
      </c>
      <c r="F95" s="4">
        <v>269</v>
      </c>
      <c r="G95" s="4">
        <v>66</v>
      </c>
      <c r="H95" s="4">
        <v>21.79</v>
      </c>
      <c r="I95" s="4">
        <v>5.35</v>
      </c>
      <c r="J95" s="4">
        <v>16.440000000000001</v>
      </c>
      <c r="K95" s="4">
        <v>-4.6500000000000004</v>
      </c>
      <c r="L95" s="4">
        <v>175</v>
      </c>
      <c r="M95" s="4" t="s">
        <v>37</v>
      </c>
      <c r="N95" s="4" t="s">
        <v>38</v>
      </c>
      <c r="O95" s="4" t="s">
        <v>44</v>
      </c>
      <c r="P95" s="4" t="s">
        <v>72</v>
      </c>
    </row>
    <row r="96" spans="1:16" x14ac:dyDescent="0.3">
      <c r="A96" s="4">
        <v>2023</v>
      </c>
      <c r="B96" s="4" t="s">
        <v>51</v>
      </c>
      <c r="C96" s="4" t="s">
        <v>35</v>
      </c>
      <c r="D96" s="4" t="s">
        <v>43</v>
      </c>
      <c r="E96" s="4">
        <v>327</v>
      </c>
      <c r="F96" s="4">
        <v>90</v>
      </c>
      <c r="G96" s="4">
        <v>72</v>
      </c>
      <c r="H96" s="4">
        <v>29.43</v>
      </c>
      <c r="I96" s="4">
        <v>23.54</v>
      </c>
      <c r="J96" s="4">
        <v>5.89</v>
      </c>
      <c r="K96" s="4">
        <v>-4.0999999999999996</v>
      </c>
      <c r="L96" s="4">
        <v>90</v>
      </c>
      <c r="M96" s="4" t="s">
        <v>18</v>
      </c>
      <c r="N96" s="4" t="s">
        <v>24</v>
      </c>
      <c r="O96" s="4" t="s">
        <v>63</v>
      </c>
      <c r="P96" s="4" t="s">
        <v>71</v>
      </c>
    </row>
    <row r="97" spans="1:16" x14ac:dyDescent="0.3">
      <c r="A97" s="4">
        <v>2024</v>
      </c>
      <c r="B97" s="4" t="s">
        <v>49</v>
      </c>
      <c r="C97" s="4" t="s">
        <v>33</v>
      </c>
      <c r="D97" s="4" t="s">
        <v>54</v>
      </c>
      <c r="E97" s="4">
        <v>328</v>
      </c>
      <c r="F97" s="4">
        <v>92</v>
      </c>
      <c r="G97" s="4">
        <v>46</v>
      </c>
      <c r="H97" s="4">
        <v>30.18</v>
      </c>
      <c r="I97" s="4">
        <v>15.09</v>
      </c>
      <c r="J97" s="4">
        <v>15.09</v>
      </c>
      <c r="K97" s="4">
        <v>5.16</v>
      </c>
      <c r="L97" s="4">
        <v>22</v>
      </c>
      <c r="M97" s="4" t="s">
        <v>18</v>
      </c>
      <c r="N97" s="4" t="s">
        <v>19</v>
      </c>
      <c r="O97" s="4" t="s">
        <v>62</v>
      </c>
      <c r="P97" s="4" t="s">
        <v>72</v>
      </c>
    </row>
    <row r="98" spans="1:16" x14ac:dyDescent="0.3">
      <c r="A98" s="4">
        <v>2023</v>
      </c>
      <c r="B98" s="4" t="s">
        <v>46</v>
      </c>
      <c r="C98" s="4" t="s">
        <v>22</v>
      </c>
      <c r="D98" s="4" t="s">
        <v>55</v>
      </c>
      <c r="E98" s="4">
        <v>341</v>
      </c>
      <c r="F98" s="4">
        <v>115</v>
      </c>
      <c r="G98" s="4">
        <v>60</v>
      </c>
      <c r="H98" s="4">
        <v>39.22</v>
      </c>
      <c r="I98" s="4">
        <v>20.46</v>
      </c>
      <c r="J98" s="4">
        <v>18.760000000000002</v>
      </c>
      <c r="K98" s="4">
        <v>-3.83</v>
      </c>
      <c r="L98" s="4">
        <v>274</v>
      </c>
      <c r="M98" s="4" t="s">
        <v>18</v>
      </c>
      <c r="N98" s="4" t="s">
        <v>38</v>
      </c>
      <c r="O98" s="4" t="s">
        <v>44</v>
      </c>
      <c r="P98" s="4" t="s">
        <v>75</v>
      </c>
    </row>
    <row r="99" spans="1:16" x14ac:dyDescent="0.3">
      <c r="A99" s="4">
        <v>2025</v>
      </c>
      <c r="B99" s="4" t="s">
        <v>47</v>
      </c>
      <c r="C99" s="4" t="s">
        <v>22</v>
      </c>
      <c r="D99" s="4" t="s">
        <v>55</v>
      </c>
      <c r="E99" s="4">
        <v>471</v>
      </c>
      <c r="F99" s="4">
        <v>186</v>
      </c>
      <c r="G99" s="4">
        <v>119</v>
      </c>
      <c r="H99" s="4">
        <v>87.61</v>
      </c>
      <c r="I99" s="4">
        <v>56.05</v>
      </c>
      <c r="J99" s="4">
        <v>31.56</v>
      </c>
      <c r="K99" s="4">
        <v>16.71</v>
      </c>
      <c r="L99" s="4">
        <v>197</v>
      </c>
      <c r="M99" s="4" t="s">
        <v>28</v>
      </c>
      <c r="N99" s="4" t="s">
        <v>24</v>
      </c>
      <c r="O99" s="4" t="s">
        <v>63</v>
      </c>
      <c r="P99" s="4" t="s">
        <v>75</v>
      </c>
    </row>
    <row r="100" spans="1:16" x14ac:dyDescent="0.3">
      <c r="A100" s="4">
        <v>2023</v>
      </c>
      <c r="B100" s="4" t="s">
        <v>41</v>
      </c>
      <c r="C100" s="4" t="s">
        <v>22</v>
      </c>
      <c r="D100" s="4" t="s">
        <v>55</v>
      </c>
      <c r="E100" s="4">
        <v>482</v>
      </c>
      <c r="F100" s="4">
        <v>169</v>
      </c>
      <c r="G100" s="4">
        <v>32</v>
      </c>
      <c r="H100" s="4">
        <v>81.459999999999994</v>
      </c>
      <c r="I100" s="4">
        <v>15.42</v>
      </c>
      <c r="J100" s="4">
        <v>66.03</v>
      </c>
      <c r="K100" s="4">
        <v>-9.16</v>
      </c>
      <c r="L100" s="4">
        <v>50</v>
      </c>
      <c r="M100" s="4" t="s">
        <v>37</v>
      </c>
      <c r="N100" s="4" t="s">
        <v>24</v>
      </c>
      <c r="O100" s="4" t="s">
        <v>63</v>
      </c>
      <c r="P100" s="4" t="s">
        <v>73</v>
      </c>
    </row>
    <row r="101" spans="1:16" x14ac:dyDescent="0.3">
      <c r="A101" s="4">
        <v>2025</v>
      </c>
      <c r="B101" s="4" t="s">
        <v>32</v>
      </c>
      <c r="C101" s="4" t="s">
        <v>16</v>
      </c>
      <c r="D101" s="4" t="s">
        <v>17</v>
      </c>
      <c r="E101" s="4">
        <v>459</v>
      </c>
      <c r="F101" s="4">
        <v>95</v>
      </c>
      <c r="G101" s="4">
        <v>37</v>
      </c>
      <c r="H101" s="4">
        <v>43.6</v>
      </c>
      <c r="I101" s="4">
        <v>16.98</v>
      </c>
      <c r="J101" s="4">
        <v>26.62</v>
      </c>
      <c r="K101" s="4">
        <v>-2.5299999999999998</v>
      </c>
      <c r="L101" s="4">
        <v>71</v>
      </c>
      <c r="M101" s="4" t="s">
        <v>37</v>
      </c>
      <c r="N101" s="4" t="s">
        <v>24</v>
      </c>
      <c r="O101" s="4" t="s">
        <v>63</v>
      </c>
      <c r="P101" s="4" t="s">
        <v>71</v>
      </c>
    </row>
    <row r="102" spans="1:16" x14ac:dyDescent="0.3">
      <c r="A102" s="4">
        <v>2024</v>
      </c>
      <c r="B102" s="4" t="s">
        <v>46</v>
      </c>
      <c r="C102" s="4" t="s">
        <v>22</v>
      </c>
      <c r="D102" s="4" t="s">
        <v>53</v>
      </c>
      <c r="E102" s="4">
        <v>184</v>
      </c>
      <c r="F102" s="4">
        <v>299</v>
      </c>
      <c r="G102" s="4">
        <v>142</v>
      </c>
      <c r="H102" s="4">
        <v>55.02</v>
      </c>
      <c r="I102" s="4">
        <v>26.13</v>
      </c>
      <c r="J102" s="4">
        <v>28.89</v>
      </c>
      <c r="K102" s="4">
        <v>8.0500000000000007</v>
      </c>
      <c r="L102" s="4">
        <v>22</v>
      </c>
      <c r="M102" s="4" t="s">
        <v>28</v>
      </c>
      <c r="N102" s="4" t="s">
        <v>24</v>
      </c>
      <c r="O102" s="4" t="s">
        <v>63</v>
      </c>
      <c r="P102" s="4" t="s">
        <v>73</v>
      </c>
    </row>
    <row r="103" spans="1:16" x14ac:dyDescent="0.3">
      <c r="A103" s="4">
        <v>2023</v>
      </c>
      <c r="B103" s="4" t="s">
        <v>29</v>
      </c>
      <c r="C103" s="4" t="s">
        <v>22</v>
      </c>
      <c r="D103" s="4" t="s">
        <v>59</v>
      </c>
      <c r="E103" s="4">
        <v>173</v>
      </c>
      <c r="F103" s="4">
        <v>310</v>
      </c>
      <c r="G103" s="4">
        <v>213</v>
      </c>
      <c r="H103" s="4">
        <v>53.63</v>
      </c>
      <c r="I103" s="4">
        <v>36.85</v>
      </c>
      <c r="J103" s="4">
        <v>16.78</v>
      </c>
      <c r="K103" s="4">
        <v>12.13</v>
      </c>
      <c r="L103" s="4">
        <v>176</v>
      </c>
      <c r="M103" s="4" t="s">
        <v>37</v>
      </c>
      <c r="N103" s="4" t="s">
        <v>19</v>
      </c>
      <c r="O103" s="4" t="s">
        <v>62</v>
      </c>
      <c r="P103" s="4" t="s">
        <v>72</v>
      </c>
    </row>
    <row r="104" spans="1:16" x14ac:dyDescent="0.3">
      <c r="A104" s="4">
        <v>2023</v>
      </c>
      <c r="B104" s="4" t="s">
        <v>46</v>
      </c>
      <c r="C104" s="4" t="s">
        <v>35</v>
      </c>
      <c r="D104" s="4" t="s">
        <v>40</v>
      </c>
      <c r="E104" s="4">
        <v>157</v>
      </c>
      <c r="F104" s="4">
        <v>367</v>
      </c>
      <c r="G104" s="4">
        <v>294</v>
      </c>
      <c r="H104" s="4">
        <v>57.62</v>
      </c>
      <c r="I104" s="4">
        <v>46.16</v>
      </c>
      <c r="J104" s="4">
        <v>11.46</v>
      </c>
      <c r="K104" s="4">
        <v>12.95</v>
      </c>
      <c r="L104" s="4">
        <v>201</v>
      </c>
      <c r="M104" s="4" t="s">
        <v>28</v>
      </c>
      <c r="N104" s="4" t="s">
        <v>38</v>
      </c>
      <c r="O104" s="4" t="s">
        <v>44</v>
      </c>
      <c r="P104" s="4" t="s">
        <v>72</v>
      </c>
    </row>
    <row r="105" spans="1:16" x14ac:dyDescent="0.3">
      <c r="A105" s="4">
        <v>2024</v>
      </c>
      <c r="B105" s="4" t="s">
        <v>41</v>
      </c>
      <c r="C105" s="4" t="s">
        <v>26</v>
      </c>
      <c r="D105" s="4" t="s">
        <v>27</v>
      </c>
      <c r="E105" s="4">
        <v>295</v>
      </c>
      <c r="F105" s="4">
        <v>55</v>
      </c>
      <c r="G105" s="4">
        <v>42</v>
      </c>
      <c r="H105" s="4">
        <v>16.23</v>
      </c>
      <c r="I105" s="4">
        <v>12.39</v>
      </c>
      <c r="J105" s="4">
        <v>3.84</v>
      </c>
      <c r="K105" s="4">
        <v>22.78</v>
      </c>
      <c r="L105" s="4">
        <v>125</v>
      </c>
      <c r="M105" s="4" t="s">
        <v>18</v>
      </c>
      <c r="N105" s="4" t="s">
        <v>19</v>
      </c>
      <c r="O105" s="4" t="s">
        <v>62</v>
      </c>
      <c r="P105" s="4" t="s">
        <v>71</v>
      </c>
    </row>
    <row r="106" spans="1:16" x14ac:dyDescent="0.3">
      <c r="A106" s="4">
        <v>2025</v>
      </c>
      <c r="B106" s="4" t="s">
        <v>39</v>
      </c>
      <c r="C106" s="4" t="s">
        <v>16</v>
      </c>
      <c r="D106" s="4" t="s">
        <v>30</v>
      </c>
      <c r="E106" s="4">
        <v>303</v>
      </c>
      <c r="F106" s="4">
        <v>88</v>
      </c>
      <c r="G106" s="4">
        <v>48</v>
      </c>
      <c r="H106" s="4">
        <v>26.66</v>
      </c>
      <c r="I106" s="4">
        <v>14.54</v>
      </c>
      <c r="J106" s="4">
        <v>12.12</v>
      </c>
      <c r="K106" s="4">
        <v>24.22</v>
      </c>
      <c r="L106" s="4">
        <v>25</v>
      </c>
      <c r="M106" s="4" t="s">
        <v>37</v>
      </c>
      <c r="N106" s="4" t="s">
        <v>38</v>
      </c>
      <c r="O106" s="4" t="s">
        <v>44</v>
      </c>
      <c r="P106" s="4" t="s">
        <v>71</v>
      </c>
    </row>
    <row r="107" spans="1:16" x14ac:dyDescent="0.3">
      <c r="A107" s="4">
        <v>2025</v>
      </c>
      <c r="B107" s="4" t="s">
        <v>41</v>
      </c>
      <c r="C107" s="4" t="s">
        <v>26</v>
      </c>
      <c r="D107" s="4" t="s">
        <v>58</v>
      </c>
      <c r="E107" s="4">
        <v>418</v>
      </c>
      <c r="F107" s="4">
        <v>253</v>
      </c>
      <c r="G107" s="4">
        <v>139</v>
      </c>
      <c r="H107" s="4">
        <v>105.75</v>
      </c>
      <c r="I107" s="4">
        <v>58.1</v>
      </c>
      <c r="J107" s="4">
        <v>47.65</v>
      </c>
      <c r="K107" s="4">
        <v>11.03</v>
      </c>
      <c r="L107" s="4">
        <v>25</v>
      </c>
      <c r="M107" s="4" t="s">
        <v>18</v>
      </c>
      <c r="N107" s="4" t="s">
        <v>24</v>
      </c>
      <c r="O107" s="4" t="s">
        <v>63</v>
      </c>
      <c r="P107" s="4" t="s">
        <v>73</v>
      </c>
    </row>
    <row r="108" spans="1:16" x14ac:dyDescent="0.3">
      <c r="A108" s="4">
        <v>2025</v>
      </c>
      <c r="B108" s="4" t="s">
        <v>41</v>
      </c>
      <c r="C108" s="4" t="s">
        <v>26</v>
      </c>
      <c r="D108" s="4" t="s">
        <v>27</v>
      </c>
      <c r="E108" s="4">
        <v>364</v>
      </c>
      <c r="F108" s="4">
        <v>361</v>
      </c>
      <c r="G108" s="4">
        <v>228</v>
      </c>
      <c r="H108" s="4">
        <v>131.4</v>
      </c>
      <c r="I108" s="4">
        <v>82.99</v>
      </c>
      <c r="J108" s="4">
        <v>48.41</v>
      </c>
      <c r="K108" s="4">
        <v>4.0599999999999996</v>
      </c>
      <c r="L108" s="4">
        <v>134</v>
      </c>
      <c r="M108" s="4" t="s">
        <v>18</v>
      </c>
      <c r="N108" s="4" t="s">
        <v>31</v>
      </c>
      <c r="O108" s="4" t="s">
        <v>42</v>
      </c>
      <c r="P108" s="4" t="s">
        <v>71</v>
      </c>
    </row>
    <row r="109" spans="1:16" x14ac:dyDescent="0.3">
      <c r="A109" s="4">
        <v>2025</v>
      </c>
      <c r="B109" s="4" t="s">
        <v>57</v>
      </c>
      <c r="C109" s="4" t="s">
        <v>35</v>
      </c>
      <c r="D109" s="4" t="s">
        <v>43</v>
      </c>
      <c r="E109" s="4">
        <v>485</v>
      </c>
      <c r="F109" s="4">
        <v>381</v>
      </c>
      <c r="G109" s="4">
        <v>356</v>
      </c>
      <c r="H109" s="4">
        <v>184.78</v>
      </c>
      <c r="I109" s="4">
        <v>172.66</v>
      </c>
      <c r="J109" s="4">
        <v>12.12</v>
      </c>
      <c r="K109" s="4">
        <v>19.73</v>
      </c>
      <c r="L109" s="4">
        <v>240</v>
      </c>
      <c r="M109" s="4" t="s">
        <v>37</v>
      </c>
      <c r="N109" s="4" t="s">
        <v>38</v>
      </c>
      <c r="O109" s="4" t="s">
        <v>44</v>
      </c>
      <c r="P109" s="4" t="s">
        <v>74</v>
      </c>
    </row>
    <row r="110" spans="1:16" x14ac:dyDescent="0.3">
      <c r="A110" s="4">
        <v>2024</v>
      </c>
      <c r="B110" s="4" t="s">
        <v>46</v>
      </c>
      <c r="C110" s="4" t="s">
        <v>22</v>
      </c>
      <c r="D110" s="4" t="s">
        <v>59</v>
      </c>
      <c r="E110" s="4">
        <v>370</v>
      </c>
      <c r="F110" s="4">
        <v>397</v>
      </c>
      <c r="G110" s="4">
        <v>205</v>
      </c>
      <c r="H110" s="4">
        <v>146.88999999999999</v>
      </c>
      <c r="I110" s="4">
        <v>75.849999999999994</v>
      </c>
      <c r="J110" s="4">
        <v>71.040000000000006</v>
      </c>
      <c r="K110" s="4">
        <v>-7.83</v>
      </c>
      <c r="L110" s="4">
        <v>232</v>
      </c>
      <c r="M110" s="4" t="s">
        <v>18</v>
      </c>
      <c r="N110" s="4" t="s">
        <v>38</v>
      </c>
      <c r="O110" s="4" t="s">
        <v>44</v>
      </c>
      <c r="P110" s="4" t="s">
        <v>74</v>
      </c>
    </row>
    <row r="111" spans="1:16" x14ac:dyDescent="0.3">
      <c r="A111" s="4">
        <v>2025</v>
      </c>
      <c r="B111" s="4" t="s">
        <v>41</v>
      </c>
      <c r="C111" s="4" t="s">
        <v>22</v>
      </c>
      <c r="D111" s="4" t="s">
        <v>53</v>
      </c>
      <c r="E111" s="4">
        <v>135</v>
      </c>
      <c r="F111" s="4">
        <v>395</v>
      </c>
      <c r="G111" s="4">
        <v>168</v>
      </c>
      <c r="H111" s="4">
        <v>53.33</v>
      </c>
      <c r="I111" s="4">
        <v>22.68</v>
      </c>
      <c r="J111" s="4">
        <v>30.65</v>
      </c>
      <c r="K111" s="4">
        <v>18.59</v>
      </c>
      <c r="L111" s="4">
        <v>123</v>
      </c>
      <c r="M111" s="4" t="s">
        <v>28</v>
      </c>
      <c r="N111" s="4" t="s">
        <v>19</v>
      </c>
      <c r="O111" s="4" t="s">
        <v>62</v>
      </c>
      <c r="P111" s="4" t="s">
        <v>76</v>
      </c>
    </row>
    <row r="112" spans="1:16" x14ac:dyDescent="0.3">
      <c r="A112" s="4">
        <v>2025</v>
      </c>
      <c r="B112" s="4" t="s">
        <v>51</v>
      </c>
      <c r="C112" s="4" t="s">
        <v>33</v>
      </c>
      <c r="D112" s="4" t="s">
        <v>54</v>
      </c>
      <c r="E112" s="4">
        <v>410</v>
      </c>
      <c r="F112" s="4">
        <v>128</v>
      </c>
      <c r="G112" s="4">
        <v>113</v>
      </c>
      <c r="H112" s="4">
        <v>52.48</v>
      </c>
      <c r="I112" s="4">
        <v>46.33</v>
      </c>
      <c r="J112" s="4">
        <v>6.15</v>
      </c>
      <c r="K112" s="4">
        <v>-0.17</v>
      </c>
      <c r="L112" s="4">
        <v>157</v>
      </c>
      <c r="M112" s="4" t="s">
        <v>37</v>
      </c>
      <c r="N112" s="4" t="s">
        <v>38</v>
      </c>
      <c r="O112" s="4" t="s">
        <v>44</v>
      </c>
      <c r="P112" s="4" t="s">
        <v>76</v>
      </c>
    </row>
    <row r="113" spans="1:16" x14ac:dyDescent="0.3">
      <c r="A113" s="4">
        <v>2023</v>
      </c>
      <c r="B113" s="4" t="s">
        <v>21</v>
      </c>
      <c r="C113" s="4" t="s">
        <v>26</v>
      </c>
      <c r="D113" s="4" t="s">
        <v>58</v>
      </c>
      <c r="E113" s="4">
        <v>345</v>
      </c>
      <c r="F113" s="4">
        <v>380</v>
      </c>
      <c r="G113" s="4">
        <v>119</v>
      </c>
      <c r="H113" s="4">
        <v>131.1</v>
      </c>
      <c r="I113" s="4">
        <v>41.05</v>
      </c>
      <c r="J113" s="4">
        <v>90.04</v>
      </c>
      <c r="K113" s="4">
        <v>14.74</v>
      </c>
      <c r="L113" s="4">
        <v>116</v>
      </c>
      <c r="M113" s="4" t="s">
        <v>18</v>
      </c>
      <c r="N113" s="4" t="s">
        <v>31</v>
      </c>
      <c r="O113" s="4" t="s">
        <v>42</v>
      </c>
      <c r="P113" s="4" t="s">
        <v>71</v>
      </c>
    </row>
    <row r="114" spans="1:16" x14ac:dyDescent="0.3">
      <c r="A114" s="4">
        <v>2024</v>
      </c>
      <c r="B114" s="4" t="s">
        <v>49</v>
      </c>
      <c r="C114" s="4" t="s">
        <v>26</v>
      </c>
      <c r="D114" s="4" t="s">
        <v>58</v>
      </c>
      <c r="E114" s="4">
        <v>436</v>
      </c>
      <c r="F114" s="4">
        <v>224</v>
      </c>
      <c r="G114" s="4">
        <v>194</v>
      </c>
      <c r="H114" s="4">
        <v>97.66</v>
      </c>
      <c r="I114" s="4">
        <v>84.58</v>
      </c>
      <c r="J114" s="4">
        <v>13.08</v>
      </c>
      <c r="K114" s="4">
        <v>-4.99</v>
      </c>
      <c r="L114" s="4">
        <v>232</v>
      </c>
      <c r="M114" s="4" t="s">
        <v>18</v>
      </c>
      <c r="N114" s="4" t="s">
        <v>38</v>
      </c>
      <c r="O114" s="4" t="s">
        <v>44</v>
      </c>
      <c r="P114" s="4" t="s">
        <v>76</v>
      </c>
    </row>
    <row r="115" spans="1:16" x14ac:dyDescent="0.3">
      <c r="A115" s="4">
        <v>2025</v>
      </c>
      <c r="B115" s="4" t="s">
        <v>29</v>
      </c>
      <c r="C115" s="4" t="s">
        <v>26</v>
      </c>
      <c r="D115" s="4" t="s">
        <v>58</v>
      </c>
      <c r="E115" s="4">
        <v>485</v>
      </c>
      <c r="F115" s="4">
        <v>201</v>
      </c>
      <c r="G115" s="4">
        <v>182</v>
      </c>
      <c r="H115" s="4">
        <v>97.48</v>
      </c>
      <c r="I115" s="4">
        <v>88.27</v>
      </c>
      <c r="J115" s="4">
        <v>9.2200000000000006</v>
      </c>
      <c r="K115" s="4">
        <v>-3.03</v>
      </c>
      <c r="L115" s="4">
        <v>107</v>
      </c>
      <c r="M115" s="4" t="s">
        <v>37</v>
      </c>
      <c r="N115" s="4" t="s">
        <v>24</v>
      </c>
      <c r="O115" s="4" t="s">
        <v>63</v>
      </c>
      <c r="P115" s="4" t="s">
        <v>72</v>
      </c>
    </row>
    <row r="116" spans="1:16" x14ac:dyDescent="0.3">
      <c r="A116" s="4">
        <v>2024</v>
      </c>
      <c r="B116" s="4" t="s">
        <v>46</v>
      </c>
      <c r="C116" s="4" t="s">
        <v>26</v>
      </c>
      <c r="D116" s="4" t="s">
        <v>27</v>
      </c>
      <c r="E116" s="4">
        <v>416</v>
      </c>
      <c r="F116" s="4">
        <v>202</v>
      </c>
      <c r="G116" s="4">
        <v>79</v>
      </c>
      <c r="H116" s="4">
        <v>84.03</v>
      </c>
      <c r="I116" s="4">
        <v>32.86</v>
      </c>
      <c r="J116" s="4">
        <v>51.17</v>
      </c>
      <c r="K116" s="4">
        <v>21.01</v>
      </c>
      <c r="L116" s="4">
        <v>69</v>
      </c>
      <c r="M116" s="4" t="s">
        <v>28</v>
      </c>
      <c r="N116" s="4" t="s">
        <v>38</v>
      </c>
      <c r="O116" s="4" t="s">
        <v>44</v>
      </c>
      <c r="P116" s="4" t="s">
        <v>71</v>
      </c>
    </row>
    <row r="117" spans="1:16" x14ac:dyDescent="0.3">
      <c r="A117" s="4">
        <v>2024</v>
      </c>
      <c r="B117" s="4" t="s">
        <v>45</v>
      </c>
      <c r="C117" s="4" t="s">
        <v>33</v>
      </c>
      <c r="D117" s="4" t="s">
        <v>48</v>
      </c>
      <c r="E117" s="4">
        <v>200</v>
      </c>
      <c r="F117" s="4">
        <v>73</v>
      </c>
      <c r="G117" s="4">
        <v>50</v>
      </c>
      <c r="H117" s="4">
        <v>14.6</v>
      </c>
      <c r="I117" s="4">
        <v>10</v>
      </c>
      <c r="J117" s="4">
        <v>4.5999999999999996</v>
      </c>
      <c r="K117" s="4">
        <v>-9.48</v>
      </c>
      <c r="L117" s="4">
        <v>106</v>
      </c>
      <c r="M117" s="4" t="s">
        <v>28</v>
      </c>
      <c r="N117" s="4" t="s">
        <v>24</v>
      </c>
      <c r="O117" s="4" t="s">
        <v>63</v>
      </c>
      <c r="P117" s="4" t="s">
        <v>71</v>
      </c>
    </row>
    <row r="118" spans="1:16" x14ac:dyDescent="0.3">
      <c r="A118" s="4">
        <v>2024</v>
      </c>
      <c r="B118" s="4" t="s">
        <v>49</v>
      </c>
      <c r="C118" s="4" t="s">
        <v>33</v>
      </c>
      <c r="D118" s="4" t="s">
        <v>48</v>
      </c>
      <c r="E118" s="4">
        <v>367</v>
      </c>
      <c r="F118" s="4">
        <v>96</v>
      </c>
      <c r="G118" s="4">
        <v>51</v>
      </c>
      <c r="H118" s="4">
        <v>35.229999999999997</v>
      </c>
      <c r="I118" s="4">
        <v>18.72</v>
      </c>
      <c r="J118" s="4">
        <v>16.52</v>
      </c>
      <c r="K118" s="4">
        <v>7.02</v>
      </c>
      <c r="L118" s="4">
        <v>55</v>
      </c>
      <c r="M118" s="4" t="s">
        <v>18</v>
      </c>
      <c r="N118" s="4" t="s">
        <v>24</v>
      </c>
      <c r="O118" s="4" t="s">
        <v>63</v>
      </c>
      <c r="P118" s="4" t="s">
        <v>72</v>
      </c>
    </row>
    <row r="119" spans="1:16" x14ac:dyDescent="0.3">
      <c r="A119" s="4">
        <v>2025</v>
      </c>
      <c r="B119" s="4" t="s">
        <v>21</v>
      </c>
      <c r="C119" s="4" t="s">
        <v>16</v>
      </c>
      <c r="D119" s="4" t="s">
        <v>56</v>
      </c>
      <c r="E119" s="4">
        <v>438</v>
      </c>
      <c r="F119" s="4">
        <v>164</v>
      </c>
      <c r="G119" s="4">
        <v>92</v>
      </c>
      <c r="H119" s="4">
        <v>71.83</v>
      </c>
      <c r="I119" s="4">
        <v>40.299999999999997</v>
      </c>
      <c r="J119" s="4">
        <v>31.54</v>
      </c>
      <c r="K119" s="4">
        <v>8.57</v>
      </c>
      <c r="L119" s="4">
        <v>204</v>
      </c>
      <c r="M119" s="4" t="s">
        <v>18</v>
      </c>
      <c r="N119" s="4" t="s">
        <v>19</v>
      </c>
      <c r="O119" s="4" t="s">
        <v>62</v>
      </c>
      <c r="P119" s="4" t="s">
        <v>72</v>
      </c>
    </row>
    <row r="120" spans="1:16" x14ac:dyDescent="0.3">
      <c r="A120" s="4">
        <v>2024</v>
      </c>
      <c r="B120" s="4" t="s">
        <v>57</v>
      </c>
      <c r="C120" s="4" t="s">
        <v>16</v>
      </c>
      <c r="D120" s="4" t="s">
        <v>17</v>
      </c>
      <c r="E120" s="4">
        <v>204</v>
      </c>
      <c r="F120" s="4">
        <v>339</v>
      </c>
      <c r="G120" s="4">
        <v>220</v>
      </c>
      <c r="H120" s="4">
        <v>69.16</v>
      </c>
      <c r="I120" s="4">
        <v>44.88</v>
      </c>
      <c r="J120" s="4">
        <v>24.28</v>
      </c>
      <c r="K120" s="4">
        <v>8.57</v>
      </c>
      <c r="L120" s="4">
        <v>97</v>
      </c>
      <c r="M120" s="4" t="s">
        <v>37</v>
      </c>
      <c r="N120" s="4" t="s">
        <v>19</v>
      </c>
      <c r="O120" s="4" t="s">
        <v>62</v>
      </c>
      <c r="P120" s="4" t="s">
        <v>76</v>
      </c>
    </row>
    <row r="121" spans="1:16" x14ac:dyDescent="0.3">
      <c r="A121" s="4">
        <v>2023</v>
      </c>
      <c r="B121" s="4" t="s">
        <v>47</v>
      </c>
      <c r="C121" s="4" t="s">
        <v>22</v>
      </c>
      <c r="D121" s="4" t="s">
        <v>53</v>
      </c>
      <c r="E121" s="4">
        <v>162</v>
      </c>
      <c r="F121" s="4">
        <v>67</v>
      </c>
      <c r="G121" s="4">
        <v>35</v>
      </c>
      <c r="H121" s="4">
        <v>10.85</v>
      </c>
      <c r="I121" s="4">
        <v>5.67</v>
      </c>
      <c r="J121" s="4">
        <v>5.18</v>
      </c>
      <c r="K121" s="4">
        <v>11.04</v>
      </c>
      <c r="L121" s="4">
        <v>85</v>
      </c>
      <c r="M121" s="4" t="s">
        <v>28</v>
      </c>
      <c r="N121" s="4" t="s">
        <v>31</v>
      </c>
      <c r="O121" s="4" t="s">
        <v>42</v>
      </c>
      <c r="P121" s="4" t="s">
        <v>76</v>
      </c>
    </row>
    <row r="122" spans="1:16" x14ac:dyDescent="0.3">
      <c r="A122" s="4">
        <v>2025</v>
      </c>
      <c r="B122" s="4" t="s">
        <v>21</v>
      </c>
      <c r="C122" s="4" t="s">
        <v>16</v>
      </c>
      <c r="D122" s="4" t="s">
        <v>30</v>
      </c>
      <c r="E122" s="4">
        <v>450</v>
      </c>
      <c r="F122" s="4">
        <v>348</v>
      </c>
      <c r="G122" s="4">
        <v>42</v>
      </c>
      <c r="H122" s="4">
        <v>156.6</v>
      </c>
      <c r="I122" s="4">
        <v>18.899999999999999</v>
      </c>
      <c r="J122" s="4">
        <v>137.69999999999999</v>
      </c>
      <c r="K122" s="4">
        <v>24.84</v>
      </c>
      <c r="L122" s="4">
        <v>279</v>
      </c>
      <c r="M122" s="4" t="s">
        <v>28</v>
      </c>
      <c r="N122" s="4" t="s">
        <v>19</v>
      </c>
      <c r="O122" s="4" t="s">
        <v>62</v>
      </c>
      <c r="P122" s="4" t="s">
        <v>73</v>
      </c>
    </row>
    <row r="123" spans="1:16" x14ac:dyDescent="0.3">
      <c r="A123" s="4">
        <v>2023</v>
      </c>
      <c r="B123" s="4" t="s">
        <v>57</v>
      </c>
      <c r="C123" s="4" t="s">
        <v>35</v>
      </c>
      <c r="D123" s="4" t="s">
        <v>40</v>
      </c>
      <c r="E123" s="4">
        <v>290</v>
      </c>
      <c r="F123" s="4">
        <v>470</v>
      </c>
      <c r="G123" s="4">
        <v>222</v>
      </c>
      <c r="H123" s="4">
        <v>136.30000000000001</v>
      </c>
      <c r="I123" s="4">
        <v>64.38</v>
      </c>
      <c r="J123" s="4">
        <v>71.92</v>
      </c>
      <c r="K123" s="4">
        <v>17.75</v>
      </c>
      <c r="L123" s="4">
        <v>216</v>
      </c>
      <c r="M123" s="4" t="s">
        <v>37</v>
      </c>
      <c r="N123" s="4" t="s">
        <v>38</v>
      </c>
      <c r="O123" s="4" t="s">
        <v>44</v>
      </c>
      <c r="P123" s="4" t="s">
        <v>75</v>
      </c>
    </row>
    <row r="124" spans="1:16" x14ac:dyDescent="0.3">
      <c r="A124" s="4">
        <v>2025</v>
      </c>
      <c r="B124" s="4" t="s">
        <v>51</v>
      </c>
      <c r="C124" s="4" t="s">
        <v>22</v>
      </c>
      <c r="D124" s="4" t="s">
        <v>23</v>
      </c>
      <c r="E124" s="4">
        <v>211</v>
      </c>
      <c r="F124" s="4">
        <v>350</v>
      </c>
      <c r="G124" s="4">
        <v>79</v>
      </c>
      <c r="H124" s="4">
        <v>73.849999999999994</v>
      </c>
      <c r="I124" s="4">
        <v>16.670000000000002</v>
      </c>
      <c r="J124" s="4">
        <v>57.18</v>
      </c>
      <c r="K124" s="4">
        <v>16.079999999999998</v>
      </c>
      <c r="L124" s="4">
        <v>124</v>
      </c>
      <c r="M124" s="4" t="s">
        <v>28</v>
      </c>
      <c r="N124" s="4" t="s">
        <v>24</v>
      </c>
      <c r="O124" s="4" t="s">
        <v>63</v>
      </c>
      <c r="P124" s="4" t="s">
        <v>73</v>
      </c>
    </row>
    <row r="125" spans="1:16" x14ac:dyDescent="0.3">
      <c r="A125" s="4">
        <v>2023</v>
      </c>
      <c r="B125" s="4" t="s">
        <v>39</v>
      </c>
      <c r="C125" s="4" t="s">
        <v>35</v>
      </c>
      <c r="D125" s="4" t="s">
        <v>36</v>
      </c>
      <c r="E125" s="4">
        <v>109</v>
      </c>
      <c r="F125" s="4">
        <v>116</v>
      </c>
      <c r="G125" s="4">
        <v>45</v>
      </c>
      <c r="H125" s="4">
        <v>12.64</v>
      </c>
      <c r="I125" s="4">
        <v>4.91</v>
      </c>
      <c r="J125" s="4">
        <v>7.74</v>
      </c>
      <c r="K125" s="4">
        <v>21.8</v>
      </c>
      <c r="L125" s="4">
        <v>103</v>
      </c>
      <c r="M125" s="4" t="s">
        <v>18</v>
      </c>
      <c r="N125" s="4" t="s">
        <v>31</v>
      </c>
      <c r="O125" s="4" t="s">
        <v>42</v>
      </c>
      <c r="P125" s="4" t="s">
        <v>75</v>
      </c>
    </row>
    <row r="126" spans="1:16" x14ac:dyDescent="0.3">
      <c r="A126" s="4">
        <v>2023</v>
      </c>
      <c r="B126" s="4" t="s">
        <v>15</v>
      </c>
      <c r="C126" s="4" t="s">
        <v>16</v>
      </c>
      <c r="D126" s="4" t="s">
        <v>17</v>
      </c>
      <c r="E126" s="4">
        <v>500</v>
      </c>
      <c r="F126" s="4">
        <v>308</v>
      </c>
      <c r="G126" s="4">
        <v>37</v>
      </c>
      <c r="H126" s="4">
        <v>154</v>
      </c>
      <c r="I126" s="4">
        <v>18.5</v>
      </c>
      <c r="J126" s="4">
        <v>135.5</v>
      </c>
      <c r="K126" s="4">
        <v>-6.55</v>
      </c>
      <c r="L126" s="4">
        <v>157</v>
      </c>
      <c r="M126" s="4" t="s">
        <v>18</v>
      </c>
      <c r="N126" s="4" t="s">
        <v>24</v>
      </c>
      <c r="O126" s="4" t="s">
        <v>63</v>
      </c>
      <c r="P126" s="4" t="s">
        <v>76</v>
      </c>
    </row>
    <row r="127" spans="1:16" x14ac:dyDescent="0.3">
      <c r="A127" s="4">
        <v>2024</v>
      </c>
      <c r="B127" s="4" t="s">
        <v>15</v>
      </c>
      <c r="C127" s="4" t="s">
        <v>35</v>
      </c>
      <c r="D127" s="4" t="s">
        <v>40</v>
      </c>
      <c r="E127" s="4">
        <v>50</v>
      </c>
      <c r="F127" s="4">
        <v>371</v>
      </c>
      <c r="G127" s="4">
        <v>285</v>
      </c>
      <c r="H127" s="4">
        <v>18.55</v>
      </c>
      <c r="I127" s="4">
        <v>14.25</v>
      </c>
      <c r="J127" s="4">
        <v>4.3</v>
      </c>
      <c r="K127" s="4">
        <v>18.46</v>
      </c>
      <c r="L127" s="4">
        <v>214</v>
      </c>
      <c r="M127" s="4" t="s">
        <v>18</v>
      </c>
      <c r="N127" s="4" t="s">
        <v>38</v>
      </c>
      <c r="O127" s="4" t="s">
        <v>44</v>
      </c>
      <c r="P127" s="4" t="s">
        <v>76</v>
      </c>
    </row>
    <row r="128" spans="1:16" x14ac:dyDescent="0.3">
      <c r="A128" s="4">
        <v>2024</v>
      </c>
      <c r="B128" s="4" t="s">
        <v>49</v>
      </c>
      <c r="C128" s="4" t="s">
        <v>22</v>
      </c>
      <c r="D128" s="4" t="s">
        <v>23</v>
      </c>
      <c r="E128" s="4">
        <v>281</v>
      </c>
      <c r="F128" s="4">
        <v>495</v>
      </c>
      <c r="G128" s="4">
        <v>213</v>
      </c>
      <c r="H128" s="4">
        <v>139.09</v>
      </c>
      <c r="I128" s="4">
        <v>59.85</v>
      </c>
      <c r="J128" s="4">
        <v>79.239999999999995</v>
      </c>
      <c r="K128" s="4">
        <v>-5.84</v>
      </c>
      <c r="L128" s="4">
        <v>40</v>
      </c>
      <c r="M128" s="4" t="s">
        <v>18</v>
      </c>
      <c r="N128" s="4" t="s">
        <v>19</v>
      </c>
      <c r="O128" s="4" t="s">
        <v>62</v>
      </c>
      <c r="P128" s="4" t="s">
        <v>72</v>
      </c>
    </row>
    <row r="129" spans="1:16" x14ac:dyDescent="0.3">
      <c r="A129" s="4">
        <v>2024</v>
      </c>
      <c r="B129" s="4" t="s">
        <v>49</v>
      </c>
      <c r="C129" s="4" t="s">
        <v>16</v>
      </c>
      <c r="D129" s="4" t="s">
        <v>30</v>
      </c>
      <c r="E129" s="4">
        <v>287</v>
      </c>
      <c r="F129" s="4">
        <v>130</v>
      </c>
      <c r="G129" s="4">
        <v>70</v>
      </c>
      <c r="H129" s="4">
        <v>37.31</v>
      </c>
      <c r="I129" s="4">
        <v>20.09</v>
      </c>
      <c r="J129" s="4">
        <v>17.22</v>
      </c>
      <c r="K129" s="4">
        <v>7.46</v>
      </c>
      <c r="L129" s="4">
        <v>282</v>
      </c>
      <c r="M129" s="4" t="s">
        <v>18</v>
      </c>
      <c r="N129" s="4" t="s">
        <v>38</v>
      </c>
      <c r="O129" s="4" t="s">
        <v>44</v>
      </c>
      <c r="P129" s="4" t="s">
        <v>73</v>
      </c>
    </row>
    <row r="130" spans="1:16" x14ac:dyDescent="0.3">
      <c r="A130" s="4">
        <v>2024</v>
      </c>
      <c r="B130" s="4" t="s">
        <v>51</v>
      </c>
      <c r="C130" s="4" t="s">
        <v>35</v>
      </c>
      <c r="D130" s="4" t="s">
        <v>40</v>
      </c>
      <c r="E130" s="4">
        <v>460</v>
      </c>
      <c r="F130" s="4">
        <v>78</v>
      </c>
      <c r="G130" s="4">
        <v>41</v>
      </c>
      <c r="H130" s="4">
        <v>35.880000000000003</v>
      </c>
      <c r="I130" s="4">
        <v>18.86</v>
      </c>
      <c r="J130" s="4">
        <v>17.02</v>
      </c>
      <c r="K130" s="4">
        <v>5.73</v>
      </c>
      <c r="L130" s="4">
        <v>298</v>
      </c>
      <c r="M130" s="4" t="s">
        <v>18</v>
      </c>
      <c r="N130" s="4" t="s">
        <v>19</v>
      </c>
      <c r="O130" s="4" t="s">
        <v>62</v>
      </c>
      <c r="P130" s="4" t="s">
        <v>74</v>
      </c>
    </row>
    <row r="131" spans="1:16" x14ac:dyDescent="0.3">
      <c r="A131" s="4">
        <v>2023</v>
      </c>
      <c r="B131" s="4" t="s">
        <v>46</v>
      </c>
      <c r="C131" s="4" t="s">
        <v>35</v>
      </c>
      <c r="D131" s="4" t="s">
        <v>40</v>
      </c>
      <c r="E131" s="4">
        <v>334</v>
      </c>
      <c r="F131" s="4">
        <v>84</v>
      </c>
      <c r="G131" s="4">
        <v>64</v>
      </c>
      <c r="H131" s="4">
        <v>28.06</v>
      </c>
      <c r="I131" s="4">
        <v>21.38</v>
      </c>
      <c r="J131" s="4">
        <v>6.68</v>
      </c>
      <c r="K131" s="4">
        <v>-5.1100000000000003</v>
      </c>
      <c r="L131" s="4">
        <v>208</v>
      </c>
      <c r="M131" s="4" t="s">
        <v>28</v>
      </c>
      <c r="N131" s="4" t="s">
        <v>31</v>
      </c>
      <c r="O131" s="4" t="s">
        <v>42</v>
      </c>
      <c r="P131" s="4" t="s">
        <v>76</v>
      </c>
    </row>
    <row r="132" spans="1:16" x14ac:dyDescent="0.3">
      <c r="A132" s="4">
        <v>2025</v>
      </c>
      <c r="B132" s="4" t="s">
        <v>57</v>
      </c>
      <c r="C132" s="4" t="s">
        <v>22</v>
      </c>
      <c r="D132" s="4" t="s">
        <v>59</v>
      </c>
      <c r="E132" s="4">
        <v>313</v>
      </c>
      <c r="F132" s="4">
        <v>81</v>
      </c>
      <c r="G132" s="4">
        <v>62</v>
      </c>
      <c r="H132" s="4">
        <v>25.35</v>
      </c>
      <c r="I132" s="4">
        <v>19.41</v>
      </c>
      <c r="J132" s="4">
        <v>5.95</v>
      </c>
      <c r="K132" s="4">
        <v>-9.76</v>
      </c>
      <c r="L132" s="4">
        <v>182</v>
      </c>
      <c r="M132" s="4" t="s">
        <v>28</v>
      </c>
      <c r="N132" s="4" t="s">
        <v>19</v>
      </c>
      <c r="O132" s="4" t="s">
        <v>62</v>
      </c>
      <c r="P132" s="4" t="s">
        <v>73</v>
      </c>
    </row>
    <row r="133" spans="1:16" x14ac:dyDescent="0.3">
      <c r="A133" s="4">
        <v>2023</v>
      </c>
      <c r="B133" s="4" t="s">
        <v>32</v>
      </c>
      <c r="C133" s="4" t="s">
        <v>33</v>
      </c>
      <c r="D133" s="4" t="s">
        <v>48</v>
      </c>
      <c r="E133" s="4">
        <v>89</v>
      </c>
      <c r="F133" s="4">
        <v>222</v>
      </c>
      <c r="G133" s="4">
        <v>176</v>
      </c>
      <c r="H133" s="4">
        <v>19.760000000000002</v>
      </c>
      <c r="I133" s="4">
        <v>15.66</v>
      </c>
      <c r="J133" s="4">
        <v>4.09</v>
      </c>
      <c r="K133" s="4">
        <v>9.7100000000000009</v>
      </c>
      <c r="L133" s="4">
        <v>214</v>
      </c>
      <c r="M133" s="4" t="s">
        <v>18</v>
      </c>
      <c r="N133" s="4" t="s">
        <v>31</v>
      </c>
      <c r="O133" s="4" t="s">
        <v>42</v>
      </c>
      <c r="P133" s="4" t="s">
        <v>74</v>
      </c>
    </row>
    <row r="134" spans="1:16" x14ac:dyDescent="0.3">
      <c r="A134" s="4">
        <v>2024</v>
      </c>
      <c r="B134" s="4" t="s">
        <v>41</v>
      </c>
      <c r="C134" s="4" t="s">
        <v>22</v>
      </c>
      <c r="D134" s="4" t="s">
        <v>53</v>
      </c>
      <c r="E134" s="4">
        <v>488</v>
      </c>
      <c r="F134" s="4">
        <v>440</v>
      </c>
      <c r="G134" s="4">
        <v>407</v>
      </c>
      <c r="H134" s="4">
        <v>214.72</v>
      </c>
      <c r="I134" s="4">
        <v>198.62</v>
      </c>
      <c r="J134" s="4">
        <v>16.100000000000001</v>
      </c>
      <c r="K134" s="4">
        <v>2.37</v>
      </c>
      <c r="L134" s="4">
        <v>277</v>
      </c>
      <c r="M134" s="4" t="s">
        <v>18</v>
      </c>
      <c r="N134" s="4" t="s">
        <v>19</v>
      </c>
      <c r="O134" s="4" t="s">
        <v>62</v>
      </c>
      <c r="P134" s="4" t="s">
        <v>75</v>
      </c>
    </row>
    <row r="135" spans="1:16" x14ac:dyDescent="0.3">
      <c r="A135" s="4">
        <v>2024</v>
      </c>
      <c r="B135" s="4" t="s">
        <v>21</v>
      </c>
      <c r="C135" s="4" t="s">
        <v>33</v>
      </c>
      <c r="D135" s="4" t="s">
        <v>50</v>
      </c>
      <c r="E135" s="4">
        <v>405</v>
      </c>
      <c r="F135" s="4">
        <v>394</v>
      </c>
      <c r="G135" s="4">
        <v>299</v>
      </c>
      <c r="H135" s="4">
        <v>159.57</v>
      </c>
      <c r="I135" s="4">
        <v>121.09</v>
      </c>
      <c r="J135" s="4">
        <v>38.47</v>
      </c>
      <c r="K135" s="4">
        <v>-5.83</v>
      </c>
      <c r="L135" s="4">
        <v>141</v>
      </c>
      <c r="M135" s="4" t="s">
        <v>28</v>
      </c>
      <c r="N135" s="4" t="s">
        <v>38</v>
      </c>
      <c r="O135" s="4" t="s">
        <v>44</v>
      </c>
      <c r="P135" s="4" t="s">
        <v>73</v>
      </c>
    </row>
    <row r="136" spans="1:16" x14ac:dyDescent="0.3">
      <c r="A136" s="4">
        <v>2025</v>
      </c>
      <c r="B136" s="4" t="s">
        <v>47</v>
      </c>
      <c r="C136" s="4" t="s">
        <v>22</v>
      </c>
      <c r="D136" s="4" t="s">
        <v>59</v>
      </c>
      <c r="E136" s="4">
        <v>249</v>
      </c>
      <c r="F136" s="4">
        <v>195</v>
      </c>
      <c r="G136" s="4">
        <v>174</v>
      </c>
      <c r="H136" s="4">
        <v>48.55</v>
      </c>
      <c r="I136" s="4">
        <v>43.33</v>
      </c>
      <c r="J136" s="4">
        <v>5.23</v>
      </c>
      <c r="K136" s="4">
        <v>18.84</v>
      </c>
      <c r="L136" s="4">
        <v>241</v>
      </c>
      <c r="M136" s="4" t="s">
        <v>18</v>
      </c>
      <c r="N136" s="4" t="s">
        <v>31</v>
      </c>
      <c r="O136" s="4" t="s">
        <v>42</v>
      </c>
      <c r="P136" s="4" t="s">
        <v>72</v>
      </c>
    </row>
    <row r="137" spans="1:16" x14ac:dyDescent="0.3">
      <c r="A137" s="4">
        <v>2023</v>
      </c>
      <c r="B137" s="4" t="s">
        <v>39</v>
      </c>
      <c r="C137" s="4" t="s">
        <v>22</v>
      </c>
      <c r="D137" s="4" t="s">
        <v>53</v>
      </c>
      <c r="E137" s="4">
        <v>207</v>
      </c>
      <c r="F137" s="4">
        <v>224</v>
      </c>
      <c r="G137" s="4">
        <v>86</v>
      </c>
      <c r="H137" s="4">
        <v>46.37</v>
      </c>
      <c r="I137" s="4">
        <v>17.8</v>
      </c>
      <c r="J137" s="4">
        <v>28.57</v>
      </c>
      <c r="K137" s="4">
        <v>17.95</v>
      </c>
      <c r="L137" s="4">
        <v>104</v>
      </c>
      <c r="M137" s="4" t="s">
        <v>37</v>
      </c>
      <c r="N137" s="4" t="s">
        <v>31</v>
      </c>
      <c r="O137" s="4" t="s">
        <v>42</v>
      </c>
      <c r="P137" s="4" t="s">
        <v>76</v>
      </c>
    </row>
    <row r="138" spans="1:16" x14ac:dyDescent="0.3">
      <c r="A138" s="4">
        <v>2024</v>
      </c>
      <c r="B138" s="4" t="s">
        <v>57</v>
      </c>
      <c r="C138" s="4" t="s">
        <v>33</v>
      </c>
      <c r="D138" s="4" t="s">
        <v>48</v>
      </c>
      <c r="E138" s="4">
        <v>258</v>
      </c>
      <c r="F138" s="4">
        <v>242</v>
      </c>
      <c r="G138" s="4">
        <v>220</v>
      </c>
      <c r="H138" s="4">
        <v>62.44</v>
      </c>
      <c r="I138" s="4">
        <v>56.76</v>
      </c>
      <c r="J138" s="4">
        <v>5.68</v>
      </c>
      <c r="K138" s="4">
        <v>14.12</v>
      </c>
      <c r="L138" s="4">
        <v>54</v>
      </c>
      <c r="M138" s="4" t="s">
        <v>18</v>
      </c>
      <c r="N138" s="4" t="s">
        <v>24</v>
      </c>
      <c r="O138" s="4" t="s">
        <v>63</v>
      </c>
      <c r="P138" s="4" t="s">
        <v>75</v>
      </c>
    </row>
    <row r="139" spans="1:16" x14ac:dyDescent="0.3">
      <c r="A139" s="4">
        <v>2024</v>
      </c>
      <c r="B139" s="4" t="s">
        <v>47</v>
      </c>
      <c r="C139" s="4" t="s">
        <v>35</v>
      </c>
      <c r="D139" s="4" t="s">
        <v>40</v>
      </c>
      <c r="E139" s="4">
        <v>453</v>
      </c>
      <c r="F139" s="4">
        <v>418</v>
      </c>
      <c r="G139" s="4">
        <v>92</v>
      </c>
      <c r="H139" s="4">
        <v>189.35</v>
      </c>
      <c r="I139" s="4">
        <v>41.68</v>
      </c>
      <c r="J139" s="4">
        <v>147.68</v>
      </c>
      <c r="K139" s="4">
        <v>20.71</v>
      </c>
      <c r="L139" s="4">
        <v>125</v>
      </c>
      <c r="M139" s="4" t="s">
        <v>28</v>
      </c>
      <c r="N139" s="4" t="s">
        <v>31</v>
      </c>
      <c r="O139" s="4" t="s">
        <v>42</v>
      </c>
      <c r="P139" s="4" t="s">
        <v>76</v>
      </c>
    </row>
    <row r="140" spans="1:16" x14ac:dyDescent="0.3">
      <c r="A140" s="4">
        <v>2024</v>
      </c>
      <c r="B140" s="4" t="s">
        <v>46</v>
      </c>
      <c r="C140" s="4" t="s">
        <v>26</v>
      </c>
      <c r="D140" s="4" t="s">
        <v>27</v>
      </c>
      <c r="E140" s="4">
        <v>173</v>
      </c>
      <c r="F140" s="4">
        <v>273</v>
      </c>
      <c r="G140" s="4">
        <v>171</v>
      </c>
      <c r="H140" s="4">
        <v>47.23</v>
      </c>
      <c r="I140" s="4">
        <v>29.58</v>
      </c>
      <c r="J140" s="4">
        <v>17.649999999999999</v>
      </c>
      <c r="K140" s="4">
        <v>-7.4</v>
      </c>
      <c r="L140" s="4">
        <v>219</v>
      </c>
      <c r="M140" s="4" t="s">
        <v>37</v>
      </c>
      <c r="N140" s="4" t="s">
        <v>31</v>
      </c>
      <c r="O140" s="4" t="s">
        <v>42</v>
      </c>
      <c r="P140" s="4" t="s">
        <v>73</v>
      </c>
    </row>
    <row r="141" spans="1:16" x14ac:dyDescent="0.3">
      <c r="A141" s="4">
        <v>2025</v>
      </c>
      <c r="B141" s="4" t="s">
        <v>21</v>
      </c>
      <c r="C141" s="4" t="s">
        <v>35</v>
      </c>
      <c r="D141" s="4" t="s">
        <v>43</v>
      </c>
      <c r="E141" s="4">
        <v>236</v>
      </c>
      <c r="F141" s="4">
        <v>71</v>
      </c>
      <c r="G141" s="4">
        <v>49</v>
      </c>
      <c r="H141" s="4">
        <v>16.760000000000002</v>
      </c>
      <c r="I141" s="4">
        <v>11.56</v>
      </c>
      <c r="J141" s="4">
        <v>5.19</v>
      </c>
      <c r="K141" s="4">
        <v>-4.95</v>
      </c>
      <c r="L141" s="4">
        <v>144</v>
      </c>
      <c r="M141" s="4" t="s">
        <v>37</v>
      </c>
      <c r="N141" s="4" t="s">
        <v>31</v>
      </c>
      <c r="O141" s="4" t="s">
        <v>42</v>
      </c>
      <c r="P141" s="4" t="s">
        <v>76</v>
      </c>
    </row>
    <row r="142" spans="1:16" x14ac:dyDescent="0.3">
      <c r="A142" s="4">
        <v>2023</v>
      </c>
      <c r="B142" s="4" t="s">
        <v>41</v>
      </c>
      <c r="C142" s="4" t="s">
        <v>33</v>
      </c>
      <c r="D142" s="4" t="s">
        <v>50</v>
      </c>
      <c r="E142" s="4">
        <v>201</v>
      </c>
      <c r="F142" s="4">
        <v>494</v>
      </c>
      <c r="G142" s="4">
        <v>271</v>
      </c>
      <c r="H142" s="4">
        <v>99.29</v>
      </c>
      <c r="I142" s="4">
        <v>54.47</v>
      </c>
      <c r="J142" s="4">
        <v>44.82</v>
      </c>
      <c r="K142" s="4">
        <v>11.27</v>
      </c>
      <c r="L142" s="4">
        <v>53</v>
      </c>
      <c r="M142" s="4" t="s">
        <v>18</v>
      </c>
      <c r="N142" s="4" t="s">
        <v>19</v>
      </c>
      <c r="O142" s="4" t="s">
        <v>62</v>
      </c>
      <c r="P142" s="4" t="s">
        <v>72</v>
      </c>
    </row>
    <row r="143" spans="1:16" x14ac:dyDescent="0.3">
      <c r="A143" s="4">
        <v>2024</v>
      </c>
      <c r="B143" s="4" t="s">
        <v>21</v>
      </c>
      <c r="C143" s="4" t="s">
        <v>16</v>
      </c>
      <c r="D143" s="4" t="s">
        <v>56</v>
      </c>
      <c r="E143" s="4">
        <v>337</v>
      </c>
      <c r="F143" s="4">
        <v>235</v>
      </c>
      <c r="G143" s="4">
        <v>195</v>
      </c>
      <c r="H143" s="4">
        <v>79.19</v>
      </c>
      <c r="I143" s="4">
        <v>65.72</v>
      </c>
      <c r="J143" s="4">
        <v>13.48</v>
      </c>
      <c r="K143" s="4">
        <v>-6.27</v>
      </c>
      <c r="L143" s="4">
        <v>114</v>
      </c>
      <c r="M143" s="4" t="s">
        <v>37</v>
      </c>
      <c r="N143" s="4" t="s">
        <v>19</v>
      </c>
      <c r="O143" s="4" t="s">
        <v>62</v>
      </c>
      <c r="P143" s="4" t="s">
        <v>74</v>
      </c>
    </row>
    <row r="144" spans="1:16" x14ac:dyDescent="0.3">
      <c r="A144" s="4">
        <v>2024</v>
      </c>
      <c r="B144" s="4" t="s">
        <v>46</v>
      </c>
      <c r="C144" s="4" t="s">
        <v>26</v>
      </c>
      <c r="D144" s="4" t="s">
        <v>27</v>
      </c>
      <c r="E144" s="4">
        <v>490</v>
      </c>
      <c r="F144" s="4">
        <v>375</v>
      </c>
      <c r="G144" s="4">
        <v>147</v>
      </c>
      <c r="H144" s="4">
        <v>183.75</v>
      </c>
      <c r="I144" s="4">
        <v>72.03</v>
      </c>
      <c r="J144" s="4">
        <v>111.72</v>
      </c>
      <c r="K144" s="4">
        <v>10.039999999999999</v>
      </c>
      <c r="L144" s="4">
        <v>81</v>
      </c>
      <c r="M144" s="4" t="s">
        <v>18</v>
      </c>
      <c r="N144" s="4" t="s">
        <v>38</v>
      </c>
      <c r="O144" s="4" t="s">
        <v>44</v>
      </c>
      <c r="P144" s="4" t="s">
        <v>71</v>
      </c>
    </row>
    <row r="145" spans="1:16" x14ac:dyDescent="0.3">
      <c r="A145" s="4">
        <v>2023</v>
      </c>
      <c r="B145" s="4" t="s">
        <v>49</v>
      </c>
      <c r="C145" s="4" t="s">
        <v>22</v>
      </c>
      <c r="D145" s="4" t="s">
        <v>59</v>
      </c>
      <c r="E145" s="4">
        <v>185</v>
      </c>
      <c r="F145" s="4">
        <v>155</v>
      </c>
      <c r="G145" s="4">
        <v>102</v>
      </c>
      <c r="H145" s="4">
        <v>28.68</v>
      </c>
      <c r="I145" s="4">
        <v>18.87</v>
      </c>
      <c r="J145" s="4">
        <v>9.8000000000000007</v>
      </c>
      <c r="K145" s="4">
        <v>-3.18</v>
      </c>
      <c r="L145" s="4">
        <v>275</v>
      </c>
      <c r="M145" s="4" t="s">
        <v>28</v>
      </c>
      <c r="N145" s="4" t="s">
        <v>38</v>
      </c>
      <c r="O145" s="4" t="s">
        <v>44</v>
      </c>
      <c r="P145" s="4" t="s">
        <v>71</v>
      </c>
    </row>
    <row r="146" spans="1:16" x14ac:dyDescent="0.3">
      <c r="A146" s="4">
        <v>2025</v>
      </c>
      <c r="B146" s="4" t="s">
        <v>49</v>
      </c>
      <c r="C146" s="4" t="s">
        <v>35</v>
      </c>
      <c r="D146" s="4" t="s">
        <v>43</v>
      </c>
      <c r="E146" s="4">
        <v>261</v>
      </c>
      <c r="F146" s="4">
        <v>96</v>
      </c>
      <c r="G146" s="4">
        <v>43</v>
      </c>
      <c r="H146" s="4">
        <v>25.06</v>
      </c>
      <c r="I146" s="4">
        <v>11.22</v>
      </c>
      <c r="J146" s="4">
        <v>13.83</v>
      </c>
      <c r="K146" s="4">
        <v>1.68</v>
      </c>
      <c r="L146" s="4">
        <v>111</v>
      </c>
      <c r="M146" s="4" t="s">
        <v>18</v>
      </c>
      <c r="N146" s="4" t="s">
        <v>19</v>
      </c>
      <c r="O146" s="4" t="s">
        <v>62</v>
      </c>
      <c r="P146" s="4" t="s">
        <v>75</v>
      </c>
    </row>
    <row r="147" spans="1:16" x14ac:dyDescent="0.3">
      <c r="A147" s="4">
        <v>2025</v>
      </c>
      <c r="B147" s="4" t="s">
        <v>51</v>
      </c>
      <c r="C147" s="4" t="s">
        <v>22</v>
      </c>
      <c r="D147" s="4" t="s">
        <v>53</v>
      </c>
      <c r="E147" s="4">
        <v>326</v>
      </c>
      <c r="F147" s="4">
        <v>418</v>
      </c>
      <c r="G147" s="4">
        <v>333</v>
      </c>
      <c r="H147" s="4">
        <v>136.27000000000001</v>
      </c>
      <c r="I147" s="4">
        <v>108.56</v>
      </c>
      <c r="J147" s="4">
        <v>27.71</v>
      </c>
      <c r="K147" s="4">
        <v>-0.2</v>
      </c>
      <c r="L147" s="4">
        <v>184</v>
      </c>
      <c r="M147" s="4" t="s">
        <v>18</v>
      </c>
      <c r="N147" s="4" t="s">
        <v>24</v>
      </c>
      <c r="O147" s="4" t="s">
        <v>63</v>
      </c>
      <c r="P147" s="4" t="s">
        <v>72</v>
      </c>
    </row>
    <row r="148" spans="1:16" x14ac:dyDescent="0.3">
      <c r="A148" s="4">
        <v>2023</v>
      </c>
      <c r="B148" s="4" t="s">
        <v>39</v>
      </c>
      <c r="C148" s="4" t="s">
        <v>16</v>
      </c>
      <c r="D148" s="4" t="s">
        <v>17</v>
      </c>
      <c r="E148" s="4">
        <v>477</v>
      </c>
      <c r="F148" s="4">
        <v>396</v>
      </c>
      <c r="G148" s="4">
        <v>57</v>
      </c>
      <c r="H148" s="4">
        <v>188.89</v>
      </c>
      <c r="I148" s="4">
        <v>27.19</v>
      </c>
      <c r="J148" s="4">
        <v>161.69999999999999</v>
      </c>
      <c r="K148" s="4">
        <v>1.7</v>
      </c>
      <c r="L148" s="4">
        <v>89</v>
      </c>
      <c r="M148" s="4" t="s">
        <v>18</v>
      </c>
      <c r="N148" s="4" t="s">
        <v>19</v>
      </c>
      <c r="O148" s="4" t="s">
        <v>62</v>
      </c>
      <c r="P148" s="4" t="s">
        <v>74</v>
      </c>
    </row>
    <row r="149" spans="1:16" x14ac:dyDescent="0.3">
      <c r="A149" s="4">
        <v>2024</v>
      </c>
      <c r="B149" s="4" t="s">
        <v>45</v>
      </c>
      <c r="C149" s="4" t="s">
        <v>22</v>
      </c>
      <c r="D149" s="4" t="s">
        <v>59</v>
      </c>
      <c r="E149" s="4">
        <v>393</v>
      </c>
      <c r="F149" s="4">
        <v>100</v>
      </c>
      <c r="G149" s="4">
        <v>86</v>
      </c>
      <c r="H149" s="4">
        <v>39.299999999999997</v>
      </c>
      <c r="I149" s="4">
        <v>33.799999999999997</v>
      </c>
      <c r="J149" s="4">
        <v>5.5</v>
      </c>
      <c r="K149" s="4">
        <v>10.99</v>
      </c>
      <c r="L149" s="4">
        <v>37</v>
      </c>
      <c r="M149" s="4" t="s">
        <v>28</v>
      </c>
      <c r="N149" s="4" t="s">
        <v>24</v>
      </c>
      <c r="O149" s="4" t="s">
        <v>63</v>
      </c>
      <c r="P149" s="4" t="s">
        <v>76</v>
      </c>
    </row>
    <row r="150" spans="1:16" x14ac:dyDescent="0.3">
      <c r="A150" s="4">
        <v>2023</v>
      </c>
      <c r="B150" s="4" t="s">
        <v>32</v>
      </c>
      <c r="C150" s="4" t="s">
        <v>35</v>
      </c>
      <c r="D150" s="4" t="s">
        <v>43</v>
      </c>
      <c r="E150" s="4">
        <v>481</v>
      </c>
      <c r="F150" s="4">
        <v>305</v>
      </c>
      <c r="G150" s="4">
        <v>227</v>
      </c>
      <c r="H150" s="4">
        <v>146.71</v>
      </c>
      <c r="I150" s="4">
        <v>109.19</v>
      </c>
      <c r="J150" s="4">
        <v>37.520000000000003</v>
      </c>
      <c r="K150" s="4">
        <v>10.74</v>
      </c>
      <c r="L150" s="4">
        <v>268</v>
      </c>
      <c r="M150" s="4" t="s">
        <v>18</v>
      </c>
      <c r="N150" s="4" t="s">
        <v>24</v>
      </c>
      <c r="O150" s="4" t="s">
        <v>63</v>
      </c>
      <c r="P150" s="4" t="s">
        <v>74</v>
      </c>
    </row>
    <row r="151" spans="1:16" x14ac:dyDescent="0.3">
      <c r="A151" s="4">
        <v>2023</v>
      </c>
      <c r="B151" s="4" t="s">
        <v>57</v>
      </c>
      <c r="C151" s="4" t="s">
        <v>33</v>
      </c>
      <c r="D151" s="4" t="s">
        <v>54</v>
      </c>
      <c r="E151" s="4">
        <v>296</v>
      </c>
      <c r="F151" s="4">
        <v>417</v>
      </c>
      <c r="G151" s="4">
        <v>103</v>
      </c>
      <c r="H151" s="4">
        <v>123.43</v>
      </c>
      <c r="I151" s="4">
        <v>30.49</v>
      </c>
      <c r="J151" s="4">
        <v>92.94</v>
      </c>
      <c r="K151" s="4">
        <v>2.21</v>
      </c>
      <c r="L151" s="4">
        <v>34</v>
      </c>
      <c r="M151" s="4" t="s">
        <v>18</v>
      </c>
      <c r="N151" s="4" t="s">
        <v>19</v>
      </c>
      <c r="O151" s="4" t="s">
        <v>62</v>
      </c>
      <c r="P151" s="4" t="s">
        <v>74</v>
      </c>
    </row>
    <row r="152" spans="1:16" x14ac:dyDescent="0.3">
      <c r="A152" s="4">
        <v>2025</v>
      </c>
      <c r="B152" s="4" t="s">
        <v>29</v>
      </c>
      <c r="C152" s="4" t="s">
        <v>22</v>
      </c>
      <c r="D152" s="4" t="s">
        <v>55</v>
      </c>
      <c r="E152" s="4">
        <v>263</v>
      </c>
      <c r="F152" s="4">
        <v>250</v>
      </c>
      <c r="G152" s="4">
        <v>119</v>
      </c>
      <c r="H152" s="4">
        <v>65.75</v>
      </c>
      <c r="I152" s="4">
        <v>31.3</v>
      </c>
      <c r="J152" s="4">
        <v>34.450000000000003</v>
      </c>
      <c r="K152" s="4">
        <v>9.82</v>
      </c>
      <c r="L152" s="4">
        <v>247</v>
      </c>
      <c r="M152" s="4" t="s">
        <v>28</v>
      </c>
      <c r="N152" s="4" t="s">
        <v>19</v>
      </c>
      <c r="O152" s="4" t="s">
        <v>62</v>
      </c>
      <c r="P152" s="4" t="s">
        <v>76</v>
      </c>
    </row>
    <row r="153" spans="1:16" x14ac:dyDescent="0.3">
      <c r="A153" s="4">
        <v>2023</v>
      </c>
      <c r="B153" s="4" t="s">
        <v>57</v>
      </c>
      <c r="C153" s="4" t="s">
        <v>33</v>
      </c>
      <c r="D153" s="4" t="s">
        <v>50</v>
      </c>
      <c r="E153" s="4">
        <v>496</v>
      </c>
      <c r="F153" s="4">
        <v>144</v>
      </c>
      <c r="G153" s="4">
        <v>111</v>
      </c>
      <c r="H153" s="4">
        <v>71.42</v>
      </c>
      <c r="I153" s="4">
        <v>55.06</v>
      </c>
      <c r="J153" s="4">
        <v>16.37</v>
      </c>
      <c r="K153" s="4">
        <v>14.92</v>
      </c>
      <c r="L153" s="4">
        <v>105</v>
      </c>
      <c r="M153" s="4" t="s">
        <v>37</v>
      </c>
      <c r="N153" s="4" t="s">
        <v>31</v>
      </c>
      <c r="O153" s="4" t="s">
        <v>42</v>
      </c>
      <c r="P153" s="4" t="s">
        <v>74</v>
      </c>
    </row>
    <row r="154" spans="1:16" x14ac:dyDescent="0.3">
      <c r="A154" s="4">
        <v>2024</v>
      </c>
      <c r="B154" s="4" t="s">
        <v>46</v>
      </c>
      <c r="C154" s="4" t="s">
        <v>26</v>
      </c>
      <c r="D154" s="4" t="s">
        <v>58</v>
      </c>
      <c r="E154" s="4">
        <v>408</v>
      </c>
      <c r="F154" s="4">
        <v>144</v>
      </c>
      <c r="G154" s="4">
        <v>37</v>
      </c>
      <c r="H154" s="4">
        <v>58.75</v>
      </c>
      <c r="I154" s="4">
        <v>15.1</v>
      </c>
      <c r="J154" s="4">
        <v>43.66</v>
      </c>
      <c r="K154" s="4">
        <v>6.76</v>
      </c>
      <c r="L154" s="4">
        <v>247</v>
      </c>
      <c r="M154" s="4" t="s">
        <v>18</v>
      </c>
      <c r="N154" s="4" t="s">
        <v>19</v>
      </c>
      <c r="O154" s="4" t="s">
        <v>62</v>
      </c>
      <c r="P154" s="4" t="s">
        <v>76</v>
      </c>
    </row>
    <row r="155" spans="1:16" x14ac:dyDescent="0.3">
      <c r="A155" s="4">
        <v>2025</v>
      </c>
      <c r="B155" s="4" t="s">
        <v>57</v>
      </c>
      <c r="C155" s="4" t="s">
        <v>16</v>
      </c>
      <c r="D155" s="4" t="s">
        <v>17</v>
      </c>
      <c r="E155" s="4">
        <v>479</v>
      </c>
      <c r="F155" s="4">
        <v>495</v>
      </c>
      <c r="G155" s="4">
        <v>205</v>
      </c>
      <c r="H155" s="4">
        <v>237.1</v>
      </c>
      <c r="I155" s="4">
        <v>98.19</v>
      </c>
      <c r="J155" s="4">
        <v>138.91</v>
      </c>
      <c r="K155" s="4">
        <v>13.95</v>
      </c>
      <c r="L155" s="4">
        <v>291</v>
      </c>
      <c r="M155" s="4" t="s">
        <v>28</v>
      </c>
      <c r="N155" s="4" t="s">
        <v>19</v>
      </c>
      <c r="O155" s="4" t="s">
        <v>62</v>
      </c>
      <c r="P155" s="4" t="s">
        <v>71</v>
      </c>
    </row>
    <row r="156" spans="1:16" x14ac:dyDescent="0.3">
      <c r="A156" s="4">
        <v>2023</v>
      </c>
      <c r="B156" s="4" t="s">
        <v>29</v>
      </c>
      <c r="C156" s="4" t="s">
        <v>35</v>
      </c>
      <c r="D156" s="4" t="s">
        <v>43</v>
      </c>
      <c r="E156" s="4">
        <v>321</v>
      </c>
      <c r="F156" s="4">
        <v>113</v>
      </c>
      <c r="G156" s="4">
        <v>73</v>
      </c>
      <c r="H156" s="4">
        <v>36.270000000000003</v>
      </c>
      <c r="I156" s="4">
        <v>23.43</v>
      </c>
      <c r="J156" s="4">
        <v>12.84</v>
      </c>
      <c r="K156" s="4">
        <v>-5.0999999999999996</v>
      </c>
      <c r="L156" s="4">
        <v>238</v>
      </c>
      <c r="M156" s="4" t="s">
        <v>37</v>
      </c>
      <c r="N156" s="4" t="s">
        <v>31</v>
      </c>
      <c r="O156" s="4" t="s">
        <v>42</v>
      </c>
      <c r="P156" s="4" t="s">
        <v>71</v>
      </c>
    </row>
    <row r="157" spans="1:16" x14ac:dyDescent="0.3">
      <c r="A157" s="4">
        <v>2024</v>
      </c>
      <c r="B157" s="4" t="s">
        <v>29</v>
      </c>
      <c r="C157" s="4" t="s">
        <v>22</v>
      </c>
      <c r="D157" s="4" t="s">
        <v>59</v>
      </c>
      <c r="E157" s="4">
        <v>63</v>
      </c>
      <c r="F157" s="4">
        <v>315</v>
      </c>
      <c r="G157" s="4">
        <v>241</v>
      </c>
      <c r="H157" s="4">
        <v>19.84</v>
      </c>
      <c r="I157" s="4">
        <v>15.18</v>
      </c>
      <c r="J157" s="4">
        <v>4.66</v>
      </c>
      <c r="K157" s="4">
        <v>19.72</v>
      </c>
      <c r="L157" s="4">
        <v>230</v>
      </c>
      <c r="M157" s="4" t="s">
        <v>37</v>
      </c>
      <c r="N157" s="4" t="s">
        <v>19</v>
      </c>
      <c r="O157" s="4" t="s">
        <v>62</v>
      </c>
      <c r="P157" s="4" t="s">
        <v>74</v>
      </c>
    </row>
    <row r="158" spans="1:16" x14ac:dyDescent="0.3">
      <c r="A158" s="4">
        <v>2024</v>
      </c>
      <c r="B158" s="4" t="s">
        <v>49</v>
      </c>
      <c r="C158" s="4" t="s">
        <v>35</v>
      </c>
      <c r="D158" s="4" t="s">
        <v>36</v>
      </c>
      <c r="E158" s="4">
        <v>64</v>
      </c>
      <c r="F158" s="4">
        <v>256</v>
      </c>
      <c r="G158" s="4">
        <v>68</v>
      </c>
      <c r="H158" s="4">
        <v>16.38</v>
      </c>
      <c r="I158" s="4">
        <v>4.3499999999999996</v>
      </c>
      <c r="J158" s="4">
        <v>12.03</v>
      </c>
      <c r="K158" s="4">
        <v>19.21</v>
      </c>
      <c r="L158" s="4">
        <v>189</v>
      </c>
      <c r="M158" s="4" t="s">
        <v>28</v>
      </c>
      <c r="N158" s="4" t="s">
        <v>24</v>
      </c>
      <c r="O158" s="4" t="s">
        <v>63</v>
      </c>
      <c r="P158" s="4" t="s">
        <v>73</v>
      </c>
    </row>
    <row r="159" spans="1:16" x14ac:dyDescent="0.3">
      <c r="A159" s="4">
        <v>2024</v>
      </c>
      <c r="B159" s="4" t="s">
        <v>49</v>
      </c>
      <c r="C159" s="4" t="s">
        <v>16</v>
      </c>
      <c r="D159" s="4" t="s">
        <v>30</v>
      </c>
      <c r="E159" s="4">
        <v>271</v>
      </c>
      <c r="F159" s="4">
        <v>229</v>
      </c>
      <c r="G159" s="4">
        <v>147</v>
      </c>
      <c r="H159" s="4">
        <v>62.06</v>
      </c>
      <c r="I159" s="4">
        <v>39.840000000000003</v>
      </c>
      <c r="J159" s="4">
        <v>22.22</v>
      </c>
      <c r="K159" s="4">
        <v>16.87</v>
      </c>
      <c r="L159" s="4">
        <v>136</v>
      </c>
      <c r="M159" s="4" t="s">
        <v>37</v>
      </c>
      <c r="N159" s="4" t="s">
        <v>31</v>
      </c>
      <c r="O159" s="4" t="s">
        <v>42</v>
      </c>
      <c r="P159" s="4" t="s">
        <v>73</v>
      </c>
    </row>
    <row r="160" spans="1:16" x14ac:dyDescent="0.3">
      <c r="A160" s="4">
        <v>2024</v>
      </c>
      <c r="B160" s="4" t="s">
        <v>32</v>
      </c>
      <c r="C160" s="4" t="s">
        <v>16</v>
      </c>
      <c r="D160" s="4" t="s">
        <v>30</v>
      </c>
      <c r="E160" s="4">
        <v>132</v>
      </c>
      <c r="F160" s="4">
        <v>481</v>
      </c>
      <c r="G160" s="4">
        <v>178</v>
      </c>
      <c r="H160" s="4">
        <v>63.49</v>
      </c>
      <c r="I160" s="4">
        <v>23.5</v>
      </c>
      <c r="J160" s="4">
        <v>40</v>
      </c>
      <c r="K160" s="4">
        <v>8.23</v>
      </c>
      <c r="L160" s="4">
        <v>164</v>
      </c>
      <c r="M160" s="4" t="s">
        <v>18</v>
      </c>
      <c r="N160" s="4" t="s">
        <v>24</v>
      </c>
      <c r="O160" s="4" t="s">
        <v>63</v>
      </c>
      <c r="P160" s="4" t="s">
        <v>73</v>
      </c>
    </row>
    <row r="161" spans="1:16" x14ac:dyDescent="0.3">
      <c r="A161" s="4">
        <v>2024</v>
      </c>
      <c r="B161" s="4" t="s">
        <v>15</v>
      </c>
      <c r="C161" s="4" t="s">
        <v>16</v>
      </c>
      <c r="D161" s="4" t="s">
        <v>17</v>
      </c>
      <c r="E161" s="4">
        <v>483</v>
      </c>
      <c r="F161" s="4">
        <v>331</v>
      </c>
      <c r="G161" s="4">
        <v>149</v>
      </c>
      <c r="H161" s="4">
        <v>159.87</v>
      </c>
      <c r="I161" s="4">
        <v>71.97</v>
      </c>
      <c r="J161" s="4">
        <v>87.91</v>
      </c>
      <c r="K161" s="4">
        <v>14.54</v>
      </c>
      <c r="L161" s="4">
        <v>73</v>
      </c>
      <c r="M161" s="4" t="s">
        <v>28</v>
      </c>
      <c r="N161" s="4" t="s">
        <v>19</v>
      </c>
      <c r="O161" s="4" t="s">
        <v>62</v>
      </c>
      <c r="P161" s="4" t="s">
        <v>73</v>
      </c>
    </row>
    <row r="162" spans="1:16" x14ac:dyDescent="0.3">
      <c r="A162" s="4">
        <v>2024</v>
      </c>
      <c r="B162" s="4" t="s">
        <v>41</v>
      </c>
      <c r="C162" s="4" t="s">
        <v>35</v>
      </c>
      <c r="D162" s="4" t="s">
        <v>36</v>
      </c>
      <c r="E162" s="4">
        <v>82</v>
      </c>
      <c r="F162" s="4">
        <v>158</v>
      </c>
      <c r="G162" s="4">
        <v>101</v>
      </c>
      <c r="H162" s="4">
        <v>12.96</v>
      </c>
      <c r="I162" s="4">
        <v>8.2799999999999994</v>
      </c>
      <c r="J162" s="4">
        <v>4.67</v>
      </c>
      <c r="K162" s="4">
        <v>-1.89</v>
      </c>
      <c r="L162" s="4">
        <v>288</v>
      </c>
      <c r="M162" s="4" t="s">
        <v>18</v>
      </c>
      <c r="N162" s="4" t="s">
        <v>38</v>
      </c>
      <c r="O162" s="4" t="s">
        <v>44</v>
      </c>
      <c r="P162" s="4" t="s">
        <v>74</v>
      </c>
    </row>
    <row r="163" spans="1:16" x14ac:dyDescent="0.3">
      <c r="A163" s="4">
        <v>2024</v>
      </c>
      <c r="B163" s="4" t="s">
        <v>46</v>
      </c>
      <c r="C163" s="4" t="s">
        <v>35</v>
      </c>
      <c r="D163" s="4" t="s">
        <v>43</v>
      </c>
      <c r="E163" s="4">
        <v>360</v>
      </c>
      <c r="F163" s="4">
        <v>85</v>
      </c>
      <c r="G163" s="4">
        <v>71</v>
      </c>
      <c r="H163" s="4">
        <v>30.6</v>
      </c>
      <c r="I163" s="4">
        <v>25.56</v>
      </c>
      <c r="J163" s="4">
        <v>5.04</v>
      </c>
      <c r="K163" s="4">
        <v>8.9</v>
      </c>
      <c r="L163" s="4">
        <v>28</v>
      </c>
      <c r="M163" s="4" t="s">
        <v>37</v>
      </c>
      <c r="N163" s="4" t="s">
        <v>31</v>
      </c>
      <c r="O163" s="4" t="s">
        <v>42</v>
      </c>
      <c r="P163" s="4" t="s">
        <v>71</v>
      </c>
    </row>
    <row r="164" spans="1:16" x14ac:dyDescent="0.3">
      <c r="A164" s="4">
        <v>2023</v>
      </c>
      <c r="B164" s="4" t="s">
        <v>32</v>
      </c>
      <c r="C164" s="4" t="s">
        <v>35</v>
      </c>
      <c r="D164" s="4" t="s">
        <v>36</v>
      </c>
      <c r="E164" s="4">
        <v>100</v>
      </c>
      <c r="F164" s="4">
        <v>486</v>
      </c>
      <c r="G164" s="4">
        <v>254</v>
      </c>
      <c r="H164" s="4">
        <v>48.6</v>
      </c>
      <c r="I164" s="4">
        <v>25.4</v>
      </c>
      <c r="J164" s="4">
        <v>23.2</v>
      </c>
      <c r="K164" s="4">
        <v>23.42</v>
      </c>
      <c r="L164" s="4">
        <v>270</v>
      </c>
      <c r="M164" s="4" t="s">
        <v>37</v>
      </c>
      <c r="N164" s="4" t="s">
        <v>19</v>
      </c>
      <c r="O164" s="4" t="s">
        <v>62</v>
      </c>
      <c r="P164" s="4" t="s">
        <v>76</v>
      </c>
    </row>
    <row r="165" spans="1:16" x14ac:dyDescent="0.3">
      <c r="A165" s="4">
        <v>2023</v>
      </c>
      <c r="B165" s="4" t="s">
        <v>47</v>
      </c>
      <c r="C165" s="4" t="s">
        <v>22</v>
      </c>
      <c r="D165" s="4" t="s">
        <v>55</v>
      </c>
      <c r="E165" s="4">
        <v>345</v>
      </c>
      <c r="F165" s="4">
        <v>186</v>
      </c>
      <c r="G165" s="4">
        <v>37</v>
      </c>
      <c r="H165" s="4">
        <v>64.17</v>
      </c>
      <c r="I165" s="4">
        <v>12.77</v>
      </c>
      <c r="J165" s="4">
        <v>51.41</v>
      </c>
      <c r="K165" s="4">
        <v>10.34</v>
      </c>
      <c r="L165" s="4">
        <v>187</v>
      </c>
      <c r="M165" s="4" t="s">
        <v>37</v>
      </c>
      <c r="N165" s="4" t="s">
        <v>38</v>
      </c>
      <c r="O165" s="4" t="s">
        <v>44</v>
      </c>
      <c r="P165" s="4" t="s">
        <v>71</v>
      </c>
    </row>
    <row r="166" spans="1:16" x14ac:dyDescent="0.3">
      <c r="A166" s="4">
        <v>2023</v>
      </c>
      <c r="B166" s="4" t="s">
        <v>46</v>
      </c>
      <c r="C166" s="4" t="s">
        <v>16</v>
      </c>
      <c r="D166" s="4" t="s">
        <v>17</v>
      </c>
      <c r="E166" s="4">
        <v>177</v>
      </c>
      <c r="F166" s="4">
        <v>193</v>
      </c>
      <c r="G166" s="4">
        <v>182</v>
      </c>
      <c r="H166" s="4">
        <v>34.159999999999997</v>
      </c>
      <c r="I166" s="4">
        <v>32.21</v>
      </c>
      <c r="J166" s="4">
        <v>1.95</v>
      </c>
      <c r="K166" s="4">
        <v>13.07</v>
      </c>
      <c r="L166" s="4">
        <v>186</v>
      </c>
      <c r="M166" s="4" t="s">
        <v>28</v>
      </c>
      <c r="N166" s="4" t="s">
        <v>38</v>
      </c>
      <c r="O166" s="4" t="s">
        <v>44</v>
      </c>
      <c r="P166" s="4" t="s">
        <v>75</v>
      </c>
    </row>
    <row r="167" spans="1:16" x14ac:dyDescent="0.3">
      <c r="A167" s="4">
        <v>2023</v>
      </c>
      <c r="B167" s="4" t="s">
        <v>21</v>
      </c>
      <c r="C167" s="4" t="s">
        <v>22</v>
      </c>
      <c r="D167" s="4" t="s">
        <v>23</v>
      </c>
      <c r="E167" s="4">
        <v>419</v>
      </c>
      <c r="F167" s="4">
        <v>449</v>
      </c>
      <c r="G167" s="4">
        <v>160</v>
      </c>
      <c r="H167" s="4">
        <v>188.13</v>
      </c>
      <c r="I167" s="4">
        <v>67.040000000000006</v>
      </c>
      <c r="J167" s="4">
        <v>121.09</v>
      </c>
      <c r="K167" s="4">
        <v>11.12</v>
      </c>
      <c r="L167" s="4">
        <v>192</v>
      </c>
      <c r="M167" s="4" t="s">
        <v>18</v>
      </c>
      <c r="N167" s="4" t="s">
        <v>31</v>
      </c>
      <c r="O167" s="4" t="s">
        <v>42</v>
      </c>
      <c r="P167" s="4" t="s">
        <v>75</v>
      </c>
    </row>
    <row r="168" spans="1:16" x14ac:dyDescent="0.3">
      <c r="A168" s="4">
        <v>2024</v>
      </c>
      <c r="B168" s="4" t="s">
        <v>32</v>
      </c>
      <c r="C168" s="4" t="s">
        <v>22</v>
      </c>
      <c r="D168" s="4" t="s">
        <v>23</v>
      </c>
      <c r="E168" s="4">
        <v>282</v>
      </c>
      <c r="F168" s="4">
        <v>263</v>
      </c>
      <c r="G168" s="4">
        <v>205</v>
      </c>
      <c r="H168" s="4">
        <v>74.17</v>
      </c>
      <c r="I168" s="4">
        <v>57.81</v>
      </c>
      <c r="J168" s="4">
        <v>16.36</v>
      </c>
      <c r="K168" s="4">
        <v>2.6</v>
      </c>
      <c r="L168" s="4">
        <v>239</v>
      </c>
      <c r="M168" s="4" t="s">
        <v>28</v>
      </c>
      <c r="N168" s="4" t="s">
        <v>31</v>
      </c>
      <c r="O168" s="4" t="s">
        <v>42</v>
      </c>
      <c r="P168" s="4" t="s">
        <v>75</v>
      </c>
    </row>
    <row r="169" spans="1:16" x14ac:dyDescent="0.3">
      <c r="A169" s="4">
        <v>2025</v>
      </c>
      <c r="B169" s="4" t="s">
        <v>21</v>
      </c>
      <c r="C169" s="4" t="s">
        <v>16</v>
      </c>
      <c r="D169" s="4" t="s">
        <v>56</v>
      </c>
      <c r="E169" s="4">
        <v>162</v>
      </c>
      <c r="F169" s="4">
        <v>302</v>
      </c>
      <c r="G169" s="4">
        <v>288</v>
      </c>
      <c r="H169" s="4">
        <v>48.92</v>
      </c>
      <c r="I169" s="4">
        <v>46.66</v>
      </c>
      <c r="J169" s="4">
        <v>2.27</v>
      </c>
      <c r="K169" s="4">
        <v>17.48</v>
      </c>
      <c r="L169" s="4">
        <v>290</v>
      </c>
      <c r="M169" s="4" t="s">
        <v>28</v>
      </c>
      <c r="N169" s="4" t="s">
        <v>38</v>
      </c>
      <c r="O169" s="4" t="s">
        <v>44</v>
      </c>
      <c r="P169" s="4" t="s">
        <v>75</v>
      </c>
    </row>
    <row r="170" spans="1:16" x14ac:dyDescent="0.3">
      <c r="A170" s="4">
        <v>2023</v>
      </c>
      <c r="B170" s="4" t="s">
        <v>41</v>
      </c>
      <c r="C170" s="4" t="s">
        <v>22</v>
      </c>
      <c r="D170" s="4" t="s">
        <v>55</v>
      </c>
      <c r="E170" s="4">
        <v>175</v>
      </c>
      <c r="F170" s="4">
        <v>378</v>
      </c>
      <c r="G170" s="4">
        <v>268</v>
      </c>
      <c r="H170" s="4">
        <v>66.150000000000006</v>
      </c>
      <c r="I170" s="4">
        <v>46.9</v>
      </c>
      <c r="J170" s="4">
        <v>19.25</v>
      </c>
      <c r="K170" s="4">
        <v>16.649999999999999</v>
      </c>
      <c r="L170" s="4">
        <v>140</v>
      </c>
      <c r="M170" s="4" t="s">
        <v>28</v>
      </c>
      <c r="N170" s="4" t="s">
        <v>38</v>
      </c>
      <c r="O170" s="4" t="s">
        <v>44</v>
      </c>
      <c r="P170" s="4" t="s">
        <v>76</v>
      </c>
    </row>
    <row r="171" spans="1:16" x14ac:dyDescent="0.3">
      <c r="A171" s="4">
        <v>2023</v>
      </c>
      <c r="B171" s="4" t="s">
        <v>57</v>
      </c>
      <c r="C171" s="4" t="s">
        <v>22</v>
      </c>
      <c r="D171" s="4" t="s">
        <v>55</v>
      </c>
      <c r="E171" s="4">
        <v>186</v>
      </c>
      <c r="F171" s="4">
        <v>207</v>
      </c>
      <c r="G171" s="4">
        <v>65</v>
      </c>
      <c r="H171" s="4">
        <v>38.5</v>
      </c>
      <c r="I171" s="4">
        <v>12.09</v>
      </c>
      <c r="J171" s="4">
        <v>26.41</v>
      </c>
      <c r="K171" s="4">
        <v>-2.54</v>
      </c>
      <c r="L171" s="4">
        <v>162</v>
      </c>
      <c r="M171" s="4" t="s">
        <v>37</v>
      </c>
      <c r="N171" s="4" t="s">
        <v>38</v>
      </c>
      <c r="O171" s="4" t="s">
        <v>44</v>
      </c>
      <c r="P171" s="4" t="s">
        <v>75</v>
      </c>
    </row>
    <row r="172" spans="1:16" x14ac:dyDescent="0.3">
      <c r="A172" s="4">
        <v>2024</v>
      </c>
      <c r="B172" s="4" t="s">
        <v>47</v>
      </c>
      <c r="C172" s="4" t="s">
        <v>33</v>
      </c>
      <c r="D172" s="4" t="s">
        <v>48</v>
      </c>
      <c r="E172" s="4">
        <v>308</v>
      </c>
      <c r="F172" s="4">
        <v>394</v>
      </c>
      <c r="G172" s="4">
        <v>348</v>
      </c>
      <c r="H172" s="4">
        <v>121.35</v>
      </c>
      <c r="I172" s="4">
        <v>107.18</v>
      </c>
      <c r="J172" s="4">
        <v>14.17</v>
      </c>
      <c r="K172" s="4">
        <v>20.29</v>
      </c>
      <c r="L172" s="4">
        <v>65</v>
      </c>
      <c r="M172" s="4" t="s">
        <v>28</v>
      </c>
      <c r="N172" s="4" t="s">
        <v>24</v>
      </c>
      <c r="O172" s="4" t="s">
        <v>63</v>
      </c>
      <c r="P172" s="4" t="s">
        <v>75</v>
      </c>
    </row>
    <row r="173" spans="1:16" x14ac:dyDescent="0.3">
      <c r="A173" s="4">
        <v>2025</v>
      </c>
      <c r="B173" s="4" t="s">
        <v>29</v>
      </c>
      <c r="C173" s="4" t="s">
        <v>22</v>
      </c>
      <c r="D173" s="4" t="s">
        <v>23</v>
      </c>
      <c r="E173" s="4">
        <v>256</v>
      </c>
      <c r="F173" s="4">
        <v>266</v>
      </c>
      <c r="G173" s="4">
        <v>208</v>
      </c>
      <c r="H173" s="4">
        <v>68.099999999999994</v>
      </c>
      <c r="I173" s="4">
        <v>53.25</v>
      </c>
      <c r="J173" s="4">
        <v>14.85</v>
      </c>
      <c r="K173" s="4">
        <v>12.12</v>
      </c>
      <c r="L173" s="4">
        <v>150</v>
      </c>
      <c r="M173" s="4" t="s">
        <v>18</v>
      </c>
      <c r="N173" s="4" t="s">
        <v>38</v>
      </c>
      <c r="O173" s="4" t="s">
        <v>44</v>
      </c>
      <c r="P173" s="4" t="s">
        <v>76</v>
      </c>
    </row>
    <row r="174" spans="1:16" x14ac:dyDescent="0.3">
      <c r="A174" s="4">
        <v>2025</v>
      </c>
      <c r="B174" s="4" t="s">
        <v>15</v>
      </c>
      <c r="C174" s="4" t="s">
        <v>22</v>
      </c>
      <c r="D174" s="4" t="s">
        <v>53</v>
      </c>
      <c r="E174" s="4">
        <v>109</v>
      </c>
      <c r="F174" s="4">
        <v>166</v>
      </c>
      <c r="G174" s="4">
        <v>57</v>
      </c>
      <c r="H174" s="4">
        <v>18.09</v>
      </c>
      <c r="I174" s="4">
        <v>6.21</v>
      </c>
      <c r="J174" s="4">
        <v>11.88</v>
      </c>
      <c r="K174" s="4">
        <v>-6</v>
      </c>
      <c r="L174" s="4">
        <v>104</v>
      </c>
      <c r="M174" s="4" t="s">
        <v>18</v>
      </c>
      <c r="N174" s="4" t="s">
        <v>24</v>
      </c>
      <c r="O174" s="4" t="s">
        <v>63</v>
      </c>
      <c r="P174" s="4" t="s">
        <v>75</v>
      </c>
    </row>
    <row r="175" spans="1:16" x14ac:dyDescent="0.3">
      <c r="A175" s="4">
        <v>2025</v>
      </c>
      <c r="B175" s="4" t="s">
        <v>32</v>
      </c>
      <c r="C175" s="4" t="s">
        <v>22</v>
      </c>
      <c r="D175" s="4" t="s">
        <v>53</v>
      </c>
      <c r="E175" s="4">
        <v>445</v>
      </c>
      <c r="F175" s="4">
        <v>211</v>
      </c>
      <c r="G175" s="4">
        <v>100</v>
      </c>
      <c r="H175" s="4">
        <v>93.89</v>
      </c>
      <c r="I175" s="4">
        <v>44.5</v>
      </c>
      <c r="J175" s="4">
        <v>49.39</v>
      </c>
      <c r="K175" s="4">
        <v>20.73</v>
      </c>
      <c r="L175" s="4">
        <v>110</v>
      </c>
      <c r="M175" s="4" t="s">
        <v>37</v>
      </c>
      <c r="N175" s="4" t="s">
        <v>38</v>
      </c>
      <c r="O175" s="4" t="s">
        <v>44</v>
      </c>
      <c r="P175" s="4" t="s">
        <v>71</v>
      </c>
    </row>
    <row r="176" spans="1:16" x14ac:dyDescent="0.3">
      <c r="A176" s="4">
        <v>2024</v>
      </c>
      <c r="B176" s="4" t="s">
        <v>39</v>
      </c>
      <c r="C176" s="4" t="s">
        <v>33</v>
      </c>
      <c r="D176" s="4" t="s">
        <v>34</v>
      </c>
      <c r="E176" s="4">
        <v>359</v>
      </c>
      <c r="F176" s="4">
        <v>69</v>
      </c>
      <c r="G176" s="4">
        <v>45</v>
      </c>
      <c r="H176" s="4">
        <v>24.77</v>
      </c>
      <c r="I176" s="4">
        <v>16.16</v>
      </c>
      <c r="J176" s="4">
        <v>8.6199999999999992</v>
      </c>
      <c r="K176" s="4">
        <v>19.350000000000001</v>
      </c>
      <c r="L176" s="4">
        <v>23</v>
      </c>
      <c r="M176" s="4" t="s">
        <v>18</v>
      </c>
      <c r="N176" s="4" t="s">
        <v>24</v>
      </c>
      <c r="O176" s="4" t="s">
        <v>63</v>
      </c>
      <c r="P176" s="4" t="s">
        <v>73</v>
      </c>
    </row>
    <row r="177" spans="1:16" x14ac:dyDescent="0.3">
      <c r="A177" s="4">
        <v>2025</v>
      </c>
      <c r="B177" s="4" t="s">
        <v>15</v>
      </c>
      <c r="C177" s="4" t="s">
        <v>26</v>
      </c>
      <c r="D177" s="4" t="s">
        <v>27</v>
      </c>
      <c r="E177" s="4">
        <v>445</v>
      </c>
      <c r="F177" s="4">
        <v>207</v>
      </c>
      <c r="G177" s="4">
        <v>127</v>
      </c>
      <c r="H177" s="4">
        <v>92.11</v>
      </c>
      <c r="I177" s="4">
        <v>56.52</v>
      </c>
      <c r="J177" s="4">
        <v>35.6</v>
      </c>
      <c r="K177" s="4">
        <v>14.14</v>
      </c>
      <c r="L177" s="4">
        <v>247</v>
      </c>
      <c r="M177" s="4" t="s">
        <v>37</v>
      </c>
      <c r="N177" s="4" t="s">
        <v>31</v>
      </c>
      <c r="O177" s="4" t="s">
        <v>42</v>
      </c>
      <c r="P177" s="4" t="s">
        <v>74</v>
      </c>
    </row>
    <row r="178" spans="1:16" x14ac:dyDescent="0.3">
      <c r="A178" s="4">
        <v>2025</v>
      </c>
      <c r="B178" s="4" t="s">
        <v>45</v>
      </c>
      <c r="C178" s="4" t="s">
        <v>33</v>
      </c>
      <c r="D178" s="4" t="s">
        <v>48</v>
      </c>
      <c r="E178" s="4">
        <v>95</v>
      </c>
      <c r="F178" s="4">
        <v>187</v>
      </c>
      <c r="G178" s="4">
        <v>80</v>
      </c>
      <c r="H178" s="4">
        <v>17.77</v>
      </c>
      <c r="I178" s="4">
        <v>7.6</v>
      </c>
      <c r="J178" s="4">
        <v>10.17</v>
      </c>
      <c r="K178" s="4">
        <v>10.88</v>
      </c>
      <c r="L178" s="4">
        <v>283</v>
      </c>
      <c r="M178" s="4" t="s">
        <v>28</v>
      </c>
      <c r="N178" s="4" t="s">
        <v>19</v>
      </c>
      <c r="O178" s="4" t="s">
        <v>62</v>
      </c>
      <c r="P178" s="4" t="s">
        <v>75</v>
      </c>
    </row>
    <row r="179" spans="1:16" x14ac:dyDescent="0.3">
      <c r="A179" s="4">
        <v>2024</v>
      </c>
      <c r="B179" s="4" t="s">
        <v>47</v>
      </c>
      <c r="C179" s="4" t="s">
        <v>16</v>
      </c>
      <c r="D179" s="4" t="s">
        <v>30</v>
      </c>
      <c r="E179" s="4">
        <v>169</v>
      </c>
      <c r="F179" s="4">
        <v>419</v>
      </c>
      <c r="G179" s="4">
        <v>48</v>
      </c>
      <c r="H179" s="4">
        <v>70.81</v>
      </c>
      <c r="I179" s="4">
        <v>8.11</v>
      </c>
      <c r="J179" s="4">
        <v>62.7</v>
      </c>
      <c r="K179" s="4">
        <v>0.65</v>
      </c>
      <c r="L179" s="4">
        <v>144</v>
      </c>
      <c r="M179" s="4" t="s">
        <v>37</v>
      </c>
      <c r="N179" s="4" t="s">
        <v>38</v>
      </c>
      <c r="O179" s="4" t="s">
        <v>44</v>
      </c>
      <c r="P179" s="4" t="s">
        <v>76</v>
      </c>
    </row>
    <row r="180" spans="1:16" x14ac:dyDescent="0.3">
      <c r="A180" s="4">
        <v>2023</v>
      </c>
      <c r="B180" s="4" t="s">
        <v>51</v>
      </c>
      <c r="C180" s="4" t="s">
        <v>35</v>
      </c>
      <c r="D180" s="4" t="s">
        <v>43</v>
      </c>
      <c r="E180" s="4">
        <v>379</v>
      </c>
      <c r="F180" s="4">
        <v>406</v>
      </c>
      <c r="G180" s="4">
        <v>387</v>
      </c>
      <c r="H180" s="4">
        <v>153.87</v>
      </c>
      <c r="I180" s="4">
        <v>146.66999999999999</v>
      </c>
      <c r="J180" s="4">
        <v>7.2</v>
      </c>
      <c r="K180" s="4">
        <v>11</v>
      </c>
      <c r="L180" s="4">
        <v>264</v>
      </c>
      <c r="M180" s="4" t="s">
        <v>28</v>
      </c>
      <c r="N180" s="4" t="s">
        <v>38</v>
      </c>
      <c r="O180" s="4" t="s">
        <v>44</v>
      </c>
      <c r="P180" s="4" t="s">
        <v>76</v>
      </c>
    </row>
    <row r="181" spans="1:16" x14ac:dyDescent="0.3">
      <c r="A181" s="4">
        <v>2025</v>
      </c>
      <c r="B181" s="4" t="s">
        <v>29</v>
      </c>
      <c r="C181" s="4" t="s">
        <v>26</v>
      </c>
      <c r="D181" s="4" t="s">
        <v>58</v>
      </c>
      <c r="E181" s="4">
        <v>263</v>
      </c>
      <c r="F181" s="4">
        <v>113</v>
      </c>
      <c r="G181" s="4">
        <v>96</v>
      </c>
      <c r="H181" s="4">
        <v>29.72</v>
      </c>
      <c r="I181" s="4">
        <v>25.25</v>
      </c>
      <c r="J181" s="4">
        <v>4.47</v>
      </c>
      <c r="K181" s="4">
        <v>9.7799999999999994</v>
      </c>
      <c r="L181" s="4">
        <v>168</v>
      </c>
      <c r="M181" s="4" t="s">
        <v>37</v>
      </c>
      <c r="N181" s="4" t="s">
        <v>31</v>
      </c>
      <c r="O181" s="4" t="s">
        <v>42</v>
      </c>
      <c r="P181" s="4" t="s">
        <v>71</v>
      </c>
    </row>
    <row r="182" spans="1:16" x14ac:dyDescent="0.3">
      <c r="A182" s="4">
        <v>2025</v>
      </c>
      <c r="B182" s="4" t="s">
        <v>15</v>
      </c>
      <c r="C182" s="4" t="s">
        <v>26</v>
      </c>
      <c r="D182" s="4" t="s">
        <v>58</v>
      </c>
      <c r="E182" s="4">
        <v>352</v>
      </c>
      <c r="F182" s="4">
        <v>339</v>
      </c>
      <c r="G182" s="4">
        <v>61</v>
      </c>
      <c r="H182" s="4">
        <v>119.33</v>
      </c>
      <c r="I182" s="4">
        <v>21.47</v>
      </c>
      <c r="J182" s="4">
        <v>97.86</v>
      </c>
      <c r="K182" s="4">
        <v>23.75</v>
      </c>
      <c r="L182" s="4">
        <v>82</v>
      </c>
      <c r="M182" s="4" t="s">
        <v>28</v>
      </c>
      <c r="N182" s="4" t="s">
        <v>31</v>
      </c>
      <c r="O182" s="4" t="s">
        <v>42</v>
      </c>
      <c r="P182" s="4" t="s">
        <v>74</v>
      </c>
    </row>
    <row r="183" spans="1:16" x14ac:dyDescent="0.3">
      <c r="A183" s="4">
        <v>2023</v>
      </c>
      <c r="B183" s="4" t="s">
        <v>29</v>
      </c>
      <c r="C183" s="4" t="s">
        <v>16</v>
      </c>
      <c r="D183" s="4" t="s">
        <v>30</v>
      </c>
      <c r="E183" s="4">
        <v>469</v>
      </c>
      <c r="F183" s="4">
        <v>237</v>
      </c>
      <c r="G183" s="4">
        <v>110</v>
      </c>
      <c r="H183" s="4">
        <v>111.15</v>
      </c>
      <c r="I183" s="4">
        <v>51.59</v>
      </c>
      <c r="J183" s="4">
        <v>59.56</v>
      </c>
      <c r="K183" s="4">
        <v>19.05</v>
      </c>
      <c r="L183" s="4">
        <v>101</v>
      </c>
      <c r="M183" s="4" t="s">
        <v>18</v>
      </c>
      <c r="N183" s="4" t="s">
        <v>31</v>
      </c>
      <c r="O183" s="4" t="s">
        <v>42</v>
      </c>
      <c r="P183" s="4" t="s">
        <v>71</v>
      </c>
    </row>
    <row r="184" spans="1:16" x14ac:dyDescent="0.3">
      <c r="A184" s="4">
        <v>2023</v>
      </c>
      <c r="B184" s="4" t="s">
        <v>41</v>
      </c>
      <c r="C184" s="4" t="s">
        <v>26</v>
      </c>
      <c r="D184" s="4" t="s">
        <v>58</v>
      </c>
      <c r="E184" s="4">
        <v>177</v>
      </c>
      <c r="F184" s="4">
        <v>174</v>
      </c>
      <c r="G184" s="4">
        <v>81</v>
      </c>
      <c r="H184" s="4">
        <v>30.8</v>
      </c>
      <c r="I184" s="4">
        <v>14.34</v>
      </c>
      <c r="J184" s="4">
        <v>16.46</v>
      </c>
      <c r="K184" s="4">
        <v>9.9499999999999993</v>
      </c>
      <c r="L184" s="4">
        <v>255</v>
      </c>
      <c r="M184" s="4" t="s">
        <v>37</v>
      </c>
      <c r="N184" s="4" t="s">
        <v>38</v>
      </c>
      <c r="O184" s="4" t="s">
        <v>44</v>
      </c>
      <c r="P184" s="4" t="s">
        <v>74</v>
      </c>
    </row>
    <row r="185" spans="1:16" x14ac:dyDescent="0.3">
      <c r="A185" s="4">
        <v>2023</v>
      </c>
      <c r="B185" s="4" t="s">
        <v>32</v>
      </c>
      <c r="C185" s="4" t="s">
        <v>16</v>
      </c>
      <c r="D185" s="4" t="s">
        <v>17</v>
      </c>
      <c r="E185" s="4">
        <v>197</v>
      </c>
      <c r="F185" s="4">
        <v>143</v>
      </c>
      <c r="G185" s="4">
        <v>133</v>
      </c>
      <c r="H185" s="4">
        <v>28.17</v>
      </c>
      <c r="I185" s="4">
        <v>26.2</v>
      </c>
      <c r="J185" s="4">
        <v>1.97</v>
      </c>
      <c r="K185" s="4">
        <v>11.82</v>
      </c>
      <c r="L185" s="4">
        <v>66</v>
      </c>
      <c r="M185" s="4" t="s">
        <v>37</v>
      </c>
      <c r="N185" s="4" t="s">
        <v>19</v>
      </c>
      <c r="O185" s="4" t="s">
        <v>62</v>
      </c>
      <c r="P185" s="4" t="s">
        <v>72</v>
      </c>
    </row>
    <row r="186" spans="1:16" x14ac:dyDescent="0.3">
      <c r="A186" s="4">
        <v>2024</v>
      </c>
      <c r="B186" s="4" t="s">
        <v>57</v>
      </c>
      <c r="C186" s="4" t="s">
        <v>16</v>
      </c>
      <c r="D186" s="4" t="s">
        <v>56</v>
      </c>
      <c r="E186" s="4">
        <v>53</v>
      </c>
      <c r="F186" s="4">
        <v>321</v>
      </c>
      <c r="G186" s="4">
        <v>95</v>
      </c>
      <c r="H186" s="4">
        <v>17.010000000000002</v>
      </c>
      <c r="I186" s="4">
        <v>5.04</v>
      </c>
      <c r="J186" s="4">
        <v>11.98</v>
      </c>
      <c r="K186" s="4">
        <v>0.74</v>
      </c>
      <c r="L186" s="4">
        <v>259</v>
      </c>
      <c r="M186" s="4" t="s">
        <v>18</v>
      </c>
      <c r="N186" s="4" t="s">
        <v>24</v>
      </c>
      <c r="O186" s="4" t="s">
        <v>63</v>
      </c>
      <c r="P186" s="4" t="s">
        <v>71</v>
      </c>
    </row>
    <row r="187" spans="1:16" x14ac:dyDescent="0.3">
      <c r="A187" s="4">
        <v>2025</v>
      </c>
      <c r="B187" s="4" t="s">
        <v>51</v>
      </c>
      <c r="C187" s="4" t="s">
        <v>22</v>
      </c>
      <c r="D187" s="4" t="s">
        <v>53</v>
      </c>
      <c r="E187" s="4">
        <v>72</v>
      </c>
      <c r="F187" s="4">
        <v>353</v>
      </c>
      <c r="G187" s="4">
        <v>135</v>
      </c>
      <c r="H187" s="4">
        <v>25.42</v>
      </c>
      <c r="I187" s="4">
        <v>9.7200000000000006</v>
      </c>
      <c r="J187" s="4">
        <v>15.7</v>
      </c>
      <c r="K187" s="4">
        <v>2.17</v>
      </c>
      <c r="L187" s="4">
        <v>50</v>
      </c>
      <c r="M187" s="4" t="s">
        <v>18</v>
      </c>
      <c r="N187" s="4" t="s">
        <v>38</v>
      </c>
      <c r="O187" s="4" t="s">
        <v>44</v>
      </c>
      <c r="P187" s="4" t="s">
        <v>76</v>
      </c>
    </row>
    <row r="188" spans="1:16" x14ac:dyDescent="0.3">
      <c r="A188" s="4">
        <v>2024</v>
      </c>
      <c r="B188" s="4" t="s">
        <v>57</v>
      </c>
      <c r="C188" s="4" t="s">
        <v>26</v>
      </c>
      <c r="D188" s="4" t="s">
        <v>58</v>
      </c>
      <c r="E188" s="4">
        <v>322</v>
      </c>
      <c r="F188" s="4">
        <v>388</v>
      </c>
      <c r="G188" s="4">
        <v>359</v>
      </c>
      <c r="H188" s="4">
        <v>124.94</v>
      </c>
      <c r="I188" s="4">
        <v>115.6</v>
      </c>
      <c r="J188" s="4">
        <v>9.34</v>
      </c>
      <c r="K188" s="4">
        <v>22.6</v>
      </c>
      <c r="L188" s="4">
        <v>46</v>
      </c>
      <c r="M188" s="4" t="s">
        <v>18</v>
      </c>
      <c r="N188" s="4" t="s">
        <v>38</v>
      </c>
      <c r="O188" s="4" t="s">
        <v>44</v>
      </c>
      <c r="P188" s="4" t="s">
        <v>73</v>
      </c>
    </row>
    <row r="189" spans="1:16" x14ac:dyDescent="0.3">
      <c r="A189" s="4">
        <v>2025</v>
      </c>
      <c r="B189" s="4" t="s">
        <v>57</v>
      </c>
      <c r="C189" s="4" t="s">
        <v>22</v>
      </c>
      <c r="D189" s="4" t="s">
        <v>23</v>
      </c>
      <c r="E189" s="4">
        <v>401</v>
      </c>
      <c r="F189" s="4">
        <v>381</v>
      </c>
      <c r="G189" s="4">
        <v>191</v>
      </c>
      <c r="H189" s="4">
        <v>152.78</v>
      </c>
      <c r="I189" s="4">
        <v>76.59</v>
      </c>
      <c r="J189" s="4">
        <v>76.19</v>
      </c>
      <c r="K189" s="4">
        <v>5.79</v>
      </c>
      <c r="L189" s="4">
        <v>86</v>
      </c>
      <c r="M189" s="4" t="s">
        <v>37</v>
      </c>
      <c r="N189" s="4" t="s">
        <v>19</v>
      </c>
      <c r="O189" s="4" t="s">
        <v>62</v>
      </c>
      <c r="P189" s="4" t="s">
        <v>76</v>
      </c>
    </row>
    <row r="190" spans="1:16" x14ac:dyDescent="0.3">
      <c r="A190" s="4">
        <v>2023</v>
      </c>
      <c r="B190" s="4" t="s">
        <v>47</v>
      </c>
      <c r="C190" s="4" t="s">
        <v>26</v>
      </c>
      <c r="D190" s="4" t="s">
        <v>58</v>
      </c>
      <c r="E190" s="4">
        <v>493</v>
      </c>
      <c r="F190" s="4">
        <v>460</v>
      </c>
      <c r="G190" s="4">
        <v>254</v>
      </c>
      <c r="H190" s="4">
        <v>226.78</v>
      </c>
      <c r="I190" s="4">
        <v>125.22</v>
      </c>
      <c r="J190" s="4">
        <v>101.56</v>
      </c>
      <c r="K190" s="4">
        <v>3.23</v>
      </c>
      <c r="L190" s="4">
        <v>37</v>
      </c>
      <c r="M190" s="4" t="s">
        <v>37</v>
      </c>
      <c r="N190" s="4" t="s">
        <v>31</v>
      </c>
      <c r="O190" s="4" t="s">
        <v>42</v>
      </c>
      <c r="P190" s="4" t="s">
        <v>74</v>
      </c>
    </row>
    <row r="191" spans="1:16" x14ac:dyDescent="0.3">
      <c r="A191" s="4">
        <v>2023</v>
      </c>
      <c r="B191" s="4" t="s">
        <v>47</v>
      </c>
      <c r="C191" s="4" t="s">
        <v>33</v>
      </c>
      <c r="D191" s="4" t="s">
        <v>50</v>
      </c>
      <c r="E191" s="4">
        <v>261</v>
      </c>
      <c r="F191" s="4">
        <v>179</v>
      </c>
      <c r="G191" s="4">
        <v>157</v>
      </c>
      <c r="H191" s="4">
        <v>46.72</v>
      </c>
      <c r="I191" s="4">
        <v>40.98</v>
      </c>
      <c r="J191" s="4">
        <v>5.74</v>
      </c>
      <c r="K191" s="4">
        <v>10.29</v>
      </c>
      <c r="L191" s="4">
        <v>275</v>
      </c>
      <c r="M191" s="4" t="s">
        <v>37</v>
      </c>
      <c r="N191" s="4" t="s">
        <v>19</v>
      </c>
      <c r="O191" s="4" t="s">
        <v>62</v>
      </c>
      <c r="P191" s="4" t="s">
        <v>76</v>
      </c>
    </row>
    <row r="192" spans="1:16" x14ac:dyDescent="0.3">
      <c r="A192" s="4">
        <v>2023</v>
      </c>
      <c r="B192" s="4" t="s">
        <v>15</v>
      </c>
      <c r="C192" s="4" t="s">
        <v>33</v>
      </c>
      <c r="D192" s="4" t="s">
        <v>54</v>
      </c>
      <c r="E192" s="4">
        <v>435</v>
      </c>
      <c r="F192" s="4">
        <v>372</v>
      </c>
      <c r="G192" s="4">
        <v>84</v>
      </c>
      <c r="H192" s="4">
        <v>161.82</v>
      </c>
      <c r="I192" s="4">
        <v>36.54</v>
      </c>
      <c r="J192" s="4">
        <v>125.28</v>
      </c>
      <c r="K192" s="4">
        <v>20.04</v>
      </c>
      <c r="L192" s="4">
        <v>240</v>
      </c>
      <c r="M192" s="4" t="s">
        <v>18</v>
      </c>
      <c r="N192" s="4" t="s">
        <v>31</v>
      </c>
      <c r="O192" s="4" t="s">
        <v>42</v>
      </c>
      <c r="P192" s="4" t="s">
        <v>75</v>
      </c>
    </row>
    <row r="193" spans="1:16" x14ac:dyDescent="0.3">
      <c r="A193" s="4">
        <v>2023</v>
      </c>
      <c r="B193" s="4" t="s">
        <v>57</v>
      </c>
      <c r="C193" s="4" t="s">
        <v>33</v>
      </c>
      <c r="D193" s="4" t="s">
        <v>48</v>
      </c>
      <c r="E193" s="4">
        <v>202</v>
      </c>
      <c r="F193" s="4">
        <v>479</v>
      </c>
      <c r="G193" s="4">
        <v>303</v>
      </c>
      <c r="H193" s="4">
        <v>96.76</v>
      </c>
      <c r="I193" s="4">
        <v>61.21</v>
      </c>
      <c r="J193" s="4">
        <v>35.549999999999997</v>
      </c>
      <c r="K193" s="4">
        <v>7.91</v>
      </c>
      <c r="L193" s="4">
        <v>126</v>
      </c>
      <c r="M193" s="4" t="s">
        <v>18</v>
      </c>
      <c r="N193" s="4" t="s">
        <v>31</v>
      </c>
      <c r="O193" s="4" t="s">
        <v>42</v>
      </c>
      <c r="P193" s="4" t="s">
        <v>71</v>
      </c>
    </row>
    <row r="194" spans="1:16" x14ac:dyDescent="0.3">
      <c r="A194" s="4">
        <v>2025</v>
      </c>
      <c r="B194" s="4" t="s">
        <v>29</v>
      </c>
      <c r="C194" s="4" t="s">
        <v>16</v>
      </c>
      <c r="D194" s="4" t="s">
        <v>30</v>
      </c>
      <c r="E194" s="4">
        <v>355</v>
      </c>
      <c r="F194" s="4">
        <v>50</v>
      </c>
      <c r="G194" s="4">
        <v>30</v>
      </c>
      <c r="H194" s="4">
        <v>17.75</v>
      </c>
      <c r="I194" s="4">
        <v>10.65</v>
      </c>
      <c r="J194" s="4">
        <v>7.1</v>
      </c>
      <c r="K194" s="4">
        <v>3.58</v>
      </c>
      <c r="L194" s="4">
        <v>195</v>
      </c>
      <c r="M194" s="4" t="s">
        <v>28</v>
      </c>
      <c r="N194" s="4" t="s">
        <v>31</v>
      </c>
      <c r="O194" s="4" t="s">
        <v>42</v>
      </c>
      <c r="P194" s="4" t="s">
        <v>72</v>
      </c>
    </row>
    <row r="195" spans="1:16" x14ac:dyDescent="0.3">
      <c r="A195" s="4">
        <v>2023</v>
      </c>
      <c r="B195" s="4" t="s">
        <v>29</v>
      </c>
      <c r="C195" s="4" t="s">
        <v>26</v>
      </c>
      <c r="D195" s="4" t="s">
        <v>58</v>
      </c>
      <c r="E195" s="4">
        <v>128</v>
      </c>
      <c r="F195" s="4">
        <v>327</v>
      </c>
      <c r="G195" s="4">
        <v>199</v>
      </c>
      <c r="H195" s="4">
        <v>41.86</v>
      </c>
      <c r="I195" s="4">
        <v>25.47</v>
      </c>
      <c r="J195" s="4">
        <v>16.38</v>
      </c>
      <c r="K195" s="4">
        <v>21.84</v>
      </c>
      <c r="L195" s="4">
        <v>50</v>
      </c>
      <c r="M195" s="4" t="s">
        <v>37</v>
      </c>
      <c r="N195" s="4" t="s">
        <v>38</v>
      </c>
      <c r="O195" s="4" t="s">
        <v>44</v>
      </c>
      <c r="P195" s="4" t="s">
        <v>74</v>
      </c>
    </row>
    <row r="196" spans="1:16" x14ac:dyDescent="0.3">
      <c r="A196" s="4">
        <v>2023</v>
      </c>
      <c r="B196" s="4" t="s">
        <v>29</v>
      </c>
      <c r="C196" s="4" t="s">
        <v>22</v>
      </c>
      <c r="D196" s="4" t="s">
        <v>55</v>
      </c>
      <c r="E196" s="4">
        <v>450</v>
      </c>
      <c r="F196" s="4">
        <v>272</v>
      </c>
      <c r="G196" s="4">
        <v>58</v>
      </c>
      <c r="H196" s="4">
        <v>122.4</v>
      </c>
      <c r="I196" s="4">
        <v>26.1</v>
      </c>
      <c r="J196" s="4">
        <v>96.3</v>
      </c>
      <c r="K196" s="4">
        <v>-4.04</v>
      </c>
      <c r="L196" s="4">
        <v>146</v>
      </c>
      <c r="M196" s="4" t="s">
        <v>37</v>
      </c>
      <c r="N196" s="4" t="s">
        <v>38</v>
      </c>
      <c r="O196" s="4" t="s">
        <v>44</v>
      </c>
      <c r="P196" s="4" t="s">
        <v>74</v>
      </c>
    </row>
    <row r="197" spans="1:16" x14ac:dyDescent="0.3">
      <c r="A197" s="4">
        <v>2024</v>
      </c>
      <c r="B197" s="4" t="s">
        <v>15</v>
      </c>
      <c r="C197" s="4" t="s">
        <v>26</v>
      </c>
      <c r="D197" s="4" t="s">
        <v>52</v>
      </c>
      <c r="E197" s="4">
        <v>396</v>
      </c>
      <c r="F197" s="4">
        <v>313</v>
      </c>
      <c r="G197" s="4">
        <v>238</v>
      </c>
      <c r="H197" s="4">
        <v>123.95</v>
      </c>
      <c r="I197" s="4">
        <v>94.25</v>
      </c>
      <c r="J197" s="4">
        <v>29.7</v>
      </c>
      <c r="K197" s="4">
        <v>-5.21</v>
      </c>
      <c r="L197" s="4">
        <v>86</v>
      </c>
      <c r="M197" s="4" t="s">
        <v>18</v>
      </c>
      <c r="N197" s="4" t="s">
        <v>19</v>
      </c>
      <c r="O197" s="4" t="s">
        <v>62</v>
      </c>
      <c r="P197" s="4" t="s">
        <v>73</v>
      </c>
    </row>
    <row r="198" spans="1:16" x14ac:dyDescent="0.3">
      <c r="A198" s="4">
        <v>2024</v>
      </c>
      <c r="B198" s="4" t="s">
        <v>29</v>
      </c>
      <c r="C198" s="4" t="s">
        <v>16</v>
      </c>
      <c r="D198" s="4" t="s">
        <v>56</v>
      </c>
      <c r="E198" s="4">
        <v>403</v>
      </c>
      <c r="F198" s="4">
        <v>131</v>
      </c>
      <c r="G198" s="4">
        <v>33</v>
      </c>
      <c r="H198" s="4">
        <v>52.79</v>
      </c>
      <c r="I198" s="4">
        <v>13.3</v>
      </c>
      <c r="J198" s="4">
        <v>39.49</v>
      </c>
      <c r="K198" s="4">
        <v>-8.4499999999999993</v>
      </c>
      <c r="L198" s="4">
        <v>100</v>
      </c>
      <c r="M198" s="4" t="s">
        <v>18</v>
      </c>
      <c r="N198" s="4" t="s">
        <v>24</v>
      </c>
      <c r="O198" s="4" t="s">
        <v>63</v>
      </c>
      <c r="P198" s="4" t="s">
        <v>76</v>
      </c>
    </row>
    <row r="199" spans="1:16" x14ac:dyDescent="0.3">
      <c r="A199" s="4">
        <v>2025</v>
      </c>
      <c r="B199" s="4" t="s">
        <v>49</v>
      </c>
      <c r="C199" s="4" t="s">
        <v>33</v>
      </c>
      <c r="D199" s="4" t="s">
        <v>34</v>
      </c>
      <c r="E199" s="4">
        <v>304</v>
      </c>
      <c r="F199" s="4">
        <v>62</v>
      </c>
      <c r="G199" s="4">
        <v>51</v>
      </c>
      <c r="H199" s="4">
        <v>18.850000000000001</v>
      </c>
      <c r="I199" s="4">
        <v>15.5</v>
      </c>
      <c r="J199" s="4">
        <v>3.34</v>
      </c>
      <c r="K199" s="4">
        <v>10.039999999999999</v>
      </c>
      <c r="L199" s="4">
        <v>33</v>
      </c>
      <c r="M199" s="4" t="s">
        <v>28</v>
      </c>
      <c r="N199" s="4" t="s">
        <v>24</v>
      </c>
      <c r="O199" s="4" t="s">
        <v>63</v>
      </c>
      <c r="P199" s="4" t="s">
        <v>74</v>
      </c>
    </row>
    <row r="200" spans="1:16" x14ac:dyDescent="0.3">
      <c r="A200" s="4">
        <v>2023</v>
      </c>
      <c r="B200" s="4" t="s">
        <v>47</v>
      </c>
      <c r="C200" s="4" t="s">
        <v>22</v>
      </c>
      <c r="D200" s="4" t="s">
        <v>53</v>
      </c>
      <c r="E200" s="4">
        <v>148</v>
      </c>
      <c r="F200" s="4">
        <v>64</v>
      </c>
      <c r="G200" s="4">
        <v>50</v>
      </c>
      <c r="H200" s="4">
        <v>9.4700000000000006</v>
      </c>
      <c r="I200" s="4">
        <v>7.4</v>
      </c>
      <c r="J200" s="4">
        <v>2.0699999999999998</v>
      </c>
      <c r="K200" s="4">
        <v>-9.81</v>
      </c>
      <c r="L200" s="4">
        <v>104</v>
      </c>
      <c r="M200" s="4" t="s">
        <v>37</v>
      </c>
      <c r="N200" s="4" t="s">
        <v>19</v>
      </c>
      <c r="O200" s="4" t="s">
        <v>62</v>
      </c>
      <c r="P200" s="4" t="s">
        <v>73</v>
      </c>
    </row>
    <row r="201" spans="1:16" x14ac:dyDescent="0.3">
      <c r="A201" s="4">
        <v>2025</v>
      </c>
      <c r="B201" s="4" t="s">
        <v>51</v>
      </c>
      <c r="C201" s="4" t="s">
        <v>22</v>
      </c>
      <c r="D201" s="4" t="s">
        <v>59</v>
      </c>
      <c r="E201" s="4">
        <v>432</v>
      </c>
      <c r="F201" s="4">
        <v>205</v>
      </c>
      <c r="G201" s="4">
        <v>87</v>
      </c>
      <c r="H201" s="4">
        <v>88.56</v>
      </c>
      <c r="I201" s="4">
        <v>37.58</v>
      </c>
      <c r="J201" s="4">
        <v>50.98</v>
      </c>
      <c r="K201" s="4">
        <v>-5.88</v>
      </c>
      <c r="L201" s="4">
        <v>81</v>
      </c>
      <c r="M201" s="4" t="s">
        <v>28</v>
      </c>
      <c r="N201" s="4" t="s">
        <v>24</v>
      </c>
      <c r="O201" s="4" t="s">
        <v>63</v>
      </c>
      <c r="P201" s="4" t="s">
        <v>72</v>
      </c>
    </row>
    <row r="202" spans="1:16" x14ac:dyDescent="0.3">
      <c r="A202" s="4">
        <v>2023</v>
      </c>
      <c r="B202" s="4" t="s">
        <v>45</v>
      </c>
      <c r="C202" s="4" t="s">
        <v>16</v>
      </c>
      <c r="D202" s="4" t="s">
        <v>30</v>
      </c>
      <c r="E202" s="4">
        <v>388</v>
      </c>
      <c r="F202" s="4">
        <v>349</v>
      </c>
      <c r="G202" s="4">
        <v>69</v>
      </c>
      <c r="H202" s="4">
        <v>135.41</v>
      </c>
      <c r="I202" s="4">
        <v>26.77</v>
      </c>
      <c r="J202" s="4">
        <v>108.64</v>
      </c>
      <c r="K202" s="4">
        <v>13.93</v>
      </c>
      <c r="L202" s="4">
        <v>149</v>
      </c>
      <c r="M202" s="4" t="s">
        <v>28</v>
      </c>
      <c r="N202" s="4" t="s">
        <v>24</v>
      </c>
      <c r="O202" s="4" t="s">
        <v>63</v>
      </c>
      <c r="P202" s="4" t="s">
        <v>75</v>
      </c>
    </row>
    <row r="203" spans="1:16" x14ac:dyDescent="0.3">
      <c r="A203" s="4">
        <v>2025</v>
      </c>
      <c r="B203" s="4" t="s">
        <v>15</v>
      </c>
      <c r="C203" s="4" t="s">
        <v>35</v>
      </c>
      <c r="D203" s="4" t="s">
        <v>40</v>
      </c>
      <c r="E203" s="4">
        <v>435</v>
      </c>
      <c r="F203" s="4">
        <v>192</v>
      </c>
      <c r="G203" s="4">
        <v>106</v>
      </c>
      <c r="H203" s="4">
        <v>83.52</v>
      </c>
      <c r="I203" s="4">
        <v>46.11</v>
      </c>
      <c r="J203" s="4">
        <v>37.409999999999997</v>
      </c>
      <c r="K203" s="4">
        <v>0.92</v>
      </c>
      <c r="L203" s="4">
        <v>147</v>
      </c>
      <c r="M203" s="4" t="s">
        <v>37</v>
      </c>
      <c r="N203" s="4" t="s">
        <v>31</v>
      </c>
      <c r="O203" s="4" t="s">
        <v>42</v>
      </c>
      <c r="P203" s="4" t="s">
        <v>74</v>
      </c>
    </row>
    <row r="204" spans="1:16" x14ac:dyDescent="0.3">
      <c r="A204" s="4">
        <v>2023</v>
      </c>
      <c r="B204" s="4" t="s">
        <v>57</v>
      </c>
      <c r="C204" s="4" t="s">
        <v>22</v>
      </c>
      <c r="D204" s="4" t="s">
        <v>23</v>
      </c>
      <c r="E204" s="4">
        <v>63</v>
      </c>
      <c r="F204" s="4">
        <v>424</v>
      </c>
      <c r="G204" s="4">
        <v>384</v>
      </c>
      <c r="H204" s="4">
        <v>26.71</v>
      </c>
      <c r="I204" s="4">
        <v>24.19</v>
      </c>
      <c r="J204" s="4">
        <v>2.52</v>
      </c>
      <c r="K204" s="4">
        <v>20.91</v>
      </c>
      <c r="L204" s="4">
        <v>272</v>
      </c>
      <c r="M204" s="4" t="s">
        <v>18</v>
      </c>
      <c r="N204" s="4" t="s">
        <v>24</v>
      </c>
      <c r="O204" s="4" t="s">
        <v>63</v>
      </c>
      <c r="P204" s="4" t="s">
        <v>72</v>
      </c>
    </row>
    <row r="205" spans="1:16" x14ac:dyDescent="0.3">
      <c r="A205" s="4">
        <v>2025</v>
      </c>
      <c r="B205" s="4" t="s">
        <v>29</v>
      </c>
      <c r="C205" s="4" t="s">
        <v>35</v>
      </c>
      <c r="D205" s="4" t="s">
        <v>43</v>
      </c>
      <c r="E205" s="4">
        <v>478</v>
      </c>
      <c r="F205" s="4">
        <v>469</v>
      </c>
      <c r="G205" s="4">
        <v>289</v>
      </c>
      <c r="H205" s="4">
        <v>224.18</v>
      </c>
      <c r="I205" s="4">
        <v>138.13999999999999</v>
      </c>
      <c r="J205" s="4">
        <v>86.04</v>
      </c>
      <c r="K205" s="4">
        <v>13.2</v>
      </c>
      <c r="L205" s="4">
        <v>243</v>
      </c>
      <c r="M205" s="4" t="s">
        <v>37</v>
      </c>
      <c r="N205" s="4" t="s">
        <v>38</v>
      </c>
      <c r="O205" s="4" t="s">
        <v>44</v>
      </c>
      <c r="P205" s="4" t="s">
        <v>74</v>
      </c>
    </row>
    <row r="206" spans="1:16" x14ac:dyDescent="0.3">
      <c r="A206" s="4">
        <v>2025</v>
      </c>
      <c r="B206" s="4" t="s">
        <v>49</v>
      </c>
      <c r="C206" s="4" t="s">
        <v>26</v>
      </c>
      <c r="D206" s="4" t="s">
        <v>52</v>
      </c>
      <c r="E206" s="4">
        <v>415</v>
      </c>
      <c r="F206" s="4">
        <v>113</v>
      </c>
      <c r="G206" s="4">
        <v>30</v>
      </c>
      <c r="H206" s="4">
        <v>46.9</v>
      </c>
      <c r="I206" s="4">
        <v>12.45</v>
      </c>
      <c r="J206" s="4">
        <v>34.450000000000003</v>
      </c>
      <c r="K206" s="4">
        <v>15.93</v>
      </c>
      <c r="L206" s="4">
        <v>154</v>
      </c>
      <c r="M206" s="4" t="s">
        <v>28</v>
      </c>
      <c r="N206" s="4" t="s">
        <v>31</v>
      </c>
      <c r="O206" s="4" t="s">
        <v>42</v>
      </c>
      <c r="P206" s="4" t="s">
        <v>75</v>
      </c>
    </row>
    <row r="207" spans="1:16" x14ac:dyDescent="0.3">
      <c r="A207" s="4">
        <v>2023</v>
      </c>
      <c r="B207" s="4" t="s">
        <v>32</v>
      </c>
      <c r="C207" s="4" t="s">
        <v>33</v>
      </c>
      <c r="D207" s="4" t="s">
        <v>54</v>
      </c>
      <c r="E207" s="4">
        <v>164</v>
      </c>
      <c r="F207" s="4">
        <v>135</v>
      </c>
      <c r="G207" s="4">
        <v>98</v>
      </c>
      <c r="H207" s="4">
        <v>22.14</v>
      </c>
      <c r="I207" s="4">
        <v>16.07</v>
      </c>
      <c r="J207" s="4">
        <v>6.07</v>
      </c>
      <c r="K207" s="4">
        <v>0.82</v>
      </c>
      <c r="L207" s="4">
        <v>127</v>
      </c>
      <c r="M207" s="4" t="s">
        <v>18</v>
      </c>
      <c r="N207" s="4" t="s">
        <v>24</v>
      </c>
      <c r="O207" s="4" t="s">
        <v>63</v>
      </c>
      <c r="P207" s="4" t="s">
        <v>73</v>
      </c>
    </row>
    <row r="208" spans="1:16" x14ac:dyDescent="0.3">
      <c r="A208" s="4">
        <v>2025</v>
      </c>
      <c r="B208" s="4" t="s">
        <v>47</v>
      </c>
      <c r="C208" s="4" t="s">
        <v>26</v>
      </c>
      <c r="D208" s="4" t="s">
        <v>58</v>
      </c>
      <c r="E208" s="4">
        <v>395</v>
      </c>
      <c r="F208" s="4">
        <v>165</v>
      </c>
      <c r="G208" s="4">
        <v>31</v>
      </c>
      <c r="H208" s="4">
        <v>65.17</v>
      </c>
      <c r="I208" s="4">
        <v>12.24</v>
      </c>
      <c r="J208" s="4">
        <v>52.93</v>
      </c>
      <c r="K208" s="4">
        <v>15.37</v>
      </c>
      <c r="L208" s="4">
        <v>75</v>
      </c>
      <c r="M208" s="4" t="s">
        <v>28</v>
      </c>
      <c r="N208" s="4" t="s">
        <v>24</v>
      </c>
      <c r="O208" s="4" t="s">
        <v>63</v>
      </c>
      <c r="P208" s="4" t="s">
        <v>71</v>
      </c>
    </row>
    <row r="209" spans="1:16" x14ac:dyDescent="0.3">
      <c r="A209" s="4">
        <v>2023</v>
      </c>
      <c r="B209" s="4" t="s">
        <v>45</v>
      </c>
      <c r="C209" s="4" t="s">
        <v>35</v>
      </c>
      <c r="D209" s="4" t="s">
        <v>40</v>
      </c>
      <c r="E209" s="4">
        <v>73</v>
      </c>
      <c r="F209" s="4">
        <v>479</v>
      </c>
      <c r="G209" s="4">
        <v>122</v>
      </c>
      <c r="H209" s="4">
        <v>34.97</v>
      </c>
      <c r="I209" s="4">
        <v>8.91</v>
      </c>
      <c r="J209" s="4">
        <v>26.06</v>
      </c>
      <c r="K209" s="4">
        <v>-7.41</v>
      </c>
      <c r="L209" s="4">
        <v>167</v>
      </c>
      <c r="M209" s="4" t="s">
        <v>28</v>
      </c>
      <c r="N209" s="4" t="s">
        <v>31</v>
      </c>
      <c r="O209" s="4" t="s">
        <v>42</v>
      </c>
      <c r="P209" s="4" t="s">
        <v>73</v>
      </c>
    </row>
    <row r="210" spans="1:16" x14ac:dyDescent="0.3">
      <c r="A210" s="4">
        <v>2024</v>
      </c>
      <c r="B210" s="4" t="s">
        <v>51</v>
      </c>
      <c r="C210" s="4" t="s">
        <v>16</v>
      </c>
      <c r="D210" s="4" t="s">
        <v>56</v>
      </c>
      <c r="E210" s="4">
        <v>280</v>
      </c>
      <c r="F210" s="4">
        <v>404</v>
      </c>
      <c r="G210" s="4">
        <v>52</v>
      </c>
      <c r="H210" s="4">
        <v>113.12</v>
      </c>
      <c r="I210" s="4">
        <v>14.56</v>
      </c>
      <c r="J210" s="4">
        <v>98.56</v>
      </c>
      <c r="K210" s="4">
        <v>-8.8699999999999992</v>
      </c>
      <c r="L210" s="4">
        <v>106</v>
      </c>
      <c r="M210" s="4" t="s">
        <v>37</v>
      </c>
      <c r="N210" s="4" t="s">
        <v>38</v>
      </c>
      <c r="O210" s="4" t="s">
        <v>44</v>
      </c>
      <c r="P210" s="4" t="s">
        <v>76</v>
      </c>
    </row>
    <row r="211" spans="1:16" x14ac:dyDescent="0.3">
      <c r="A211" s="4">
        <v>2023</v>
      </c>
      <c r="B211" s="4" t="s">
        <v>57</v>
      </c>
      <c r="C211" s="4" t="s">
        <v>35</v>
      </c>
      <c r="D211" s="4" t="s">
        <v>36</v>
      </c>
      <c r="E211" s="4">
        <v>279</v>
      </c>
      <c r="F211" s="4">
        <v>486</v>
      </c>
      <c r="G211" s="4">
        <v>205</v>
      </c>
      <c r="H211" s="4">
        <v>135.59</v>
      </c>
      <c r="I211" s="4">
        <v>57.2</v>
      </c>
      <c r="J211" s="4">
        <v>78.400000000000006</v>
      </c>
      <c r="K211" s="4">
        <v>-1.8</v>
      </c>
      <c r="L211" s="4">
        <v>42</v>
      </c>
      <c r="M211" s="4" t="s">
        <v>18</v>
      </c>
      <c r="N211" s="4" t="s">
        <v>24</v>
      </c>
      <c r="O211" s="4" t="s">
        <v>63</v>
      </c>
      <c r="P211" s="4" t="s">
        <v>73</v>
      </c>
    </row>
    <row r="212" spans="1:16" x14ac:dyDescent="0.3">
      <c r="A212" s="4">
        <v>2024</v>
      </c>
      <c r="B212" s="4" t="s">
        <v>46</v>
      </c>
      <c r="C212" s="4" t="s">
        <v>22</v>
      </c>
      <c r="D212" s="4" t="s">
        <v>55</v>
      </c>
      <c r="E212" s="4">
        <v>97</v>
      </c>
      <c r="F212" s="4">
        <v>348</v>
      </c>
      <c r="G212" s="4">
        <v>94</v>
      </c>
      <c r="H212" s="4">
        <v>33.76</v>
      </c>
      <c r="I212" s="4">
        <v>9.1199999999999992</v>
      </c>
      <c r="J212" s="4">
        <v>24.64</v>
      </c>
      <c r="K212" s="4">
        <v>9.14</v>
      </c>
      <c r="L212" s="4">
        <v>217</v>
      </c>
      <c r="M212" s="4" t="s">
        <v>37</v>
      </c>
      <c r="N212" s="4" t="s">
        <v>19</v>
      </c>
      <c r="O212" s="4" t="s">
        <v>62</v>
      </c>
      <c r="P212" s="4" t="s">
        <v>72</v>
      </c>
    </row>
    <row r="213" spans="1:16" x14ac:dyDescent="0.3">
      <c r="A213" s="4">
        <v>2024</v>
      </c>
      <c r="B213" s="4" t="s">
        <v>21</v>
      </c>
      <c r="C213" s="4" t="s">
        <v>35</v>
      </c>
      <c r="D213" s="4" t="s">
        <v>43</v>
      </c>
      <c r="E213" s="4">
        <v>476</v>
      </c>
      <c r="F213" s="4">
        <v>458</v>
      </c>
      <c r="G213" s="4">
        <v>324</v>
      </c>
      <c r="H213" s="4">
        <v>218.01</v>
      </c>
      <c r="I213" s="4">
        <v>154.22</v>
      </c>
      <c r="J213" s="4">
        <v>63.78</v>
      </c>
      <c r="K213" s="4">
        <v>11.77</v>
      </c>
      <c r="L213" s="4">
        <v>207</v>
      </c>
      <c r="M213" s="4" t="s">
        <v>18</v>
      </c>
      <c r="N213" s="4" t="s">
        <v>38</v>
      </c>
      <c r="O213" s="4" t="s">
        <v>44</v>
      </c>
      <c r="P213" s="4" t="s">
        <v>73</v>
      </c>
    </row>
    <row r="214" spans="1:16" x14ac:dyDescent="0.3">
      <c r="A214" s="4">
        <v>2023</v>
      </c>
      <c r="B214" s="4" t="s">
        <v>29</v>
      </c>
      <c r="C214" s="4" t="s">
        <v>33</v>
      </c>
      <c r="D214" s="4" t="s">
        <v>34</v>
      </c>
      <c r="E214" s="4">
        <v>331</v>
      </c>
      <c r="F214" s="4">
        <v>164</v>
      </c>
      <c r="G214" s="4">
        <v>43</v>
      </c>
      <c r="H214" s="4">
        <v>54.28</v>
      </c>
      <c r="I214" s="4">
        <v>14.23</v>
      </c>
      <c r="J214" s="4">
        <v>40.049999999999997</v>
      </c>
      <c r="K214" s="4">
        <v>19.14</v>
      </c>
      <c r="L214" s="4">
        <v>42</v>
      </c>
      <c r="M214" s="4" t="s">
        <v>18</v>
      </c>
      <c r="N214" s="4" t="s">
        <v>38</v>
      </c>
      <c r="O214" s="4" t="s">
        <v>44</v>
      </c>
      <c r="P214" s="4" t="s">
        <v>76</v>
      </c>
    </row>
    <row r="215" spans="1:16" x14ac:dyDescent="0.3">
      <c r="A215" s="4">
        <v>2025</v>
      </c>
      <c r="B215" s="4" t="s">
        <v>32</v>
      </c>
      <c r="C215" s="4" t="s">
        <v>26</v>
      </c>
      <c r="D215" s="4" t="s">
        <v>52</v>
      </c>
      <c r="E215" s="4">
        <v>50</v>
      </c>
      <c r="F215" s="4">
        <v>106</v>
      </c>
      <c r="G215" s="4">
        <v>34</v>
      </c>
      <c r="H215" s="4">
        <v>5.3</v>
      </c>
      <c r="I215" s="4">
        <v>1.7</v>
      </c>
      <c r="J215" s="4">
        <v>3.6</v>
      </c>
      <c r="K215" s="4">
        <v>0.08</v>
      </c>
      <c r="L215" s="4">
        <v>75</v>
      </c>
      <c r="M215" s="4" t="s">
        <v>28</v>
      </c>
      <c r="N215" s="4" t="s">
        <v>38</v>
      </c>
      <c r="O215" s="4" t="s">
        <v>44</v>
      </c>
      <c r="P215" s="4" t="s">
        <v>75</v>
      </c>
    </row>
    <row r="216" spans="1:16" x14ac:dyDescent="0.3">
      <c r="A216" s="4">
        <v>2023</v>
      </c>
      <c r="B216" s="4" t="s">
        <v>47</v>
      </c>
      <c r="C216" s="4" t="s">
        <v>35</v>
      </c>
      <c r="D216" s="4" t="s">
        <v>43</v>
      </c>
      <c r="E216" s="4">
        <v>363</v>
      </c>
      <c r="F216" s="4">
        <v>235</v>
      </c>
      <c r="G216" s="4">
        <v>161</v>
      </c>
      <c r="H216" s="4">
        <v>85.31</v>
      </c>
      <c r="I216" s="4">
        <v>58.44</v>
      </c>
      <c r="J216" s="4">
        <v>26.86</v>
      </c>
      <c r="K216" s="4">
        <v>5.0599999999999996</v>
      </c>
      <c r="L216" s="4">
        <v>146</v>
      </c>
      <c r="M216" s="4" t="s">
        <v>37</v>
      </c>
      <c r="N216" s="4" t="s">
        <v>38</v>
      </c>
      <c r="O216" s="4" t="s">
        <v>44</v>
      </c>
      <c r="P216" s="4" t="s">
        <v>75</v>
      </c>
    </row>
    <row r="217" spans="1:16" x14ac:dyDescent="0.3">
      <c r="A217" s="4">
        <v>2025</v>
      </c>
      <c r="B217" s="4" t="s">
        <v>47</v>
      </c>
      <c r="C217" s="4" t="s">
        <v>35</v>
      </c>
      <c r="D217" s="4" t="s">
        <v>40</v>
      </c>
      <c r="E217" s="4">
        <v>442</v>
      </c>
      <c r="F217" s="4">
        <v>108</v>
      </c>
      <c r="G217" s="4">
        <v>43</v>
      </c>
      <c r="H217" s="4">
        <v>47.74</v>
      </c>
      <c r="I217" s="4">
        <v>19.010000000000002</v>
      </c>
      <c r="J217" s="4">
        <v>28.73</v>
      </c>
      <c r="K217" s="4">
        <v>20.079999999999998</v>
      </c>
      <c r="L217" s="4">
        <v>23</v>
      </c>
      <c r="M217" s="4" t="s">
        <v>18</v>
      </c>
      <c r="N217" s="4" t="s">
        <v>24</v>
      </c>
      <c r="O217" s="4" t="s">
        <v>63</v>
      </c>
      <c r="P217" s="4" t="s">
        <v>72</v>
      </c>
    </row>
    <row r="218" spans="1:16" x14ac:dyDescent="0.3">
      <c r="A218" s="4">
        <v>2025</v>
      </c>
      <c r="B218" s="4" t="s">
        <v>15</v>
      </c>
      <c r="C218" s="4" t="s">
        <v>35</v>
      </c>
      <c r="D218" s="4" t="s">
        <v>36</v>
      </c>
      <c r="E218" s="4">
        <v>475</v>
      </c>
      <c r="F218" s="4">
        <v>80</v>
      </c>
      <c r="G218" s="4">
        <v>45</v>
      </c>
      <c r="H218" s="4">
        <v>38</v>
      </c>
      <c r="I218" s="4">
        <v>21.38</v>
      </c>
      <c r="J218" s="4">
        <v>16.62</v>
      </c>
      <c r="K218" s="4">
        <v>-0.99</v>
      </c>
      <c r="L218" s="4">
        <v>217</v>
      </c>
      <c r="M218" s="4" t="s">
        <v>37</v>
      </c>
      <c r="N218" s="4" t="s">
        <v>24</v>
      </c>
      <c r="O218" s="4" t="s">
        <v>63</v>
      </c>
      <c r="P218" s="4" t="s">
        <v>74</v>
      </c>
    </row>
    <row r="219" spans="1:16" x14ac:dyDescent="0.3">
      <c r="A219" s="4">
        <v>2023</v>
      </c>
      <c r="B219" s="4" t="s">
        <v>46</v>
      </c>
      <c r="C219" s="4" t="s">
        <v>26</v>
      </c>
      <c r="D219" s="4" t="s">
        <v>27</v>
      </c>
      <c r="E219" s="4">
        <v>62</v>
      </c>
      <c r="F219" s="4">
        <v>377</v>
      </c>
      <c r="G219" s="4">
        <v>55</v>
      </c>
      <c r="H219" s="4">
        <v>23.37</v>
      </c>
      <c r="I219" s="4">
        <v>3.41</v>
      </c>
      <c r="J219" s="4">
        <v>19.96</v>
      </c>
      <c r="K219" s="4">
        <v>7.83</v>
      </c>
      <c r="L219" s="4">
        <v>158</v>
      </c>
      <c r="M219" s="4" t="s">
        <v>37</v>
      </c>
      <c r="N219" s="4" t="s">
        <v>31</v>
      </c>
      <c r="O219" s="4" t="s">
        <v>42</v>
      </c>
      <c r="P219" s="4" t="s">
        <v>72</v>
      </c>
    </row>
    <row r="220" spans="1:16" x14ac:dyDescent="0.3">
      <c r="A220" s="4">
        <v>2023</v>
      </c>
      <c r="B220" s="4" t="s">
        <v>32</v>
      </c>
      <c r="C220" s="4" t="s">
        <v>26</v>
      </c>
      <c r="D220" s="4" t="s">
        <v>58</v>
      </c>
      <c r="E220" s="4">
        <v>93</v>
      </c>
      <c r="F220" s="4">
        <v>262</v>
      </c>
      <c r="G220" s="4">
        <v>49</v>
      </c>
      <c r="H220" s="4">
        <v>24.37</v>
      </c>
      <c r="I220" s="4">
        <v>4.5599999999999996</v>
      </c>
      <c r="J220" s="4">
        <v>19.809999999999999</v>
      </c>
      <c r="K220" s="4">
        <v>22.5</v>
      </c>
      <c r="L220" s="4">
        <v>20</v>
      </c>
      <c r="M220" s="4" t="s">
        <v>37</v>
      </c>
      <c r="N220" s="4" t="s">
        <v>31</v>
      </c>
      <c r="O220" s="4" t="s">
        <v>42</v>
      </c>
      <c r="P220" s="4" t="s">
        <v>75</v>
      </c>
    </row>
    <row r="221" spans="1:16" x14ac:dyDescent="0.3">
      <c r="A221" s="4">
        <v>2025</v>
      </c>
      <c r="B221" s="4" t="s">
        <v>41</v>
      </c>
      <c r="C221" s="4" t="s">
        <v>16</v>
      </c>
      <c r="D221" s="4" t="s">
        <v>30</v>
      </c>
      <c r="E221" s="4">
        <v>230</v>
      </c>
      <c r="F221" s="4">
        <v>128</v>
      </c>
      <c r="G221" s="4">
        <v>103</v>
      </c>
      <c r="H221" s="4">
        <v>29.44</v>
      </c>
      <c r="I221" s="4">
        <v>23.69</v>
      </c>
      <c r="J221" s="4">
        <v>5.75</v>
      </c>
      <c r="K221" s="4">
        <v>21.96</v>
      </c>
      <c r="L221" s="4">
        <v>273</v>
      </c>
      <c r="M221" s="4" t="s">
        <v>18</v>
      </c>
      <c r="N221" s="4" t="s">
        <v>19</v>
      </c>
      <c r="O221" s="4" t="s">
        <v>62</v>
      </c>
      <c r="P221" s="4" t="s">
        <v>71</v>
      </c>
    </row>
    <row r="222" spans="1:16" x14ac:dyDescent="0.3">
      <c r="A222" s="4">
        <v>2024</v>
      </c>
      <c r="B222" s="4" t="s">
        <v>49</v>
      </c>
      <c r="C222" s="4" t="s">
        <v>16</v>
      </c>
      <c r="D222" s="4" t="s">
        <v>17</v>
      </c>
      <c r="E222" s="4">
        <v>272</v>
      </c>
      <c r="F222" s="4">
        <v>159</v>
      </c>
      <c r="G222" s="4">
        <v>77</v>
      </c>
      <c r="H222" s="4">
        <v>43.25</v>
      </c>
      <c r="I222" s="4">
        <v>20.94</v>
      </c>
      <c r="J222" s="4">
        <v>22.3</v>
      </c>
      <c r="K222" s="4">
        <v>16.52</v>
      </c>
      <c r="L222" s="4">
        <v>128</v>
      </c>
      <c r="M222" s="4" t="s">
        <v>18</v>
      </c>
      <c r="N222" s="4" t="s">
        <v>38</v>
      </c>
      <c r="O222" s="4" t="s">
        <v>44</v>
      </c>
      <c r="P222" s="4" t="s">
        <v>71</v>
      </c>
    </row>
    <row r="223" spans="1:16" x14ac:dyDescent="0.3">
      <c r="A223" s="4">
        <v>2023</v>
      </c>
      <c r="B223" s="4" t="s">
        <v>49</v>
      </c>
      <c r="C223" s="4" t="s">
        <v>33</v>
      </c>
      <c r="D223" s="4" t="s">
        <v>54</v>
      </c>
      <c r="E223" s="4">
        <v>160</v>
      </c>
      <c r="F223" s="4">
        <v>311</v>
      </c>
      <c r="G223" s="4">
        <v>263</v>
      </c>
      <c r="H223" s="4">
        <v>49.76</v>
      </c>
      <c r="I223" s="4">
        <v>42.08</v>
      </c>
      <c r="J223" s="4">
        <v>7.68</v>
      </c>
      <c r="K223" s="4">
        <v>-7.27</v>
      </c>
      <c r="L223" s="4">
        <v>116</v>
      </c>
      <c r="M223" s="4" t="s">
        <v>18</v>
      </c>
      <c r="N223" s="4" t="s">
        <v>38</v>
      </c>
      <c r="O223" s="4" t="s">
        <v>44</v>
      </c>
      <c r="P223" s="4" t="s">
        <v>74</v>
      </c>
    </row>
    <row r="224" spans="1:16" x14ac:dyDescent="0.3">
      <c r="A224" s="4">
        <v>2023</v>
      </c>
      <c r="B224" s="4" t="s">
        <v>15</v>
      </c>
      <c r="C224" s="4" t="s">
        <v>35</v>
      </c>
      <c r="D224" s="4" t="s">
        <v>43</v>
      </c>
      <c r="E224" s="4">
        <v>72</v>
      </c>
      <c r="F224" s="4">
        <v>446</v>
      </c>
      <c r="G224" s="4">
        <v>377</v>
      </c>
      <c r="H224" s="4">
        <v>32.11</v>
      </c>
      <c r="I224" s="4">
        <v>27.14</v>
      </c>
      <c r="J224" s="4">
        <v>4.97</v>
      </c>
      <c r="K224" s="4">
        <v>10.51</v>
      </c>
      <c r="L224" s="4">
        <v>117</v>
      </c>
      <c r="M224" s="4" t="s">
        <v>18</v>
      </c>
      <c r="N224" s="4" t="s">
        <v>31</v>
      </c>
      <c r="O224" s="4" t="s">
        <v>42</v>
      </c>
      <c r="P224" s="4" t="s">
        <v>72</v>
      </c>
    </row>
    <row r="225" spans="1:16" x14ac:dyDescent="0.3">
      <c r="A225" s="4">
        <v>2025</v>
      </c>
      <c r="B225" s="4" t="s">
        <v>21</v>
      </c>
      <c r="C225" s="4" t="s">
        <v>35</v>
      </c>
      <c r="D225" s="4" t="s">
        <v>43</v>
      </c>
      <c r="E225" s="4">
        <v>104</v>
      </c>
      <c r="F225" s="4">
        <v>458</v>
      </c>
      <c r="G225" s="4">
        <v>75</v>
      </c>
      <c r="H225" s="4">
        <v>47.63</v>
      </c>
      <c r="I225" s="4">
        <v>7.8</v>
      </c>
      <c r="J225" s="4">
        <v>39.83</v>
      </c>
      <c r="K225" s="4">
        <v>-2.61</v>
      </c>
      <c r="L225" s="4">
        <v>236</v>
      </c>
      <c r="M225" s="4" t="s">
        <v>18</v>
      </c>
      <c r="N225" s="4" t="s">
        <v>19</v>
      </c>
      <c r="O225" s="4" t="s">
        <v>62</v>
      </c>
      <c r="P225" s="4" t="s">
        <v>74</v>
      </c>
    </row>
    <row r="226" spans="1:16" x14ac:dyDescent="0.3">
      <c r="A226" s="4">
        <v>2025</v>
      </c>
      <c r="B226" s="4" t="s">
        <v>46</v>
      </c>
      <c r="C226" s="4" t="s">
        <v>26</v>
      </c>
      <c r="D226" s="4" t="s">
        <v>52</v>
      </c>
      <c r="E226" s="4">
        <v>282</v>
      </c>
      <c r="F226" s="4">
        <v>352</v>
      </c>
      <c r="G226" s="4">
        <v>107</v>
      </c>
      <c r="H226" s="4">
        <v>99.26</v>
      </c>
      <c r="I226" s="4">
        <v>30.17</v>
      </c>
      <c r="J226" s="4">
        <v>69.09</v>
      </c>
      <c r="K226" s="4">
        <v>24.03</v>
      </c>
      <c r="L226" s="4">
        <v>98</v>
      </c>
      <c r="M226" s="4" t="s">
        <v>37</v>
      </c>
      <c r="N226" s="4" t="s">
        <v>19</v>
      </c>
      <c r="O226" s="4" t="s">
        <v>62</v>
      </c>
      <c r="P226" s="4" t="s">
        <v>72</v>
      </c>
    </row>
    <row r="227" spans="1:16" x14ac:dyDescent="0.3">
      <c r="A227" s="4">
        <v>2025</v>
      </c>
      <c r="B227" s="4" t="s">
        <v>57</v>
      </c>
      <c r="C227" s="4" t="s">
        <v>26</v>
      </c>
      <c r="D227" s="4" t="s">
        <v>52</v>
      </c>
      <c r="E227" s="4">
        <v>169</v>
      </c>
      <c r="F227" s="4">
        <v>289</v>
      </c>
      <c r="G227" s="4">
        <v>46</v>
      </c>
      <c r="H227" s="4">
        <v>48.84</v>
      </c>
      <c r="I227" s="4">
        <v>7.77</v>
      </c>
      <c r="J227" s="4">
        <v>41.07</v>
      </c>
      <c r="K227" s="4">
        <v>20.059999999999999</v>
      </c>
      <c r="L227" s="4">
        <v>156</v>
      </c>
      <c r="M227" s="4" t="s">
        <v>28</v>
      </c>
      <c r="N227" s="4" t="s">
        <v>24</v>
      </c>
      <c r="O227" s="4" t="s">
        <v>63</v>
      </c>
      <c r="P227" s="4" t="s">
        <v>73</v>
      </c>
    </row>
    <row r="228" spans="1:16" x14ac:dyDescent="0.3">
      <c r="A228" s="4">
        <v>2025</v>
      </c>
      <c r="B228" s="4" t="s">
        <v>39</v>
      </c>
      <c r="C228" s="4" t="s">
        <v>22</v>
      </c>
      <c r="D228" s="4" t="s">
        <v>59</v>
      </c>
      <c r="E228" s="4">
        <v>133</v>
      </c>
      <c r="F228" s="4">
        <v>431</v>
      </c>
      <c r="G228" s="4">
        <v>404</v>
      </c>
      <c r="H228" s="4">
        <v>57.32</v>
      </c>
      <c r="I228" s="4">
        <v>53.73</v>
      </c>
      <c r="J228" s="4">
        <v>3.59</v>
      </c>
      <c r="K228" s="4">
        <v>17.22</v>
      </c>
      <c r="L228" s="4">
        <v>102</v>
      </c>
      <c r="M228" s="4" t="s">
        <v>28</v>
      </c>
      <c r="N228" s="4" t="s">
        <v>31</v>
      </c>
      <c r="O228" s="4" t="s">
        <v>42</v>
      </c>
      <c r="P228" s="4" t="s">
        <v>71</v>
      </c>
    </row>
    <row r="229" spans="1:16" x14ac:dyDescent="0.3">
      <c r="A229" s="4">
        <v>2023</v>
      </c>
      <c r="B229" s="4" t="s">
        <v>21</v>
      </c>
      <c r="C229" s="4" t="s">
        <v>22</v>
      </c>
      <c r="D229" s="4" t="s">
        <v>23</v>
      </c>
      <c r="E229" s="4">
        <v>372</v>
      </c>
      <c r="F229" s="4">
        <v>94</v>
      </c>
      <c r="G229" s="4">
        <v>82</v>
      </c>
      <c r="H229" s="4">
        <v>34.97</v>
      </c>
      <c r="I229" s="4">
        <v>30.5</v>
      </c>
      <c r="J229" s="4">
        <v>4.46</v>
      </c>
      <c r="K229" s="4">
        <v>19.48</v>
      </c>
      <c r="L229" s="4">
        <v>270</v>
      </c>
      <c r="M229" s="4" t="s">
        <v>37</v>
      </c>
      <c r="N229" s="4" t="s">
        <v>24</v>
      </c>
      <c r="O229" s="4" t="s">
        <v>63</v>
      </c>
      <c r="P229" s="4" t="s">
        <v>72</v>
      </c>
    </row>
    <row r="230" spans="1:16" x14ac:dyDescent="0.3">
      <c r="A230" s="4">
        <v>2025</v>
      </c>
      <c r="B230" s="4" t="s">
        <v>41</v>
      </c>
      <c r="C230" s="4" t="s">
        <v>16</v>
      </c>
      <c r="D230" s="4" t="s">
        <v>30</v>
      </c>
      <c r="E230" s="4">
        <v>440</v>
      </c>
      <c r="F230" s="4">
        <v>204</v>
      </c>
      <c r="G230" s="4">
        <v>77</v>
      </c>
      <c r="H230" s="4">
        <v>89.76</v>
      </c>
      <c r="I230" s="4">
        <v>33.880000000000003</v>
      </c>
      <c r="J230" s="4">
        <v>55.88</v>
      </c>
      <c r="K230" s="4">
        <v>7.4</v>
      </c>
      <c r="L230" s="4">
        <v>161</v>
      </c>
      <c r="M230" s="4" t="s">
        <v>18</v>
      </c>
      <c r="N230" s="4" t="s">
        <v>19</v>
      </c>
      <c r="O230" s="4" t="s">
        <v>62</v>
      </c>
      <c r="P230" s="4" t="s">
        <v>76</v>
      </c>
    </row>
    <row r="231" spans="1:16" x14ac:dyDescent="0.3">
      <c r="A231" s="4">
        <v>2025</v>
      </c>
      <c r="B231" s="4" t="s">
        <v>29</v>
      </c>
      <c r="C231" s="4" t="s">
        <v>26</v>
      </c>
      <c r="D231" s="4" t="s">
        <v>27</v>
      </c>
      <c r="E231" s="4">
        <v>256</v>
      </c>
      <c r="F231" s="4">
        <v>392</v>
      </c>
      <c r="G231" s="4">
        <v>267</v>
      </c>
      <c r="H231" s="4">
        <v>100.35</v>
      </c>
      <c r="I231" s="4">
        <v>68.349999999999994</v>
      </c>
      <c r="J231" s="4">
        <v>32</v>
      </c>
      <c r="K231" s="4">
        <v>20.99</v>
      </c>
      <c r="L231" s="4">
        <v>275</v>
      </c>
      <c r="M231" s="4" t="s">
        <v>28</v>
      </c>
      <c r="N231" s="4" t="s">
        <v>31</v>
      </c>
      <c r="O231" s="4" t="s">
        <v>42</v>
      </c>
      <c r="P231" s="4" t="s">
        <v>75</v>
      </c>
    </row>
    <row r="232" spans="1:16" x14ac:dyDescent="0.3">
      <c r="A232" s="4">
        <v>2023</v>
      </c>
      <c r="B232" s="4" t="s">
        <v>49</v>
      </c>
      <c r="C232" s="4" t="s">
        <v>16</v>
      </c>
      <c r="D232" s="4" t="s">
        <v>17</v>
      </c>
      <c r="E232" s="4">
        <v>184</v>
      </c>
      <c r="F232" s="4">
        <v>343</v>
      </c>
      <c r="G232" s="4">
        <v>246</v>
      </c>
      <c r="H232" s="4">
        <v>63.11</v>
      </c>
      <c r="I232" s="4">
        <v>45.26</v>
      </c>
      <c r="J232" s="4">
        <v>17.850000000000001</v>
      </c>
      <c r="K232" s="4">
        <v>16.7</v>
      </c>
      <c r="L232" s="4">
        <v>243</v>
      </c>
      <c r="M232" s="4" t="s">
        <v>37</v>
      </c>
      <c r="N232" s="4" t="s">
        <v>31</v>
      </c>
      <c r="O232" s="4" t="s">
        <v>42</v>
      </c>
      <c r="P232" s="4" t="s">
        <v>73</v>
      </c>
    </row>
    <row r="233" spans="1:16" x14ac:dyDescent="0.3">
      <c r="A233" s="4">
        <v>2024</v>
      </c>
      <c r="B233" s="4" t="s">
        <v>32</v>
      </c>
      <c r="C233" s="4" t="s">
        <v>26</v>
      </c>
      <c r="D233" s="4" t="s">
        <v>52</v>
      </c>
      <c r="E233" s="4">
        <v>142</v>
      </c>
      <c r="F233" s="4">
        <v>470</v>
      </c>
      <c r="G233" s="4">
        <v>310</v>
      </c>
      <c r="H233" s="4">
        <v>66.739999999999995</v>
      </c>
      <c r="I233" s="4">
        <v>44.02</v>
      </c>
      <c r="J233" s="4">
        <v>22.72</v>
      </c>
      <c r="K233" s="4">
        <v>19.14</v>
      </c>
      <c r="L233" s="4">
        <v>180</v>
      </c>
      <c r="M233" s="4" t="s">
        <v>37</v>
      </c>
      <c r="N233" s="4" t="s">
        <v>24</v>
      </c>
      <c r="O233" s="4" t="s">
        <v>63</v>
      </c>
      <c r="P233" s="4" t="s">
        <v>75</v>
      </c>
    </row>
    <row r="234" spans="1:16" x14ac:dyDescent="0.3">
      <c r="A234" s="4">
        <v>2025</v>
      </c>
      <c r="B234" s="4" t="s">
        <v>57</v>
      </c>
      <c r="C234" s="4" t="s">
        <v>22</v>
      </c>
      <c r="D234" s="4" t="s">
        <v>59</v>
      </c>
      <c r="E234" s="4">
        <v>324</v>
      </c>
      <c r="F234" s="4">
        <v>211</v>
      </c>
      <c r="G234" s="4">
        <v>119</v>
      </c>
      <c r="H234" s="4">
        <v>68.36</v>
      </c>
      <c r="I234" s="4">
        <v>38.56</v>
      </c>
      <c r="J234" s="4">
        <v>29.81</v>
      </c>
      <c r="K234" s="4">
        <v>17.89</v>
      </c>
      <c r="L234" s="4">
        <v>139</v>
      </c>
      <c r="M234" s="4" t="s">
        <v>28</v>
      </c>
      <c r="N234" s="4" t="s">
        <v>19</v>
      </c>
      <c r="O234" s="4" t="s">
        <v>62</v>
      </c>
      <c r="P234" s="4" t="s">
        <v>71</v>
      </c>
    </row>
    <row r="235" spans="1:16" x14ac:dyDescent="0.3">
      <c r="A235" s="4">
        <v>2023</v>
      </c>
      <c r="B235" s="4" t="s">
        <v>57</v>
      </c>
      <c r="C235" s="4" t="s">
        <v>33</v>
      </c>
      <c r="D235" s="4" t="s">
        <v>50</v>
      </c>
      <c r="E235" s="4">
        <v>343</v>
      </c>
      <c r="F235" s="4">
        <v>203</v>
      </c>
      <c r="G235" s="4">
        <v>189</v>
      </c>
      <c r="H235" s="4">
        <v>69.63</v>
      </c>
      <c r="I235" s="4">
        <v>64.83</v>
      </c>
      <c r="J235" s="4">
        <v>4.8</v>
      </c>
      <c r="K235" s="4">
        <v>6.96</v>
      </c>
      <c r="L235" s="4">
        <v>212</v>
      </c>
      <c r="M235" s="4" t="s">
        <v>37</v>
      </c>
      <c r="N235" s="4" t="s">
        <v>24</v>
      </c>
      <c r="O235" s="4" t="s">
        <v>63</v>
      </c>
      <c r="P235" s="4" t="s">
        <v>75</v>
      </c>
    </row>
    <row r="236" spans="1:16" x14ac:dyDescent="0.3">
      <c r="A236" s="4">
        <v>2024</v>
      </c>
      <c r="B236" s="4" t="s">
        <v>49</v>
      </c>
      <c r="C236" s="4" t="s">
        <v>26</v>
      </c>
      <c r="D236" s="4" t="s">
        <v>52</v>
      </c>
      <c r="E236" s="4">
        <v>123</v>
      </c>
      <c r="F236" s="4">
        <v>304</v>
      </c>
      <c r="G236" s="4">
        <v>136</v>
      </c>
      <c r="H236" s="4">
        <v>37.39</v>
      </c>
      <c r="I236" s="4">
        <v>16.73</v>
      </c>
      <c r="J236" s="4">
        <v>20.66</v>
      </c>
      <c r="K236" s="4">
        <v>-9</v>
      </c>
      <c r="L236" s="4">
        <v>209</v>
      </c>
      <c r="M236" s="4" t="s">
        <v>28</v>
      </c>
      <c r="N236" s="4" t="s">
        <v>38</v>
      </c>
      <c r="O236" s="4" t="s">
        <v>44</v>
      </c>
      <c r="P236" s="4" t="s">
        <v>73</v>
      </c>
    </row>
    <row r="237" spans="1:16" x14ac:dyDescent="0.3">
      <c r="A237" s="4">
        <v>2025</v>
      </c>
      <c r="B237" s="4" t="s">
        <v>21</v>
      </c>
      <c r="C237" s="4" t="s">
        <v>16</v>
      </c>
      <c r="D237" s="4" t="s">
        <v>30</v>
      </c>
      <c r="E237" s="4">
        <v>199</v>
      </c>
      <c r="F237" s="4">
        <v>311</v>
      </c>
      <c r="G237" s="4">
        <v>101</v>
      </c>
      <c r="H237" s="4">
        <v>61.89</v>
      </c>
      <c r="I237" s="4">
        <v>20.100000000000001</v>
      </c>
      <c r="J237" s="4">
        <v>41.79</v>
      </c>
      <c r="K237" s="4">
        <v>-9.44</v>
      </c>
      <c r="L237" s="4">
        <v>43</v>
      </c>
      <c r="M237" s="4" t="s">
        <v>28</v>
      </c>
      <c r="N237" s="4" t="s">
        <v>19</v>
      </c>
      <c r="O237" s="4" t="s">
        <v>62</v>
      </c>
      <c r="P237" s="4" t="s">
        <v>71</v>
      </c>
    </row>
    <row r="238" spans="1:16" x14ac:dyDescent="0.3">
      <c r="A238" s="4">
        <v>2025</v>
      </c>
      <c r="B238" s="4" t="s">
        <v>15</v>
      </c>
      <c r="C238" s="4" t="s">
        <v>35</v>
      </c>
      <c r="D238" s="4" t="s">
        <v>43</v>
      </c>
      <c r="E238" s="4">
        <v>120</v>
      </c>
      <c r="F238" s="4">
        <v>411</v>
      </c>
      <c r="G238" s="4">
        <v>359</v>
      </c>
      <c r="H238" s="4">
        <v>49.32</v>
      </c>
      <c r="I238" s="4">
        <v>43.08</v>
      </c>
      <c r="J238" s="4">
        <v>6.24</v>
      </c>
      <c r="K238" s="4">
        <v>17.54</v>
      </c>
      <c r="L238" s="4">
        <v>229</v>
      </c>
      <c r="M238" s="4" t="s">
        <v>37</v>
      </c>
      <c r="N238" s="4" t="s">
        <v>24</v>
      </c>
      <c r="O238" s="4" t="s">
        <v>63</v>
      </c>
      <c r="P238" s="4" t="s">
        <v>74</v>
      </c>
    </row>
    <row r="239" spans="1:16" x14ac:dyDescent="0.3">
      <c r="A239" s="4">
        <v>2023</v>
      </c>
      <c r="B239" s="4" t="s">
        <v>29</v>
      </c>
      <c r="C239" s="4" t="s">
        <v>33</v>
      </c>
      <c r="D239" s="4" t="s">
        <v>50</v>
      </c>
      <c r="E239" s="4">
        <v>178</v>
      </c>
      <c r="F239" s="4">
        <v>470</v>
      </c>
      <c r="G239" s="4">
        <v>398</v>
      </c>
      <c r="H239" s="4">
        <v>83.66</v>
      </c>
      <c r="I239" s="4">
        <v>70.84</v>
      </c>
      <c r="J239" s="4">
        <v>12.82</v>
      </c>
      <c r="K239" s="4">
        <v>-1.56</v>
      </c>
      <c r="L239" s="4">
        <v>137</v>
      </c>
      <c r="M239" s="4" t="s">
        <v>18</v>
      </c>
      <c r="N239" s="4" t="s">
        <v>19</v>
      </c>
      <c r="O239" s="4" t="s">
        <v>62</v>
      </c>
      <c r="P239" s="4" t="s">
        <v>75</v>
      </c>
    </row>
    <row r="240" spans="1:16" x14ac:dyDescent="0.3">
      <c r="A240" s="4">
        <v>2023</v>
      </c>
      <c r="B240" s="4" t="s">
        <v>15</v>
      </c>
      <c r="C240" s="4" t="s">
        <v>16</v>
      </c>
      <c r="D240" s="4" t="s">
        <v>17</v>
      </c>
      <c r="E240" s="4">
        <v>300</v>
      </c>
      <c r="F240" s="4">
        <v>154</v>
      </c>
      <c r="G240" s="4">
        <v>101</v>
      </c>
      <c r="H240" s="4">
        <v>46.2</v>
      </c>
      <c r="I240" s="4">
        <v>30.3</v>
      </c>
      <c r="J240" s="4">
        <v>15.9</v>
      </c>
      <c r="K240" s="4">
        <v>-3.98</v>
      </c>
      <c r="L240" s="4">
        <v>100</v>
      </c>
      <c r="M240" s="4" t="s">
        <v>28</v>
      </c>
      <c r="N240" s="4" t="s">
        <v>38</v>
      </c>
      <c r="O240" s="4" t="s">
        <v>44</v>
      </c>
      <c r="P240" s="4" t="s">
        <v>72</v>
      </c>
    </row>
    <row r="241" spans="1:16" x14ac:dyDescent="0.3">
      <c r="A241" s="4">
        <v>2024</v>
      </c>
      <c r="B241" s="4" t="s">
        <v>21</v>
      </c>
      <c r="C241" s="4" t="s">
        <v>16</v>
      </c>
      <c r="D241" s="4" t="s">
        <v>30</v>
      </c>
      <c r="E241" s="4">
        <v>366</v>
      </c>
      <c r="F241" s="4">
        <v>304</v>
      </c>
      <c r="G241" s="4">
        <v>178</v>
      </c>
      <c r="H241" s="4">
        <v>111.26</v>
      </c>
      <c r="I241" s="4">
        <v>65.150000000000006</v>
      </c>
      <c r="J241" s="4">
        <v>46.12</v>
      </c>
      <c r="K241" s="4">
        <v>23.63</v>
      </c>
      <c r="L241" s="4">
        <v>261</v>
      </c>
      <c r="M241" s="4" t="s">
        <v>18</v>
      </c>
      <c r="N241" s="4" t="s">
        <v>24</v>
      </c>
      <c r="O241" s="4" t="s">
        <v>63</v>
      </c>
      <c r="P241" s="4" t="s">
        <v>74</v>
      </c>
    </row>
    <row r="242" spans="1:16" x14ac:dyDescent="0.3">
      <c r="A242" s="4">
        <v>2023</v>
      </c>
      <c r="B242" s="4" t="s">
        <v>39</v>
      </c>
      <c r="C242" s="4" t="s">
        <v>26</v>
      </c>
      <c r="D242" s="4" t="s">
        <v>52</v>
      </c>
      <c r="E242" s="4">
        <v>179</v>
      </c>
      <c r="F242" s="4">
        <v>494</v>
      </c>
      <c r="G242" s="4">
        <v>127</v>
      </c>
      <c r="H242" s="4">
        <v>88.43</v>
      </c>
      <c r="I242" s="4">
        <v>22.73</v>
      </c>
      <c r="J242" s="4">
        <v>65.69</v>
      </c>
      <c r="K242" s="4">
        <v>16.28</v>
      </c>
      <c r="L242" s="4">
        <v>235</v>
      </c>
      <c r="M242" s="4" t="s">
        <v>28</v>
      </c>
      <c r="N242" s="4" t="s">
        <v>38</v>
      </c>
      <c r="O242" s="4" t="s">
        <v>44</v>
      </c>
      <c r="P242" s="4" t="s">
        <v>75</v>
      </c>
    </row>
    <row r="243" spans="1:16" x14ac:dyDescent="0.3">
      <c r="A243" s="4">
        <v>2025</v>
      </c>
      <c r="B243" s="4" t="s">
        <v>39</v>
      </c>
      <c r="C243" s="4" t="s">
        <v>16</v>
      </c>
      <c r="D243" s="4" t="s">
        <v>17</v>
      </c>
      <c r="E243" s="4">
        <v>229</v>
      </c>
      <c r="F243" s="4">
        <v>325</v>
      </c>
      <c r="G243" s="4">
        <v>205</v>
      </c>
      <c r="H243" s="4">
        <v>74.42</v>
      </c>
      <c r="I243" s="4">
        <v>46.95</v>
      </c>
      <c r="J243" s="4">
        <v>27.48</v>
      </c>
      <c r="K243" s="4">
        <v>12.96</v>
      </c>
      <c r="L243" s="4">
        <v>243</v>
      </c>
      <c r="M243" s="4" t="s">
        <v>37</v>
      </c>
      <c r="N243" s="4" t="s">
        <v>38</v>
      </c>
      <c r="O243" s="4" t="s">
        <v>44</v>
      </c>
      <c r="P243" s="4" t="s">
        <v>74</v>
      </c>
    </row>
    <row r="244" spans="1:16" x14ac:dyDescent="0.3">
      <c r="A244" s="4">
        <v>2023</v>
      </c>
      <c r="B244" s="4" t="s">
        <v>15</v>
      </c>
      <c r="C244" s="4" t="s">
        <v>33</v>
      </c>
      <c r="D244" s="4" t="s">
        <v>54</v>
      </c>
      <c r="E244" s="4">
        <v>488</v>
      </c>
      <c r="F244" s="4">
        <v>252</v>
      </c>
      <c r="G244" s="4">
        <v>221</v>
      </c>
      <c r="H244" s="4">
        <v>122.98</v>
      </c>
      <c r="I244" s="4">
        <v>107.85</v>
      </c>
      <c r="J244" s="4">
        <v>15.13</v>
      </c>
      <c r="K244" s="4">
        <v>11.6</v>
      </c>
      <c r="L244" s="4">
        <v>33</v>
      </c>
      <c r="M244" s="4" t="s">
        <v>37</v>
      </c>
      <c r="N244" s="4" t="s">
        <v>19</v>
      </c>
      <c r="O244" s="4" t="s">
        <v>62</v>
      </c>
      <c r="P244" s="4" t="s">
        <v>75</v>
      </c>
    </row>
    <row r="245" spans="1:16" x14ac:dyDescent="0.3">
      <c r="A245" s="4">
        <v>2023</v>
      </c>
      <c r="B245" s="4" t="s">
        <v>49</v>
      </c>
      <c r="C245" s="4" t="s">
        <v>16</v>
      </c>
      <c r="D245" s="4" t="s">
        <v>30</v>
      </c>
      <c r="E245" s="4">
        <v>350</v>
      </c>
      <c r="F245" s="4">
        <v>321</v>
      </c>
      <c r="G245" s="4">
        <v>299</v>
      </c>
      <c r="H245" s="4">
        <v>112.35</v>
      </c>
      <c r="I245" s="4">
        <v>104.65</v>
      </c>
      <c r="J245" s="4">
        <v>7.7</v>
      </c>
      <c r="K245" s="4">
        <v>6.58</v>
      </c>
      <c r="L245" s="4">
        <v>221</v>
      </c>
      <c r="M245" s="4" t="s">
        <v>37</v>
      </c>
      <c r="N245" s="4" t="s">
        <v>31</v>
      </c>
      <c r="O245" s="4" t="s">
        <v>42</v>
      </c>
      <c r="P245" s="4" t="s">
        <v>71</v>
      </c>
    </row>
    <row r="246" spans="1:16" x14ac:dyDescent="0.3">
      <c r="A246" s="4">
        <v>2024</v>
      </c>
      <c r="B246" s="4" t="s">
        <v>21</v>
      </c>
      <c r="C246" s="4" t="s">
        <v>33</v>
      </c>
      <c r="D246" s="4" t="s">
        <v>34</v>
      </c>
      <c r="E246" s="4">
        <v>129</v>
      </c>
      <c r="F246" s="4">
        <v>316</v>
      </c>
      <c r="G246" s="4">
        <v>96</v>
      </c>
      <c r="H246" s="4">
        <v>40.76</v>
      </c>
      <c r="I246" s="4">
        <v>12.38</v>
      </c>
      <c r="J246" s="4">
        <v>28.38</v>
      </c>
      <c r="K246" s="4">
        <v>-3.03</v>
      </c>
      <c r="L246" s="4">
        <v>63</v>
      </c>
      <c r="M246" s="4" t="s">
        <v>37</v>
      </c>
      <c r="N246" s="4" t="s">
        <v>38</v>
      </c>
      <c r="O246" s="4" t="s">
        <v>44</v>
      </c>
      <c r="P246" s="4" t="s">
        <v>71</v>
      </c>
    </row>
    <row r="247" spans="1:16" x14ac:dyDescent="0.3">
      <c r="A247" s="4">
        <v>2025</v>
      </c>
      <c r="B247" s="4" t="s">
        <v>46</v>
      </c>
      <c r="C247" s="4" t="s">
        <v>26</v>
      </c>
      <c r="D247" s="4" t="s">
        <v>52</v>
      </c>
      <c r="E247" s="4">
        <v>278</v>
      </c>
      <c r="F247" s="4">
        <v>271</v>
      </c>
      <c r="G247" s="4">
        <v>233</v>
      </c>
      <c r="H247" s="4">
        <v>75.34</v>
      </c>
      <c r="I247" s="4">
        <v>64.77</v>
      </c>
      <c r="J247" s="4">
        <v>10.56</v>
      </c>
      <c r="K247" s="4">
        <v>24.1</v>
      </c>
      <c r="L247" s="4">
        <v>47</v>
      </c>
      <c r="M247" s="4" t="s">
        <v>37</v>
      </c>
      <c r="N247" s="4" t="s">
        <v>19</v>
      </c>
      <c r="O247" s="4" t="s">
        <v>62</v>
      </c>
      <c r="P247" s="4" t="s">
        <v>71</v>
      </c>
    </row>
    <row r="248" spans="1:16" x14ac:dyDescent="0.3">
      <c r="A248" s="4">
        <v>2024</v>
      </c>
      <c r="B248" s="4" t="s">
        <v>47</v>
      </c>
      <c r="C248" s="4" t="s">
        <v>35</v>
      </c>
      <c r="D248" s="4" t="s">
        <v>36</v>
      </c>
      <c r="E248" s="4">
        <v>161</v>
      </c>
      <c r="F248" s="4">
        <v>412</v>
      </c>
      <c r="G248" s="4">
        <v>251</v>
      </c>
      <c r="H248" s="4">
        <v>66.33</v>
      </c>
      <c r="I248" s="4">
        <v>40.409999999999997</v>
      </c>
      <c r="J248" s="4">
        <v>25.92</v>
      </c>
      <c r="K248" s="4">
        <v>11.03</v>
      </c>
      <c r="L248" s="4">
        <v>174</v>
      </c>
      <c r="M248" s="4" t="s">
        <v>28</v>
      </c>
      <c r="N248" s="4" t="s">
        <v>31</v>
      </c>
      <c r="O248" s="4" t="s">
        <v>42</v>
      </c>
      <c r="P248" s="4" t="s">
        <v>76</v>
      </c>
    </row>
    <row r="249" spans="1:16" x14ac:dyDescent="0.3">
      <c r="A249" s="4">
        <v>2023</v>
      </c>
      <c r="B249" s="4" t="s">
        <v>47</v>
      </c>
      <c r="C249" s="4" t="s">
        <v>16</v>
      </c>
      <c r="D249" s="4" t="s">
        <v>56</v>
      </c>
      <c r="E249" s="4">
        <v>219</v>
      </c>
      <c r="F249" s="4">
        <v>367</v>
      </c>
      <c r="G249" s="4">
        <v>32</v>
      </c>
      <c r="H249" s="4">
        <v>80.37</v>
      </c>
      <c r="I249" s="4">
        <v>7.01</v>
      </c>
      <c r="J249" s="4">
        <v>73.37</v>
      </c>
      <c r="K249" s="4">
        <v>0.18</v>
      </c>
      <c r="L249" s="4">
        <v>209</v>
      </c>
      <c r="M249" s="4" t="s">
        <v>18</v>
      </c>
      <c r="N249" s="4" t="s">
        <v>38</v>
      </c>
      <c r="O249" s="4" t="s">
        <v>44</v>
      </c>
      <c r="P249" s="4" t="s">
        <v>74</v>
      </c>
    </row>
    <row r="250" spans="1:16" x14ac:dyDescent="0.3">
      <c r="A250" s="4">
        <v>2024</v>
      </c>
      <c r="B250" s="4" t="s">
        <v>41</v>
      </c>
      <c r="C250" s="4" t="s">
        <v>22</v>
      </c>
      <c r="D250" s="4" t="s">
        <v>59</v>
      </c>
      <c r="E250" s="4">
        <v>467</v>
      </c>
      <c r="F250" s="4">
        <v>98</v>
      </c>
      <c r="G250" s="4">
        <v>30</v>
      </c>
      <c r="H250" s="4">
        <v>45.77</v>
      </c>
      <c r="I250" s="4">
        <v>14.01</v>
      </c>
      <c r="J250" s="4">
        <v>31.76</v>
      </c>
      <c r="K250" s="4">
        <v>1.61</v>
      </c>
      <c r="L250" s="4">
        <v>266</v>
      </c>
      <c r="M250" s="4" t="s">
        <v>28</v>
      </c>
      <c r="N250" s="4" t="s">
        <v>38</v>
      </c>
      <c r="O250" s="4" t="s">
        <v>44</v>
      </c>
      <c r="P250" s="4" t="s">
        <v>76</v>
      </c>
    </row>
    <row r="251" spans="1:16" x14ac:dyDescent="0.3">
      <c r="A251" s="4">
        <v>2023</v>
      </c>
      <c r="B251" s="4" t="s">
        <v>49</v>
      </c>
      <c r="C251" s="4" t="s">
        <v>35</v>
      </c>
      <c r="D251" s="4" t="s">
        <v>43</v>
      </c>
      <c r="E251" s="4">
        <v>291</v>
      </c>
      <c r="F251" s="4">
        <v>181</v>
      </c>
      <c r="G251" s="4">
        <v>95</v>
      </c>
      <c r="H251" s="4">
        <v>52.67</v>
      </c>
      <c r="I251" s="4">
        <v>27.64</v>
      </c>
      <c r="J251" s="4">
        <v>25.03</v>
      </c>
      <c r="K251" s="4">
        <v>-5.68</v>
      </c>
      <c r="L251" s="4">
        <v>283</v>
      </c>
      <c r="M251" s="4" t="s">
        <v>28</v>
      </c>
      <c r="N251" s="4" t="s">
        <v>31</v>
      </c>
      <c r="O251" s="4" t="s">
        <v>42</v>
      </c>
      <c r="P251" s="4" t="s">
        <v>72</v>
      </c>
    </row>
    <row r="252" spans="1:16" x14ac:dyDescent="0.3">
      <c r="A252" s="4">
        <v>2023</v>
      </c>
      <c r="B252" s="4" t="s">
        <v>49</v>
      </c>
      <c r="C252" s="4" t="s">
        <v>33</v>
      </c>
      <c r="D252" s="4" t="s">
        <v>54</v>
      </c>
      <c r="E252" s="4">
        <v>87</v>
      </c>
      <c r="F252" s="4">
        <v>270</v>
      </c>
      <c r="G252" s="4">
        <v>34</v>
      </c>
      <c r="H252" s="4">
        <v>23.49</v>
      </c>
      <c r="I252" s="4">
        <v>2.96</v>
      </c>
      <c r="J252" s="4">
        <v>20.53</v>
      </c>
      <c r="K252" s="4">
        <v>15.69</v>
      </c>
      <c r="L252" s="4">
        <v>244</v>
      </c>
      <c r="M252" s="4" t="s">
        <v>18</v>
      </c>
      <c r="N252" s="4" t="s">
        <v>31</v>
      </c>
      <c r="O252" s="4" t="s">
        <v>42</v>
      </c>
      <c r="P252" s="4" t="s">
        <v>73</v>
      </c>
    </row>
    <row r="253" spans="1:16" x14ac:dyDescent="0.3">
      <c r="A253" s="4">
        <v>2024</v>
      </c>
      <c r="B253" s="4" t="s">
        <v>21</v>
      </c>
      <c r="C253" s="4" t="s">
        <v>35</v>
      </c>
      <c r="D253" s="4" t="s">
        <v>40</v>
      </c>
      <c r="E253" s="4">
        <v>193</v>
      </c>
      <c r="F253" s="4">
        <v>346</v>
      </c>
      <c r="G253" s="4">
        <v>300</v>
      </c>
      <c r="H253" s="4">
        <v>66.78</v>
      </c>
      <c r="I253" s="4">
        <v>57.9</v>
      </c>
      <c r="J253" s="4">
        <v>8.8800000000000008</v>
      </c>
      <c r="K253" s="4">
        <v>-4.12</v>
      </c>
      <c r="L253" s="4">
        <v>255</v>
      </c>
      <c r="M253" s="4" t="s">
        <v>18</v>
      </c>
      <c r="N253" s="4" t="s">
        <v>24</v>
      </c>
      <c r="O253" s="4" t="s">
        <v>63</v>
      </c>
      <c r="P253" s="4" t="s">
        <v>72</v>
      </c>
    </row>
    <row r="254" spans="1:16" x14ac:dyDescent="0.3">
      <c r="A254" s="4">
        <v>2025</v>
      </c>
      <c r="B254" s="4" t="s">
        <v>49</v>
      </c>
      <c r="C254" s="4" t="s">
        <v>35</v>
      </c>
      <c r="D254" s="4" t="s">
        <v>43</v>
      </c>
      <c r="E254" s="4">
        <v>323</v>
      </c>
      <c r="F254" s="4">
        <v>488</v>
      </c>
      <c r="G254" s="4">
        <v>253</v>
      </c>
      <c r="H254" s="4">
        <v>157.62</v>
      </c>
      <c r="I254" s="4">
        <v>81.72</v>
      </c>
      <c r="J254" s="4">
        <v>75.91</v>
      </c>
      <c r="K254" s="4">
        <v>14.09</v>
      </c>
      <c r="L254" s="4">
        <v>298</v>
      </c>
      <c r="M254" s="4" t="s">
        <v>37</v>
      </c>
      <c r="N254" s="4" t="s">
        <v>24</v>
      </c>
      <c r="O254" s="4" t="s">
        <v>63</v>
      </c>
      <c r="P254" s="4" t="s">
        <v>75</v>
      </c>
    </row>
    <row r="255" spans="1:16" x14ac:dyDescent="0.3">
      <c r="A255" s="4">
        <v>2024</v>
      </c>
      <c r="B255" s="4" t="s">
        <v>29</v>
      </c>
      <c r="C255" s="4" t="s">
        <v>26</v>
      </c>
      <c r="D255" s="4" t="s">
        <v>58</v>
      </c>
      <c r="E255" s="4">
        <v>192</v>
      </c>
      <c r="F255" s="4">
        <v>494</v>
      </c>
      <c r="G255" s="4">
        <v>45</v>
      </c>
      <c r="H255" s="4">
        <v>94.85</v>
      </c>
      <c r="I255" s="4">
        <v>8.64</v>
      </c>
      <c r="J255" s="4">
        <v>86.21</v>
      </c>
      <c r="K255" s="4">
        <v>7.4</v>
      </c>
      <c r="L255" s="4">
        <v>97</v>
      </c>
      <c r="M255" s="4" t="s">
        <v>37</v>
      </c>
      <c r="N255" s="4" t="s">
        <v>38</v>
      </c>
      <c r="O255" s="4" t="s">
        <v>44</v>
      </c>
      <c r="P255" s="4" t="s">
        <v>71</v>
      </c>
    </row>
    <row r="256" spans="1:16" x14ac:dyDescent="0.3">
      <c r="A256" s="4">
        <v>2025</v>
      </c>
      <c r="B256" s="4" t="s">
        <v>47</v>
      </c>
      <c r="C256" s="4" t="s">
        <v>22</v>
      </c>
      <c r="D256" s="4" t="s">
        <v>23</v>
      </c>
      <c r="E256" s="4">
        <v>213</v>
      </c>
      <c r="F256" s="4">
        <v>200</v>
      </c>
      <c r="G256" s="4">
        <v>53</v>
      </c>
      <c r="H256" s="4">
        <v>42.6</v>
      </c>
      <c r="I256" s="4">
        <v>11.29</v>
      </c>
      <c r="J256" s="4">
        <v>31.31</v>
      </c>
      <c r="K256" s="4">
        <v>0.38</v>
      </c>
      <c r="L256" s="4">
        <v>118</v>
      </c>
      <c r="M256" s="4" t="s">
        <v>37</v>
      </c>
      <c r="N256" s="4" t="s">
        <v>24</v>
      </c>
      <c r="O256" s="4" t="s">
        <v>63</v>
      </c>
      <c r="P256" s="4" t="s">
        <v>76</v>
      </c>
    </row>
    <row r="257" spans="1:16" x14ac:dyDescent="0.3">
      <c r="A257" s="4">
        <v>2023</v>
      </c>
      <c r="B257" s="4" t="s">
        <v>15</v>
      </c>
      <c r="C257" s="4" t="s">
        <v>33</v>
      </c>
      <c r="D257" s="4" t="s">
        <v>54</v>
      </c>
      <c r="E257" s="4">
        <v>67</v>
      </c>
      <c r="F257" s="4">
        <v>270</v>
      </c>
      <c r="G257" s="4">
        <v>136</v>
      </c>
      <c r="H257" s="4">
        <v>18.09</v>
      </c>
      <c r="I257" s="4">
        <v>9.11</v>
      </c>
      <c r="J257" s="4">
        <v>8.98</v>
      </c>
      <c r="K257" s="4">
        <v>-0.53</v>
      </c>
      <c r="L257" s="4">
        <v>265</v>
      </c>
      <c r="M257" s="4" t="s">
        <v>28</v>
      </c>
      <c r="N257" s="4" t="s">
        <v>19</v>
      </c>
      <c r="O257" s="4" t="s">
        <v>62</v>
      </c>
      <c r="P257" s="4" t="s">
        <v>73</v>
      </c>
    </row>
    <row r="258" spans="1:16" x14ac:dyDescent="0.3">
      <c r="A258" s="4">
        <v>2025</v>
      </c>
      <c r="B258" s="4" t="s">
        <v>46</v>
      </c>
      <c r="C258" s="4" t="s">
        <v>33</v>
      </c>
      <c r="D258" s="4" t="s">
        <v>34</v>
      </c>
      <c r="E258" s="4">
        <v>338</v>
      </c>
      <c r="F258" s="4">
        <v>383</v>
      </c>
      <c r="G258" s="4">
        <v>298</v>
      </c>
      <c r="H258" s="4">
        <v>129.44999999999999</v>
      </c>
      <c r="I258" s="4">
        <v>100.72</v>
      </c>
      <c r="J258" s="4">
        <v>28.73</v>
      </c>
      <c r="K258" s="4">
        <v>-2.96</v>
      </c>
      <c r="L258" s="4">
        <v>272</v>
      </c>
      <c r="M258" s="4" t="s">
        <v>18</v>
      </c>
      <c r="N258" s="4" t="s">
        <v>19</v>
      </c>
      <c r="O258" s="4" t="s">
        <v>62</v>
      </c>
      <c r="P258" s="4" t="s">
        <v>71</v>
      </c>
    </row>
    <row r="259" spans="1:16" x14ac:dyDescent="0.3">
      <c r="A259" s="4">
        <v>2023</v>
      </c>
      <c r="B259" s="4" t="s">
        <v>46</v>
      </c>
      <c r="C259" s="4" t="s">
        <v>26</v>
      </c>
      <c r="D259" s="4" t="s">
        <v>27</v>
      </c>
      <c r="E259" s="4">
        <v>403</v>
      </c>
      <c r="F259" s="4">
        <v>444</v>
      </c>
      <c r="G259" s="4">
        <v>411</v>
      </c>
      <c r="H259" s="4">
        <v>178.93</v>
      </c>
      <c r="I259" s="4">
        <v>165.63</v>
      </c>
      <c r="J259" s="4">
        <v>13.3</v>
      </c>
      <c r="K259" s="4">
        <v>-5.71</v>
      </c>
      <c r="L259" s="4">
        <v>248</v>
      </c>
      <c r="M259" s="4" t="s">
        <v>28</v>
      </c>
      <c r="N259" s="4" t="s">
        <v>38</v>
      </c>
      <c r="O259" s="4" t="s">
        <v>44</v>
      </c>
      <c r="P259" s="4" t="s">
        <v>72</v>
      </c>
    </row>
    <row r="260" spans="1:16" x14ac:dyDescent="0.3">
      <c r="A260" s="4">
        <v>2023</v>
      </c>
      <c r="B260" s="4" t="s">
        <v>15</v>
      </c>
      <c r="C260" s="4" t="s">
        <v>26</v>
      </c>
      <c r="D260" s="4" t="s">
        <v>58</v>
      </c>
      <c r="E260" s="4">
        <v>85</v>
      </c>
      <c r="F260" s="4">
        <v>251</v>
      </c>
      <c r="G260" s="4">
        <v>75</v>
      </c>
      <c r="H260" s="4">
        <v>21.34</v>
      </c>
      <c r="I260" s="4">
        <v>6.38</v>
      </c>
      <c r="J260" s="4">
        <v>14.96</v>
      </c>
      <c r="K260" s="4">
        <v>23.8</v>
      </c>
      <c r="L260" s="4">
        <v>87</v>
      </c>
      <c r="M260" s="4" t="s">
        <v>28</v>
      </c>
      <c r="N260" s="4" t="s">
        <v>38</v>
      </c>
      <c r="O260" s="4" t="s">
        <v>44</v>
      </c>
      <c r="P260" s="4" t="s">
        <v>72</v>
      </c>
    </row>
    <row r="261" spans="1:16" x14ac:dyDescent="0.3">
      <c r="A261" s="4">
        <v>2025</v>
      </c>
      <c r="B261" s="4" t="s">
        <v>32</v>
      </c>
      <c r="C261" s="4" t="s">
        <v>16</v>
      </c>
      <c r="D261" s="4" t="s">
        <v>17</v>
      </c>
      <c r="E261" s="4">
        <v>392</v>
      </c>
      <c r="F261" s="4">
        <v>70</v>
      </c>
      <c r="G261" s="4">
        <v>35</v>
      </c>
      <c r="H261" s="4">
        <v>27.44</v>
      </c>
      <c r="I261" s="4">
        <v>13.72</v>
      </c>
      <c r="J261" s="4">
        <v>13.72</v>
      </c>
      <c r="K261" s="4">
        <v>18.46</v>
      </c>
      <c r="L261" s="4">
        <v>210</v>
      </c>
      <c r="M261" s="4" t="s">
        <v>37</v>
      </c>
      <c r="N261" s="4" t="s">
        <v>24</v>
      </c>
      <c r="O261" s="4" t="s">
        <v>63</v>
      </c>
      <c r="P261" s="4" t="s">
        <v>76</v>
      </c>
    </row>
    <row r="262" spans="1:16" x14ac:dyDescent="0.3">
      <c r="A262" s="4">
        <v>2025</v>
      </c>
      <c r="B262" s="4" t="s">
        <v>21</v>
      </c>
      <c r="C262" s="4" t="s">
        <v>26</v>
      </c>
      <c r="D262" s="4" t="s">
        <v>27</v>
      </c>
      <c r="E262" s="4">
        <v>153</v>
      </c>
      <c r="F262" s="4">
        <v>186</v>
      </c>
      <c r="G262" s="4">
        <v>117</v>
      </c>
      <c r="H262" s="4">
        <v>28.46</v>
      </c>
      <c r="I262" s="4">
        <v>17.899999999999999</v>
      </c>
      <c r="J262" s="4">
        <v>10.56</v>
      </c>
      <c r="K262" s="4">
        <v>21.73</v>
      </c>
      <c r="L262" s="4">
        <v>241</v>
      </c>
      <c r="M262" s="4" t="s">
        <v>18</v>
      </c>
      <c r="N262" s="4" t="s">
        <v>31</v>
      </c>
      <c r="O262" s="4" t="s">
        <v>42</v>
      </c>
      <c r="P262" s="4" t="s">
        <v>73</v>
      </c>
    </row>
    <row r="263" spans="1:16" x14ac:dyDescent="0.3">
      <c r="A263" s="4">
        <v>2024</v>
      </c>
      <c r="B263" s="4" t="s">
        <v>51</v>
      </c>
      <c r="C263" s="4" t="s">
        <v>26</v>
      </c>
      <c r="D263" s="4" t="s">
        <v>58</v>
      </c>
      <c r="E263" s="4">
        <v>286</v>
      </c>
      <c r="F263" s="4">
        <v>351</v>
      </c>
      <c r="G263" s="4">
        <v>179</v>
      </c>
      <c r="H263" s="4">
        <v>100.39</v>
      </c>
      <c r="I263" s="4">
        <v>51.19</v>
      </c>
      <c r="J263" s="4">
        <v>49.19</v>
      </c>
      <c r="K263" s="4">
        <v>-3.9</v>
      </c>
      <c r="L263" s="4">
        <v>84</v>
      </c>
      <c r="M263" s="4" t="s">
        <v>37</v>
      </c>
      <c r="N263" s="4" t="s">
        <v>19</v>
      </c>
      <c r="O263" s="4" t="s">
        <v>62</v>
      </c>
      <c r="P263" s="4" t="s">
        <v>74</v>
      </c>
    </row>
    <row r="264" spans="1:16" x14ac:dyDescent="0.3">
      <c r="A264" s="4">
        <v>2025</v>
      </c>
      <c r="B264" s="4" t="s">
        <v>45</v>
      </c>
      <c r="C264" s="4" t="s">
        <v>26</v>
      </c>
      <c r="D264" s="4" t="s">
        <v>52</v>
      </c>
      <c r="E264" s="4">
        <v>247</v>
      </c>
      <c r="F264" s="4">
        <v>439</v>
      </c>
      <c r="G264" s="4">
        <v>112</v>
      </c>
      <c r="H264" s="4">
        <v>108.43</v>
      </c>
      <c r="I264" s="4">
        <v>27.66</v>
      </c>
      <c r="J264" s="4">
        <v>80.77</v>
      </c>
      <c r="K264" s="4">
        <v>3.82</v>
      </c>
      <c r="L264" s="4">
        <v>117</v>
      </c>
      <c r="M264" s="4" t="s">
        <v>37</v>
      </c>
      <c r="N264" s="4" t="s">
        <v>24</v>
      </c>
      <c r="O264" s="4" t="s">
        <v>63</v>
      </c>
      <c r="P264" s="4" t="s">
        <v>73</v>
      </c>
    </row>
    <row r="265" spans="1:16" x14ac:dyDescent="0.3">
      <c r="A265" s="4">
        <v>2023</v>
      </c>
      <c r="B265" s="4" t="s">
        <v>51</v>
      </c>
      <c r="C265" s="4" t="s">
        <v>35</v>
      </c>
      <c r="D265" s="4" t="s">
        <v>36</v>
      </c>
      <c r="E265" s="4">
        <v>492</v>
      </c>
      <c r="F265" s="4">
        <v>305</v>
      </c>
      <c r="G265" s="4">
        <v>46</v>
      </c>
      <c r="H265" s="4">
        <v>150.06</v>
      </c>
      <c r="I265" s="4">
        <v>22.63</v>
      </c>
      <c r="J265" s="4">
        <v>127.43</v>
      </c>
      <c r="K265" s="4">
        <v>10.57</v>
      </c>
      <c r="L265" s="4">
        <v>141</v>
      </c>
      <c r="M265" s="4" t="s">
        <v>18</v>
      </c>
      <c r="N265" s="4" t="s">
        <v>24</v>
      </c>
      <c r="O265" s="4" t="s">
        <v>63</v>
      </c>
      <c r="P265" s="4" t="s">
        <v>71</v>
      </c>
    </row>
    <row r="266" spans="1:16" x14ac:dyDescent="0.3">
      <c r="A266" s="4">
        <v>2025</v>
      </c>
      <c r="B266" s="4" t="s">
        <v>45</v>
      </c>
      <c r="C266" s="4" t="s">
        <v>22</v>
      </c>
      <c r="D266" s="4" t="s">
        <v>59</v>
      </c>
      <c r="E266" s="4">
        <v>258</v>
      </c>
      <c r="F266" s="4">
        <v>56</v>
      </c>
      <c r="G266" s="4">
        <v>34</v>
      </c>
      <c r="H266" s="4">
        <v>14.45</v>
      </c>
      <c r="I266" s="4">
        <v>8.77</v>
      </c>
      <c r="J266" s="4">
        <v>5.68</v>
      </c>
      <c r="K266" s="4">
        <v>15.61</v>
      </c>
      <c r="L266" s="4">
        <v>174</v>
      </c>
      <c r="M266" s="4" t="s">
        <v>37</v>
      </c>
      <c r="N266" s="4" t="s">
        <v>24</v>
      </c>
      <c r="O266" s="4" t="s">
        <v>63</v>
      </c>
      <c r="P266" s="4" t="s">
        <v>73</v>
      </c>
    </row>
    <row r="267" spans="1:16" x14ac:dyDescent="0.3">
      <c r="A267" s="4">
        <v>2023</v>
      </c>
      <c r="B267" s="4" t="s">
        <v>21</v>
      </c>
      <c r="C267" s="4" t="s">
        <v>33</v>
      </c>
      <c r="D267" s="4" t="s">
        <v>48</v>
      </c>
      <c r="E267" s="4">
        <v>402</v>
      </c>
      <c r="F267" s="4">
        <v>464</v>
      </c>
      <c r="G267" s="4">
        <v>123</v>
      </c>
      <c r="H267" s="4">
        <v>186.53</v>
      </c>
      <c r="I267" s="4">
        <v>49.45</v>
      </c>
      <c r="J267" s="4">
        <v>137.08000000000001</v>
      </c>
      <c r="K267" s="4">
        <v>11.47</v>
      </c>
      <c r="L267" s="4">
        <v>153</v>
      </c>
      <c r="M267" s="4" t="s">
        <v>37</v>
      </c>
      <c r="N267" s="4" t="s">
        <v>38</v>
      </c>
      <c r="O267" s="4" t="s">
        <v>44</v>
      </c>
      <c r="P267" s="4" t="s">
        <v>72</v>
      </c>
    </row>
    <row r="268" spans="1:16" x14ac:dyDescent="0.3">
      <c r="A268" s="4">
        <v>2025</v>
      </c>
      <c r="B268" s="4" t="s">
        <v>29</v>
      </c>
      <c r="C268" s="4" t="s">
        <v>22</v>
      </c>
      <c r="D268" s="4" t="s">
        <v>59</v>
      </c>
      <c r="E268" s="4">
        <v>191</v>
      </c>
      <c r="F268" s="4">
        <v>181</v>
      </c>
      <c r="G268" s="4">
        <v>98</v>
      </c>
      <c r="H268" s="4">
        <v>34.57</v>
      </c>
      <c r="I268" s="4">
        <v>18.72</v>
      </c>
      <c r="J268" s="4">
        <v>15.85</v>
      </c>
      <c r="K268" s="4">
        <v>5.82</v>
      </c>
      <c r="L268" s="4">
        <v>276</v>
      </c>
      <c r="M268" s="4" t="s">
        <v>37</v>
      </c>
      <c r="N268" s="4" t="s">
        <v>24</v>
      </c>
      <c r="O268" s="4" t="s">
        <v>63</v>
      </c>
      <c r="P268" s="4" t="s">
        <v>74</v>
      </c>
    </row>
    <row r="269" spans="1:16" x14ac:dyDescent="0.3">
      <c r="A269" s="4">
        <v>2024</v>
      </c>
      <c r="B269" s="4" t="s">
        <v>21</v>
      </c>
      <c r="C269" s="4" t="s">
        <v>33</v>
      </c>
      <c r="D269" s="4" t="s">
        <v>48</v>
      </c>
      <c r="E269" s="4">
        <v>167</v>
      </c>
      <c r="F269" s="4">
        <v>210</v>
      </c>
      <c r="G269" s="4">
        <v>141</v>
      </c>
      <c r="H269" s="4">
        <v>35.07</v>
      </c>
      <c r="I269" s="4">
        <v>23.55</v>
      </c>
      <c r="J269" s="4">
        <v>11.52</v>
      </c>
      <c r="K269" s="4">
        <v>0.62</v>
      </c>
      <c r="L269" s="4">
        <v>92</v>
      </c>
      <c r="M269" s="4" t="s">
        <v>28</v>
      </c>
      <c r="N269" s="4" t="s">
        <v>38</v>
      </c>
      <c r="O269" s="4" t="s">
        <v>44</v>
      </c>
      <c r="P269" s="4" t="s">
        <v>73</v>
      </c>
    </row>
    <row r="270" spans="1:16" x14ac:dyDescent="0.3">
      <c r="A270" s="4">
        <v>2023</v>
      </c>
      <c r="B270" s="4" t="s">
        <v>57</v>
      </c>
      <c r="C270" s="4" t="s">
        <v>26</v>
      </c>
      <c r="D270" s="4" t="s">
        <v>27</v>
      </c>
      <c r="E270" s="4">
        <v>181</v>
      </c>
      <c r="F270" s="4">
        <v>365</v>
      </c>
      <c r="G270" s="4">
        <v>222</v>
      </c>
      <c r="H270" s="4">
        <v>66.06</v>
      </c>
      <c r="I270" s="4">
        <v>40.18</v>
      </c>
      <c r="J270" s="4">
        <v>25.88</v>
      </c>
      <c r="K270" s="4">
        <v>-4.87</v>
      </c>
      <c r="L270" s="4">
        <v>20</v>
      </c>
      <c r="M270" s="4" t="s">
        <v>28</v>
      </c>
      <c r="N270" s="4" t="s">
        <v>31</v>
      </c>
      <c r="O270" s="4" t="s">
        <v>42</v>
      </c>
      <c r="P270" s="4" t="s">
        <v>71</v>
      </c>
    </row>
    <row r="271" spans="1:16" x14ac:dyDescent="0.3">
      <c r="A271" s="4">
        <v>2025</v>
      </c>
      <c r="B271" s="4" t="s">
        <v>51</v>
      </c>
      <c r="C271" s="4" t="s">
        <v>33</v>
      </c>
      <c r="D271" s="4" t="s">
        <v>50</v>
      </c>
      <c r="E271" s="4">
        <v>216</v>
      </c>
      <c r="F271" s="4">
        <v>323</v>
      </c>
      <c r="G271" s="4">
        <v>312</v>
      </c>
      <c r="H271" s="4">
        <v>69.77</v>
      </c>
      <c r="I271" s="4">
        <v>67.39</v>
      </c>
      <c r="J271" s="4">
        <v>2.38</v>
      </c>
      <c r="K271" s="4">
        <v>6.23</v>
      </c>
      <c r="L271" s="4">
        <v>50</v>
      </c>
      <c r="M271" s="4" t="s">
        <v>28</v>
      </c>
      <c r="N271" s="4" t="s">
        <v>31</v>
      </c>
      <c r="O271" s="4" t="s">
        <v>42</v>
      </c>
      <c r="P271" s="4" t="s">
        <v>76</v>
      </c>
    </row>
    <row r="272" spans="1:16" x14ac:dyDescent="0.3">
      <c r="A272" s="4">
        <v>2025</v>
      </c>
      <c r="B272" s="4" t="s">
        <v>29</v>
      </c>
      <c r="C272" s="4" t="s">
        <v>26</v>
      </c>
      <c r="D272" s="4" t="s">
        <v>58</v>
      </c>
      <c r="E272" s="4">
        <v>465</v>
      </c>
      <c r="F272" s="4">
        <v>79</v>
      </c>
      <c r="G272" s="4">
        <v>62</v>
      </c>
      <c r="H272" s="4">
        <v>36.729999999999997</v>
      </c>
      <c r="I272" s="4">
        <v>28.83</v>
      </c>
      <c r="J272" s="4">
        <v>7.91</v>
      </c>
      <c r="K272" s="4">
        <v>-5.41</v>
      </c>
      <c r="L272" s="4">
        <v>186</v>
      </c>
      <c r="M272" s="4" t="s">
        <v>28</v>
      </c>
      <c r="N272" s="4" t="s">
        <v>38</v>
      </c>
      <c r="O272" s="4" t="s">
        <v>44</v>
      </c>
      <c r="P272" s="4" t="s">
        <v>71</v>
      </c>
    </row>
    <row r="273" spans="1:16" x14ac:dyDescent="0.3">
      <c r="A273" s="4">
        <v>2023</v>
      </c>
      <c r="B273" s="4" t="s">
        <v>46</v>
      </c>
      <c r="C273" s="4" t="s">
        <v>26</v>
      </c>
      <c r="D273" s="4" t="s">
        <v>27</v>
      </c>
      <c r="E273" s="4">
        <v>315</v>
      </c>
      <c r="F273" s="4">
        <v>120</v>
      </c>
      <c r="G273" s="4">
        <v>89</v>
      </c>
      <c r="H273" s="4">
        <v>37.799999999999997</v>
      </c>
      <c r="I273" s="4">
        <v>28.04</v>
      </c>
      <c r="J273" s="4">
        <v>9.76</v>
      </c>
      <c r="K273" s="4">
        <v>9.33</v>
      </c>
      <c r="L273" s="4">
        <v>216</v>
      </c>
      <c r="M273" s="4" t="s">
        <v>28</v>
      </c>
      <c r="N273" s="4" t="s">
        <v>31</v>
      </c>
      <c r="O273" s="4" t="s">
        <v>42</v>
      </c>
      <c r="P273" s="4" t="s">
        <v>72</v>
      </c>
    </row>
    <row r="274" spans="1:16" x14ac:dyDescent="0.3">
      <c r="A274" s="4">
        <v>2024</v>
      </c>
      <c r="B274" s="4" t="s">
        <v>41</v>
      </c>
      <c r="C274" s="4" t="s">
        <v>26</v>
      </c>
      <c r="D274" s="4" t="s">
        <v>52</v>
      </c>
      <c r="E274" s="4">
        <v>367</v>
      </c>
      <c r="F274" s="4">
        <v>180</v>
      </c>
      <c r="G274" s="4">
        <v>44</v>
      </c>
      <c r="H274" s="4">
        <v>66.06</v>
      </c>
      <c r="I274" s="4">
        <v>16.149999999999999</v>
      </c>
      <c r="J274" s="4">
        <v>49.91</v>
      </c>
      <c r="K274" s="4">
        <v>3.51</v>
      </c>
      <c r="L274" s="4">
        <v>86</v>
      </c>
      <c r="M274" s="4" t="s">
        <v>37</v>
      </c>
      <c r="N274" s="4" t="s">
        <v>24</v>
      </c>
      <c r="O274" s="4" t="s">
        <v>63</v>
      </c>
      <c r="P274" s="4" t="s">
        <v>74</v>
      </c>
    </row>
    <row r="275" spans="1:16" x14ac:dyDescent="0.3">
      <c r="A275" s="4">
        <v>2024</v>
      </c>
      <c r="B275" s="4" t="s">
        <v>32</v>
      </c>
      <c r="C275" s="4" t="s">
        <v>26</v>
      </c>
      <c r="D275" s="4" t="s">
        <v>52</v>
      </c>
      <c r="E275" s="4">
        <v>348</v>
      </c>
      <c r="F275" s="4">
        <v>425</v>
      </c>
      <c r="G275" s="4">
        <v>138</v>
      </c>
      <c r="H275" s="4">
        <v>147.9</v>
      </c>
      <c r="I275" s="4">
        <v>48.02</v>
      </c>
      <c r="J275" s="4">
        <v>99.88</v>
      </c>
      <c r="K275" s="4">
        <v>11.19</v>
      </c>
      <c r="L275" s="4">
        <v>238</v>
      </c>
      <c r="M275" s="4" t="s">
        <v>37</v>
      </c>
      <c r="N275" s="4" t="s">
        <v>19</v>
      </c>
      <c r="O275" s="4" t="s">
        <v>62</v>
      </c>
      <c r="P275" s="4" t="s">
        <v>74</v>
      </c>
    </row>
    <row r="276" spans="1:16" x14ac:dyDescent="0.3">
      <c r="A276" s="4">
        <v>2023</v>
      </c>
      <c r="B276" s="4" t="s">
        <v>29</v>
      </c>
      <c r="C276" s="4" t="s">
        <v>33</v>
      </c>
      <c r="D276" s="4" t="s">
        <v>34</v>
      </c>
      <c r="E276" s="4">
        <v>380</v>
      </c>
      <c r="F276" s="4">
        <v>478</v>
      </c>
      <c r="G276" s="4">
        <v>168</v>
      </c>
      <c r="H276" s="4">
        <v>181.64</v>
      </c>
      <c r="I276" s="4">
        <v>63.84</v>
      </c>
      <c r="J276" s="4">
        <v>117.8</v>
      </c>
      <c r="K276" s="4">
        <v>12</v>
      </c>
      <c r="L276" s="4">
        <v>142</v>
      </c>
      <c r="M276" s="4" t="s">
        <v>28</v>
      </c>
      <c r="N276" s="4" t="s">
        <v>24</v>
      </c>
      <c r="O276" s="4" t="s">
        <v>63</v>
      </c>
      <c r="P276" s="4" t="s">
        <v>76</v>
      </c>
    </row>
    <row r="277" spans="1:16" x14ac:dyDescent="0.3">
      <c r="A277" s="4">
        <v>2023</v>
      </c>
      <c r="B277" s="4" t="s">
        <v>29</v>
      </c>
      <c r="C277" s="4" t="s">
        <v>22</v>
      </c>
      <c r="D277" s="4" t="s">
        <v>23</v>
      </c>
      <c r="E277" s="4">
        <v>357</v>
      </c>
      <c r="F277" s="4">
        <v>365</v>
      </c>
      <c r="G277" s="4">
        <v>130</v>
      </c>
      <c r="H277" s="4">
        <v>130.31</v>
      </c>
      <c r="I277" s="4">
        <v>46.41</v>
      </c>
      <c r="J277" s="4">
        <v>83.9</v>
      </c>
      <c r="K277" s="4">
        <v>-2.94</v>
      </c>
      <c r="L277" s="4">
        <v>278</v>
      </c>
      <c r="M277" s="4" t="s">
        <v>28</v>
      </c>
      <c r="N277" s="4" t="s">
        <v>24</v>
      </c>
      <c r="O277" s="4" t="s">
        <v>63</v>
      </c>
      <c r="P277" s="4" t="s">
        <v>71</v>
      </c>
    </row>
    <row r="278" spans="1:16" x14ac:dyDescent="0.3">
      <c r="A278" s="4">
        <v>2023</v>
      </c>
      <c r="B278" s="4" t="s">
        <v>29</v>
      </c>
      <c r="C278" s="4" t="s">
        <v>26</v>
      </c>
      <c r="D278" s="4" t="s">
        <v>27</v>
      </c>
      <c r="E278" s="4">
        <v>432</v>
      </c>
      <c r="F278" s="4">
        <v>370</v>
      </c>
      <c r="G278" s="4">
        <v>120</v>
      </c>
      <c r="H278" s="4">
        <v>159.84</v>
      </c>
      <c r="I278" s="4">
        <v>51.84</v>
      </c>
      <c r="J278" s="4">
        <v>108</v>
      </c>
      <c r="K278" s="4">
        <v>19.41</v>
      </c>
      <c r="L278" s="4">
        <v>205</v>
      </c>
      <c r="M278" s="4" t="s">
        <v>37</v>
      </c>
      <c r="N278" s="4" t="s">
        <v>31</v>
      </c>
      <c r="O278" s="4" t="s">
        <v>42</v>
      </c>
      <c r="P278" s="4" t="s">
        <v>75</v>
      </c>
    </row>
    <row r="279" spans="1:16" x14ac:dyDescent="0.3">
      <c r="A279" s="4">
        <v>2024</v>
      </c>
      <c r="B279" s="4" t="s">
        <v>57</v>
      </c>
      <c r="C279" s="4" t="s">
        <v>26</v>
      </c>
      <c r="D279" s="4" t="s">
        <v>58</v>
      </c>
      <c r="E279" s="4">
        <v>319</v>
      </c>
      <c r="F279" s="4">
        <v>156</v>
      </c>
      <c r="G279" s="4">
        <v>40</v>
      </c>
      <c r="H279" s="4">
        <v>49.76</v>
      </c>
      <c r="I279" s="4">
        <v>12.76</v>
      </c>
      <c r="J279" s="4">
        <v>37</v>
      </c>
      <c r="K279" s="4">
        <v>-8.41</v>
      </c>
      <c r="L279" s="4">
        <v>263</v>
      </c>
      <c r="M279" s="4" t="s">
        <v>18</v>
      </c>
      <c r="N279" s="4" t="s">
        <v>31</v>
      </c>
      <c r="O279" s="4" t="s">
        <v>42</v>
      </c>
      <c r="P279" s="4" t="s">
        <v>72</v>
      </c>
    </row>
    <row r="280" spans="1:16" x14ac:dyDescent="0.3">
      <c r="A280" s="4">
        <v>2023</v>
      </c>
      <c r="B280" s="4" t="s">
        <v>46</v>
      </c>
      <c r="C280" s="4" t="s">
        <v>22</v>
      </c>
      <c r="D280" s="4" t="s">
        <v>23</v>
      </c>
      <c r="E280" s="4">
        <v>233</v>
      </c>
      <c r="F280" s="4">
        <v>75</v>
      </c>
      <c r="G280" s="4">
        <v>62</v>
      </c>
      <c r="H280" s="4">
        <v>17.48</v>
      </c>
      <c r="I280" s="4">
        <v>14.45</v>
      </c>
      <c r="J280" s="4">
        <v>3.03</v>
      </c>
      <c r="K280" s="4">
        <v>0.62</v>
      </c>
      <c r="L280" s="4">
        <v>60</v>
      </c>
      <c r="M280" s="4" t="s">
        <v>18</v>
      </c>
      <c r="N280" s="4" t="s">
        <v>24</v>
      </c>
      <c r="O280" s="4" t="s">
        <v>63</v>
      </c>
      <c r="P280" s="4" t="s">
        <v>74</v>
      </c>
    </row>
    <row r="281" spans="1:16" x14ac:dyDescent="0.3">
      <c r="A281" s="4">
        <v>2024</v>
      </c>
      <c r="B281" s="4" t="s">
        <v>51</v>
      </c>
      <c r="C281" s="4" t="s">
        <v>26</v>
      </c>
      <c r="D281" s="4" t="s">
        <v>27</v>
      </c>
      <c r="E281" s="4">
        <v>362</v>
      </c>
      <c r="F281" s="4">
        <v>451</v>
      </c>
      <c r="G281" s="4">
        <v>200</v>
      </c>
      <c r="H281" s="4">
        <v>163.26</v>
      </c>
      <c r="I281" s="4">
        <v>72.400000000000006</v>
      </c>
      <c r="J281" s="4">
        <v>90.86</v>
      </c>
      <c r="K281" s="4">
        <v>-5.65</v>
      </c>
      <c r="L281" s="4">
        <v>139</v>
      </c>
      <c r="M281" s="4" t="s">
        <v>28</v>
      </c>
      <c r="N281" s="4" t="s">
        <v>38</v>
      </c>
      <c r="O281" s="4" t="s">
        <v>44</v>
      </c>
      <c r="P281" s="4" t="s">
        <v>72</v>
      </c>
    </row>
    <row r="282" spans="1:16" x14ac:dyDescent="0.3">
      <c r="A282" s="4">
        <v>2025</v>
      </c>
      <c r="B282" s="4" t="s">
        <v>41</v>
      </c>
      <c r="C282" s="4" t="s">
        <v>16</v>
      </c>
      <c r="D282" s="4" t="s">
        <v>17</v>
      </c>
      <c r="E282" s="4">
        <v>166</v>
      </c>
      <c r="F282" s="4">
        <v>60</v>
      </c>
      <c r="G282" s="4">
        <v>49</v>
      </c>
      <c r="H282" s="4">
        <v>9.9600000000000009</v>
      </c>
      <c r="I282" s="4">
        <v>8.1300000000000008</v>
      </c>
      <c r="J282" s="4">
        <v>1.83</v>
      </c>
      <c r="K282" s="4">
        <v>20.11</v>
      </c>
      <c r="L282" s="4">
        <v>169</v>
      </c>
      <c r="M282" s="4" t="s">
        <v>18</v>
      </c>
      <c r="N282" s="4" t="s">
        <v>24</v>
      </c>
      <c r="O282" s="4" t="s">
        <v>63</v>
      </c>
      <c r="P282" s="4" t="s">
        <v>73</v>
      </c>
    </row>
    <row r="283" spans="1:16" x14ac:dyDescent="0.3">
      <c r="A283" s="4">
        <v>2023</v>
      </c>
      <c r="B283" s="4" t="s">
        <v>46</v>
      </c>
      <c r="C283" s="4" t="s">
        <v>26</v>
      </c>
      <c r="D283" s="4" t="s">
        <v>52</v>
      </c>
      <c r="E283" s="4">
        <v>425</v>
      </c>
      <c r="F283" s="4">
        <v>390</v>
      </c>
      <c r="G283" s="4">
        <v>254</v>
      </c>
      <c r="H283" s="4">
        <v>165.75</v>
      </c>
      <c r="I283" s="4">
        <v>107.95</v>
      </c>
      <c r="J283" s="4">
        <v>57.8</v>
      </c>
      <c r="K283" s="4">
        <v>-6.94</v>
      </c>
      <c r="L283" s="4">
        <v>172</v>
      </c>
      <c r="M283" s="4" t="s">
        <v>28</v>
      </c>
      <c r="N283" s="4" t="s">
        <v>19</v>
      </c>
      <c r="O283" s="4" t="s">
        <v>62</v>
      </c>
      <c r="P283" s="4" t="s">
        <v>73</v>
      </c>
    </row>
    <row r="284" spans="1:16" x14ac:dyDescent="0.3">
      <c r="A284" s="4">
        <v>2023</v>
      </c>
      <c r="B284" s="4" t="s">
        <v>41</v>
      </c>
      <c r="C284" s="4" t="s">
        <v>33</v>
      </c>
      <c r="D284" s="4" t="s">
        <v>48</v>
      </c>
      <c r="E284" s="4">
        <v>131</v>
      </c>
      <c r="F284" s="4">
        <v>343</v>
      </c>
      <c r="G284" s="4">
        <v>154</v>
      </c>
      <c r="H284" s="4">
        <v>44.93</v>
      </c>
      <c r="I284" s="4">
        <v>20.170000000000002</v>
      </c>
      <c r="J284" s="4">
        <v>24.76</v>
      </c>
      <c r="K284" s="4">
        <v>23.69</v>
      </c>
      <c r="L284" s="4">
        <v>224</v>
      </c>
      <c r="M284" s="4" t="s">
        <v>37</v>
      </c>
      <c r="N284" s="4" t="s">
        <v>19</v>
      </c>
      <c r="O284" s="4" t="s">
        <v>62</v>
      </c>
      <c r="P284" s="4" t="s">
        <v>74</v>
      </c>
    </row>
    <row r="285" spans="1:16" x14ac:dyDescent="0.3">
      <c r="A285" s="4">
        <v>2025</v>
      </c>
      <c r="B285" s="4" t="s">
        <v>45</v>
      </c>
      <c r="C285" s="4" t="s">
        <v>33</v>
      </c>
      <c r="D285" s="4" t="s">
        <v>50</v>
      </c>
      <c r="E285" s="4">
        <v>479</v>
      </c>
      <c r="F285" s="4">
        <v>206</v>
      </c>
      <c r="G285" s="4">
        <v>124</v>
      </c>
      <c r="H285" s="4">
        <v>98.67</v>
      </c>
      <c r="I285" s="4">
        <v>59.4</v>
      </c>
      <c r="J285" s="4">
        <v>39.28</v>
      </c>
      <c r="K285" s="4">
        <v>22.7</v>
      </c>
      <c r="L285" s="4">
        <v>234</v>
      </c>
      <c r="M285" s="4" t="s">
        <v>37</v>
      </c>
      <c r="N285" s="4" t="s">
        <v>24</v>
      </c>
      <c r="O285" s="4" t="s">
        <v>63</v>
      </c>
      <c r="P285" s="4" t="s">
        <v>74</v>
      </c>
    </row>
    <row r="286" spans="1:16" x14ac:dyDescent="0.3">
      <c r="A286" s="4">
        <v>2025</v>
      </c>
      <c r="B286" s="4" t="s">
        <v>49</v>
      </c>
      <c r="C286" s="4" t="s">
        <v>33</v>
      </c>
      <c r="D286" s="4" t="s">
        <v>50</v>
      </c>
      <c r="E286" s="4">
        <v>238</v>
      </c>
      <c r="F286" s="4">
        <v>330</v>
      </c>
      <c r="G286" s="4">
        <v>59</v>
      </c>
      <c r="H286" s="4">
        <v>78.540000000000006</v>
      </c>
      <c r="I286" s="4">
        <v>14.04</v>
      </c>
      <c r="J286" s="4">
        <v>64.5</v>
      </c>
      <c r="K286" s="4">
        <v>4.63</v>
      </c>
      <c r="L286" s="4">
        <v>148</v>
      </c>
      <c r="M286" s="4" t="s">
        <v>18</v>
      </c>
      <c r="N286" s="4" t="s">
        <v>19</v>
      </c>
      <c r="O286" s="4" t="s">
        <v>62</v>
      </c>
      <c r="P286" s="4" t="s">
        <v>73</v>
      </c>
    </row>
    <row r="287" spans="1:16" x14ac:dyDescent="0.3">
      <c r="A287" s="4">
        <v>2023</v>
      </c>
      <c r="B287" s="4" t="s">
        <v>51</v>
      </c>
      <c r="C287" s="4" t="s">
        <v>16</v>
      </c>
      <c r="D287" s="4" t="s">
        <v>56</v>
      </c>
      <c r="E287" s="4">
        <v>450</v>
      </c>
      <c r="F287" s="4">
        <v>82</v>
      </c>
      <c r="G287" s="4">
        <v>33</v>
      </c>
      <c r="H287" s="4">
        <v>36.9</v>
      </c>
      <c r="I287" s="4">
        <v>14.85</v>
      </c>
      <c r="J287" s="4">
        <v>22.05</v>
      </c>
      <c r="K287" s="4">
        <v>13.47</v>
      </c>
      <c r="L287" s="4">
        <v>127</v>
      </c>
      <c r="M287" s="4" t="s">
        <v>37</v>
      </c>
      <c r="N287" s="4" t="s">
        <v>19</v>
      </c>
      <c r="O287" s="4" t="s">
        <v>62</v>
      </c>
      <c r="P287" s="4" t="s">
        <v>71</v>
      </c>
    </row>
    <row r="288" spans="1:16" x14ac:dyDescent="0.3">
      <c r="A288" s="4">
        <v>2023</v>
      </c>
      <c r="B288" s="4" t="s">
        <v>46</v>
      </c>
      <c r="C288" s="4" t="s">
        <v>35</v>
      </c>
      <c r="D288" s="4" t="s">
        <v>43</v>
      </c>
      <c r="E288" s="4">
        <v>159</v>
      </c>
      <c r="F288" s="4">
        <v>181</v>
      </c>
      <c r="G288" s="4">
        <v>98</v>
      </c>
      <c r="H288" s="4">
        <v>28.78</v>
      </c>
      <c r="I288" s="4">
        <v>15.58</v>
      </c>
      <c r="J288" s="4">
        <v>13.2</v>
      </c>
      <c r="K288" s="4">
        <v>5.97</v>
      </c>
      <c r="L288" s="4">
        <v>190</v>
      </c>
      <c r="M288" s="4" t="s">
        <v>18</v>
      </c>
      <c r="N288" s="4" t="s">
        <v>24</v>
      </c>
      <c r="O288" s="4" t="s">
        <v>63</v>
      </c>
      <c r="P288" s="4" t="s">
        <v>75</v>
      </c>
    </row>
    <row r="289" spans="1:16" x14ac:dyDescent="0.3">
      <c r="A289" s="4">
        <v>2023</v>
      </c>
      <c r="B289" s="4" t="s">
        <v>47</v>
      </c>
      <c r="C289" s="4" t="s">
        <v>22</v>
      </c>
      <c r="D289" s="4" t="s">
        <v>53</v>
      </c>
      <c r="E289" s="4">
        <v>381</v>
      </c>
      <c r="F289" s="4">
        <v>338</v>
      </c>
      <c r="G289" s="4">
        <v>310</v>
      </c>
      <c r="H289" s="4">
        <v>128.78</v>
      </c>
      <c r="I289" s="4">
        <v>118.11</v>
      </c>
      <c r="J289" s="4">
        <v>10.67</v>
      </c>
      <c r="K289" s="4">
        <v>19.39</v>
      </c>
      <c r="L289" s="4">
        <v>135</v>
      </c>
      <c r="M289" s="4" t="s">
        <v>37</v>
      </c>
      <c r="N289" s="4" t="s">
        <v>24</v>
      </c>
      <c r="O289" s="4" t="s">
        <v>63</v>
      </c>
      <c r="P289" s="4" t="s">
        <v>75</v>
      </c>
    </row>
    <row r="290" spans="1:16" x14ac:dyDescent="0.3">
      <c r="A290" s="4">
        <v>2023</v>
      </c>
      <c r="B290" s="4" t="s">
        <v>51</v>
      </c>
      <c r="C290" s="4" t="s">
        <v>26</v>
      </c>
      <c r="D290" s="4" t="s">
        <v>27</v>
      </c>
      <c r="E290" s="4">
        <v>61</v>
      </c>
      <c r="F290" s="4">
        <v>291</v>
      </c>
      <c r="G290" s="4">
        <v>173</v>
      </c>
      <c r="H290" s="4">
        <v>17.75</v>
      </c>
      <c r="I290" s="4">
        <v>10.55</v>
      </c>
      <c r="J290" s="4">
        <v>7.2</v>
      </c>
      <c r="K290" s="4">
        <v>-4.29</v>
      </c>
      <c r="L290" s="4">
        <v>111</v>
      </c>
      <c r="M290" s="4" t="s">
        <v>18</v>
      </c>
      <c r="N290" s="4" t="s">
        <v>24</v>
      </c>
      <c r="O290" s="4" t="s">
        <v>63</v>
      </c>
      <c r="P290" s="4" t="s">
        <v>75</v>
      </c>
    </row>
    <row r="291" spans="1:16" x14ac:dyDescent="0.3">
      <c r="A291" s="4">
        <v>2024</v>
      </c>
      <c r="B291" s="4" t="s">
        <v>29</v>
      </c>
      <c r="C291" s="4" t="s">
        <v>33</v>
      </c>
      <c r="D291" s="4" t="s">
        <v>48</v>
      </c>
      <c r="E291" s="4">
        <v>499</v>
      </c>
      <c r="F291" s="4">
        <v>334</v>
      </c>
      <c r="G291" s="4">
        <v>93</v>
      </c>
      <c r="H291" s="4">
        <v>166.67</v>
      </c>
      <c r="I291" s="4">
        <v>46.41</v>
      </c>
      <c r="J291" s="4">
        <v>120.26</v>
      </c>
      <c r="K291" s="4">
        <v>-3.23</v>
      </c>
      <c r="L291" s="4">
        <v>243</v>
      </c>
      <c r="M291" s="4" t="s">
        <v>18</v>
      </c>
      <c r="N291" s="4" t="s">
        <v>38</v>
      </c>
      <c r="O291" s="4" t="s">
        <v>44</v>
      </c>
      <c r="P291" s="4" t="s">
        <v>76</v>
      </c>
    </row>
    <row r="292" spans="1:16" x14ac:dyDescent="0.3">
      <c r="A292" s="4">
        <v>2024</v>
      </c>
      <c r="B292" s="4" t="s">
        <v>45</v>
      </c>
      <c r="C292" s="4" t="s">
        <v>26</v>
      </c>
      <c r="D292" s="4" t="s">
        <v>58</v>
      </c>
      <c r="E292" s="4">
        <v>85</v>
      </c>
      <c r="F292" s="4">
        <v>366</v>
      </c>
      <c r="G292" s="4">
        <v>168</v>
      </c>
      <c r="H292" s="4">
        <v>31.11</v>
      </c>
      <c r="I292" s="4">
        <v>14.28</v>
      </c>
      <c r="J292" s="4">
        <v>16.829999999999998</v>
      </c>
      <c r="K292" s="4">
        <v>9.3000000000000007</v>
      </c>
      <c r="L292" s="4">
        <v>174</v>
      </c>
      <c r="M292" s="4" t="s">
        <v>18</v>
      </c>
      <c r="N292" s="4" t="s">
        <v>38</v>
      </c>
      <c r="O292" s="4" t="s">
        <v>44</v>
      </c>
      <c r="P292" s="4" t="s">
        <v>75</v>
      </c>
    </row>
    <row r="293" spans="1:16" x14ac:dyDescent="0.3">
      <c r="A293" s="4">
        <v>2024</v>
      </c>
      <c r="B293" s="4" t="s">
        <v>51</v>
      </c>
      <c r="C293" s="4" t="s">
        <v>22</v>
      </c>
      <c r="D293" s="4" t="s">
        <v>53</v>
      </c>
      <c r="E293" s="4">
        <v>389</v>
      </c>
      <c r="F293" s="4">
        <v>174</v>
      </c>
      <c r="G293" s="4">
        <v>134</v>
      </c>
      <c r="H293" s="4">
        <v>67.69</v>
      </c>
      <c r="I293" s="4">
        <v>52.13</v>
      </c>
      <c r="J293" s="4">
        <v>15.56</v>
      </c>
      <c r="K293" s="4">
        <v>11.56</v>
      </c>
      <c r="L293" s="4">
        <v>161</v>
      </c>
      <c r="M293" s="4" t="s">
        <v>28</v>
      </c>
      <c r="N293" s="4" t="s">
        <v>24</v>
      </c>
      <c r="O293" s="4" t="s">
        <v>63</v>
      </c>
      <c r="P293" s="4" t="s">
        <v>75</v>
      </c>
    </row>
    <row r="294" spans="1:16" x14ac:dyDescent="0.3">
      <c r="A294" s="4">
        <v>2024</v>
      </c>
      <c r="B294" s="4" t="s">
        <v>45</v>
      </c>
      <c r="C294" s="4" t="s">
        <v>22</v>
      </c>
      <c r="D294" s="4" t="s">
        <v>59</v>
      </c>
      <c r="E294" s="4">
        <v>446</v>
      </c>
      <c r="F294" s="4">
        <v>314</v>
      </c>
      <c r="G294" s="4">
        <v>286</v>
      </c>
      <c r="H294" s="4">
        <v>140.04</v>
      </c>
      <c r="I294" s="4">
        <v>127.56</v>
      </c>
      <c r="J294" s="4">
        <v>12.49</v>
      </c>
      <c r="K294" s="4">
        <v>-5.55</v>
      </c>
      <c r="L294" s="4">
        <v>239</v>
      </c>
      <c r="M294" s="4" t="s">
        <v>37</v>
      </c>
      <c r="N294" s="4" t="s">
        <v>24</v>
      </c>
      <c r="O294" s="4" t="s">
        <v>63</v>
      </c>
      <c r="P294" s="4" t="s">
        <v>74</v>
      </c>
    </row>
    <row r="295" spans="1:16" x14ac:dyDescent="0.3">
      <c r="A295" s="4">
        <v>2023</v>
      </c>
      <c r="B295" s="4" t="s">
        <v>29</v>
      </c>
      <c r="C295" s="4" t="s">
        <v>33</v>
      </c>
      <c r="D295" s="4" t="s">
        <v>54</v>
      </c>
      <c r="E295" s="4">
        <v>247</v>
      </c>
      <c r="F295" s="4">
        <v>483</v>
      </c>
      <c r="G295" s="4">
        <v>390</v>
      </c>
      <c r="H295" s="4">
        <v>119.3</v>
      </c>
      <c r="I295" s="4">
        <v>96.33</v>
      </c>
      <c r="J295" s="4">
        <v>22.97</v>
      </c>
      <c r="K295" s="4">
        <v>10.46</v>
      </c>
      <c r="L295" s="4">
        <v>239</v>
      </c>
      <c r="M295" s="4" t="s">
        <v>28</v>
      </c>
      <c r="N295" s="4" t="s">
        <v>31</v>
      </c>
      <c r="O295" s="4" t="s">
        <v>42</v>
      </c>
      <c r="P295" s="4" t="s">
        <v>73</v>
      </c>
    </row>
    <row r="296" spans="1:16" x14ac:dyDescent="0.3">
      <c r="A296" s="4">
        <v>2024</v>
      </c>
      <c r="B296" s="4" t="s">
        <v>41</v>
      </c>
      <c r="C296" s="4" t="s">
        <v>35</v>
      </c>
      <c r="D296" s="4" t="s">
        <v>36</v>
      </c>
      <c r="E296" s="4">
        <v>280</v>
      </c>
      <c r="F296" s="4">
        <v>210</v>
      </c>
      <c r="G296" s="4">
        <v>159</v>
      </c>
      <c r="H296" s="4">
        <v>58.8</v>
      </c>
      <c r="I296" s="4">
        <v>44.52</v>
      </c>
      <c r="J296" s="4">
        <v>14.28</v>
      </c>
      <c r="K296" s="4">
        <v>16.440000000000001</v>
      </c>
      <c r="L296" s="4">
        <v>261</v>
      </c>
      <c r="M296" s="4" t="s">
        <v>37</v>
      </c>
      <c r="N296" s="4" t="s">
        <v>38</v>
      </c>
      <c r="O296" s="4" t="s">
        <v>44</v>
      </c>
      <c r="P296" s="4" t="s">
        <v>72</v>
      </c>
    </row>
    <row r="297" spans="1:16" x14ac:dyDescent="0.3">
      <c r="A297" s="4">
        <v>2024</v>
      </c>
      <c r="B297" s="4" t="s">
        <v>29</v>
      </c>
      <c r="C297" s="4" t="s">
        <v>33</v>
      </c>
      <c r="D297" s="4" t="s">
        <v>50</v>
      </c>
      <c r="E297" s="4">
        <v>229</v>
      </c>
      <c r="F297" s="4">
        <v>323</v>
      </c>
      <c r="G297" s="4">
        <v>179</v>
      </c>
      <c r="H297" s="4">
        <v>73.97</v>
      </c>
      <c r="I297" s="4">
        <v>40.99</v>
      </c>
      <c r="J297" s="4">
        <v>32.979999999999997</v>
      </c>
      <c r="K297" s="4">
        <v>2.72</v>
      </c>
      <c r="L297" s="4">
        <v>127</v>
      </c>
      <c r="M297" s="4" t="s">
        <v>18</v>
      </c>
      <c r="N297" s="4" t="s">
        <v>31</v>
      </c>
      <c r="O297" s="4" t="s">
        <v>42</v>
      </c>
      <c r="P297" s="4" t="s">
        <v>73</v>
      </c>
    </row>
    <row r="298" spans="1:16" x14ac:dyDescent="0.3">
      <c r="A298" s="4">
        <v>2024</v>
      </c>
      <c r="B298" s="4" t="s">
        <v>39</v>
      </c>
      <c r="C298" s="4" t="s">
        <v>35</v>
      </c>
      <c r="D298" s="4" t="s">
        <v>40</v>
      </c>
      <c r="E298" s="4">
        <v>285</v>
      </c>
      <c r="F298" s="4">
        <v>60</v>
      </c>
      <c r="G298" s="4">
        <v>34</v>
      </c>
      <c r="H298" s="4">
        <v>17.100000000000001</v>
      </c>
      <c r="I298" s="4">
        <v>9.69</v>
      </c>
      <c r="J298" s="4">
        <v>7.41</v>
      </c>
      <c r="K298" s="4">
        <v>16.45</v>
      </c>
      <c r="L298" s="4">
        <v>114</v>
      </c>
      <c r="M298" s="4" t="s">
        <v>18</v>
      </c>
      <c r="N298" s="4" t="s">
        <v>38</v>
      </c>
      <c r="O298" s="4" t="s">
        <v>44</v>
      </c>
      <c r="P298" s="4" t="s">
        <v>71</v>
      </c>
    </row>
    <row r="299" spans="1:16" x14ac:dyDescent="0.3">
      <c r="A299" s="4">
        <v>2025</v>
      </c>
      <c r="B299" s="4" t="s">
        <v>39</v>
      </c>
      <c r="C299" s="4" t="s">
        <v>16</v>
      </c>
      <c r="D299" s="4" t="s">
        <v>56</v>
      </c>
      <c r="E299" s="4">
        <v>398</v>
      </c>
      <c r="F299" s="4">
        <v>61</v>
      </c>
      <c r="G299" s="4">
        <v>40</v>
      </c>
      <c r="H299" s="4">
        <v>24.28</v>
      </c>
      <c r="I299" s="4">
        <v>15.92</v>
      </c>
      <c r="J299" s="4">
        <v>8.36</v>
      </c>
      <c r="K299" s="4">
        <v>-0.51</v>
      </c>
      <c r="L299" s="4">
        <v>167</v>
      </c>
      <c r="M299" s="4" t="s">
        <v>18</v>
      </c>
      <c r="N299" s="4" t="s">
        <v>24</v>
      </c>
      <c r="O299" s="4" t="s">
        <v>63</v>
      </c>
      <c r="P299" s="4" t="s">
        <v>71</v>
      </c>
    </row>
    <row r="300" spans="1:16" x14ac:dyDescent="0.3">
      <c r="A300" s="4">
        <v>2023</v>
      </c>
      <c r="B300" s="4" t="s">
        <v>57</v>
      </c>
      <c r="C300" s="4" t="s">
        <v>16</v>
      </c>
      <c r="D300" s="4" t="s">
        <v>17</v>
      </c>
      <c r="E300" s="4">
        <v>430</v>
      </c>
      <c r="F300" s="4">
        <v>215</v>
      </c>
      <c r="G300" s="4">
        <v>171</v>
      </c>
      <c r="H300" s="4">
        <v>92.45</v>
      </c>
      <c r="I300" s="4">
        <v>73.53</v>
      </c>
      <c r="J300" s="4">
        <v>18.920000000000002</v>
      </c>
      <c r="K300" s="4">
        <v>13.16</v>
      </c>
      <c r="L300" s="4">
        <v>276</v>
      </c>
      <c r="M300" s="4" t="s">
        <v>18</v>
      </c>
      <c r="N300" s="4" t="s">
        <v>31</v>
      </c>
      <c r="O300" s="4" t="s">
        <v>42</v>
      </c>
      <c r="P300" s="4" t="s">
        <v>73</v>
      </c>
    </row>
    <row r="301" spans="1:16" x14ac:dyDescent="0.3">
      <c r="A301" s="4">
        <v>2025</v>
      </c>
      <c r="B301" s="4" t="s">
        <v>45</v>
      </c>
      <c r="C301" s="4" t="s">
        <v>33</v>
      </c>
      <c r="D301" s="4" t="s">
        <v>54</v>
      </c>
      <c r="E301" s="4">
        <v>368</v>
      </c>
      <c r="F301" s="4">
        <v>490</v>
      </c>
      <c r="G301" s="4">
        <v>145</v>
      </c>
      <c r="H301" s="4">
        <v>180.32</v>
      </c>
      <c r="I301" s="4">
        <v>53.36</v>
      </c>
      <c r="J301" s="4">
        <v>126.96</v>
      </c>
      <c r="K301" s="4">
        <v>24.63</v>
      </c>
      <c r="L301" s="4">
        <v>62</v>
      </c>
      <c r="M301" s="4" t="s">
        <v>37</v>
      </c>
      <c r="N301" s="4" t="s">
        <v>19</v>
      </c>
      <c r="O301" s="4" t="s">
        <v>62</v>
      </c>
      <c r="P301" s="4" t="s">
        <v>73</v>
      </c>
    </row>
    <row r="302" spans="1:16" x14ac:dyDescent="0.3">
      <c r="A302" s="4">
        <v>2023</v>
      </c>
      <c r="B302" s="4" t="s">
        <v>41</v>
      </c>
      <c r="C302" s="4" t="s">
        <v>33</v>
      </c>
      <c r="D302" s="4" t="s">
        <v>54</v>
      </c>
      <c r="E302" s="4">
        <v>122</v>
      </c>
      <c r="F302" s="4">
        <v>260</v>
      </c>
      <c r="G302" s="4">
        <v>139</v>
      </c>
      <c r="H302" s="4">
        <v>31.72</v>
      </c>
      <c r="I302" s="4">
        <v>16.96</v>
      </c>
      <c r="J302" s="4">
        <v>14.76</v>
      </c>
      <c r="K302" s="4">
        <v>-5.55</v>
      </c>
      <c r="L302" s="4">
        <v>227</v>
      </c>
      <c r="M302" s="4" t="s">
        <v>18</v>
      </c>
      <c r="N302" s="4" t="s">
        <v>38</v>
      </c>
      <c r="O302" s="4" t="s">
        <v>44</v>
      </c>
      <c r="P302" s="4" t="s">
        <v>71</v>
      </c>
    </row>
    <row r="303" spans="1:16" x14ac:dyDescent="0.3">
      <c r="A303" s="4">
        <v>2024</v>
      </c>
      <c r="B303" s="4" t="s">
        <v>49</v>
      </c>
      <c r="C303" s="4" t="s">
        <v>35</v>
      </c>
      <c r="D303" s="4" t="s">
        <v>36</v>
      </c>
      <c r="E303" s="4">
        <v>51</v>
      </c>
      <c r="F303" s="4">
        <v>146</v>
      </c>
      <c r="G303" s="4">
        <v>97</v>
      </c>
      <c r="H303" s="4">
        <v>7.45</v>
      </c>
      <c r="I303" s="4">
        <v>4.95</v>
      </c>
      <c r="J303" s="4">
        <v>2.5</v>
      </c>
      <c r="K303" s="4">
        <v>-9.51</v>
      </c>
      <c r="L303" s="4">
        <v>266</v>
      </c>
      <c r="M303" s="4" t="s">
        <v>37</v>
      </c>
      <c r="N303" s="4" t="s">
        <v>31</v>
      </c>
      <c r="O303" s="4" t="s">
        <v>42</v>
      </c>
      <c r="P303" s="4" t="s">
        <v>71</v>
      </c>
    </row>
    <row r="304" spans="1:16" x14ac:dyDescent="0.3">
      <c r="A304" s="4">
        <v>2024</v>
      </c>
      <c r="B304" s="4" t="s">
        <v>45</v>
      </c>
      <c r="C304" s="4" t="s">
        <v>22</v>
      </c>
      <c r="D304" s="4" t="s">
        <v>23</v>
      </c>
      <c r="E304" s="4">
        <v>397</v>
      </c>
      <c r="F304" s="4">
        <v>141</v>
      </c>
      <c r="G304" s="4">
        <v>93</v>
      </c>
      <c r="H304" s="4">
        <v>55.98</v>
      </c>
      <c r="I304" s="4">
        <v>36.92</v>
      </c>
      <c r="J304" s="4">
        <v>19.059999999999999</v>
      </c>
      <c r="K304" s="4">
        <v>-4.68</v>
      </c>
      <c r="L304" s="4">
        <v>264</v>
      </c>
      <c r="M304" s="4" t="s">
        <v>37</v>
      </c>
      <c r="N304" s="4" t="s">
        <v>31</v>
      </c>
      <c r="O304" s="4" t="s">
        <v>42</v>
      </c>
      <c r="P304" s="4" t="s">
        <v>76</v>
      </c>
    </row>
    <row r="305" spans="1:16" x14ac:dyDescent="0.3">
      <c r="A305" s="4">
        <v>2025</v>
      </c>
      <c r="B305" s="4" t="s">
        <v>45</v>
      </c>
      <c r="C305" s="4" t="s">
        <v>26</v>
      </c>
      <c r="D305" s="4" t="s">
        <v>52</v>
      </c>
      <c r="E305" s="4">
        <v>266</v>
      </c>
      <c r="F305" s="4">
        <v>240</v>
      </c>
      <c r="G305" s="4">
        <v>100</v>
      </c>
      <c r="H305" s="4">
        <v>63.84</v>
      </c>
      <c r="I305" s="4">
        <v>26.6</v>
      </c>
      <c r="J305" s="4">
        <v>37.24</v>
      </c>
      <c r="K305" s="4">
        <v>23.33</v>
      </c>
      <c r="L305" s="4">
        <v>213</v>
      </c>
      <c r="M305" s="4" t="s">
        <v>28</v>
      </c>
      <c r="N305" s="4" t="s">
        <v>19</v>
      </c>
      <c r="O305" s="4" t="s">
        <v>62</v>
      </c>
      <c r="P305" s="4" t="s">
        <v>75</v>
      </c>
    </row>
    <row r="306" spans="1:16" x14ac:dyDescent="0.3">
      <c r="A306" s="4">
        <v>2024</v>
      </c>
      <c r="B306" s="4" t="s">
        <v>32</v>
      </c>
      <c r="C306" s="4" t="s">
        <v>33</v>
      </c>
      <c r="D306" s="4" t="s">
        <v>34</v>
      </c>
      <c r="E306" s="4">
        <v>213</v>
      </c>
      <c r="F306" s="4">
        <v>260</v>
      </c>
      <c r="G306" s="4">
        <v>217</v>
      </c>
      <c r="H306" s="4">
        <v>55.38</v>
      </c>
      <c r="I306" s="4">
        <v>46.22</v>
      </c>
      <c r="J306" s="4">
        <v>9.16</v>
      </c>
      <c r="K306" s="4">
        <v>15.22</v>
      </c>
      <c r="L306" s="4">
        <v>104</v>
      </c>
      <c r="M306" s="4" t="s">
        <v>37</v>
      </c>
      <c r="N306" s="4" t="s">
        <v>24</v>
      </c>
      <c r="O306" s="4" t="s">
        <v>63</v>
      </c>
      <c r="P306" s="4" t="s">
        <v>76</v>
      </c>
    </row>
    <row r="307" spans="1:16" x14ac:dyDescent="0.3">
      <c r="A307" s="4">
        <v>2024</v>
      </c>
      <c r="B307" s="4" t="s">
        <v>21</v>
      </c>
      <c r="C307" s="4" t="s">
        <v>16</v>
      </c>
      <c r="D307" s="4" t="s">
        <v>30</v>
      </c>
      <c r="E307" s="4">
        <v>197</v>
      </c>
      <c r="F307" s="4">
        <v>242</v>
      </c>
      <c r="G307" s="4">
        <v>35</v>
      </c>
      <c r="H307" s="4">
        <v>47.67</v>
      </c>
      <c r="I307" s="4">
        <v>6.89</v>
      </c>
      <c r="J307" s="4">
        <v>40.78</v>
      </c>
      <c r="K307" s="4">
        <v>23.53</v>
      </c>
      <c r="L307" s="4">
        <v>232</v>
      </c>
      <c r="M307" s="4" t="s">
        <v>28</v>
      </c>
      <c r="N307" s="4" t="s">
        <v>38</v>
      </c>
      <c r="O307" s="4" t="s">
        <v>44</v>
      </c>
      <c r="P307" s="4" t="s">
        <v>71</v>
      </c>
    </row>
    <row r="308" spans="1:16" x14ac:dyDescent="0.3">
      <c r="A308" s="4">
        <v>2025</v>
      </c>
      <c r="B308" s="4" t="s">
        <v>46</v>
      </c>
      <c r="C308" s="4" t="s">
        <v>26</v>
      </c>
      <c r="D308" s="4" t="s">
        <v>52</v>
      </c>
      <c r="E308" s="4">
        <v>467</v>
      </c>
      <c r="F308" s="4">
        <v>489</v>
      </c>
      <c r="G308" s="4">
        <v>388</v>
      </c>
      <c r="H308" s="4">
        <v>228.36</v>
      </c>
      <c r="I308" s="4">
        <v>181.2</v>
      </c>
      <c r="J308" s="4">
        <v>47.17</v>
      </c>
      <c r="K308" s="4">
        <v>-0.72</v>
      </c>
      <c r="L308" s="4">
        <v>36</v>
      </c>
      <c r="M308" s="4" t="s">
        <v>18</v>
      </c>
      <c r="N308" s="4" t="s">
        <v>31</v>
      </c>
      <c r="O308" s="4" t="s">
        <v>42</v>
      </c>
      <c r="P308" s="4" t="s">
        <v>74</v>
      </c>
    </row>
    <row r="309" spans="1:16" x14ac:dyDescent="0.3">
      <c r="A309" s="4">
        <v>2025</v>
      </c>
      <c r="B309" s="4" t="s">
        <v>39</v>
      </c>
      <c r="C309" s="4" t="s">
        <v>35</v>
      </c>
      <c r="D309" s="4" t="s">
        <v>40</v>
      </c>
      <c r="E309" s="4">
        <v>321</v>
      </c>
      <c r="F309" s="4">
        <v>143</v>
      </c>
      <c r="G309" s="4">
        <v>102</v>
      </c>
      <c r="H309" s="4">
        <v>45.9</v>
      </c>
      <c r="I309" s="4">
        <v>32.74</v>
      </c>
      <c r="J309" s="4">
        <v>13.16</v>
      </c>
      <c r="K309" s="4">
        <v>-2.85</v>
      </c>
      <c r="L309" s="4">
        <v>283</v>
      </c>
      <c r="M309" s="4" t="s">
        <v>18</v>
      </c>
      <c r="N309" s="4" t="s">
        <v>19</v>
      </c>
      <c r="O309" s="4" t="s">
        <v>62</v>
      </c>
      <c r="P309" s="4" t="s">
        <v>75</v>
      </c>
    </row>
    <row r="310" spans="1:16" x14ac:dyDescent="0.3">
      <c r="A310" s="4">
        <v>2025</v>
      </c>
      <c r="B310" s="4" t="s">
        <v>51</v>
      </c>
      <c r="C310" s="4" t="s">
        <v>35</v>
      </c>
      <c r="D310" s="4" t="s">
        <v>40</v>
      </c>
      <c r="E310" s="4">
        <v>184</v>
      </c>
      <c r="F310" s="4">
        <v>415</v>
      </c>
      <c r="G310" s="4">
        <v>394</v>
      </c>
      <c r="H310" s="4">
        <v>76.36</v>
      </c>
      <c r="I310" s="4">
        <v>72.5</v>
      </c>
      <c r="J310" s="4">
        <v>3.86</v>
      </c>
      <c r="K310" s="4">
        <v>12.78</v>
      </c>
      <c r="L310" s="4">
        <v>111</v>
      </c>
      <c r="M310" s="4" t="s">
        <v>37</v>
      </c>
      <c r="N310" s="4" t="s">
        <v>31</v>
      </c>
      <c r="O310" s="4" t="s">
        <v>42</v>
      </c>
      <c r="P310" s="4" t="s">
        <v>75</v>
      </c>
    </row>
    <row r="311" spans="1:16" x14ac:dyDescent="0.3">
      <c r="A311" s="4">
        <v>2023</v>
      </c>
      <c r="B311" s="4" t="s">
        <v>29</v>
      </c>
      <c r="C311" s="4" t="s">
        <v>35</v>
      </c>
      <c r="D311" s="4" t="s">
        <v>43</v>
      </c>
      <c r="E311" s="4">
        <v>346</v>
      </c>
      <c r="F311" s="4">
        <v>168</v>
      </c>
      <c r="G311" s="4">
        <v>107</v>
      </c>
      <c r="H311" s="4">
        <v>58.13</v>
      </c>
      <c r="I311" s="4">
        <v>37.020000000000003</v>
      </c>
      <c r="J311" s="4">
        <v>21.11</v>
      </c>
      <c r="K311" s="4">
        <v>-3.83</v>
      </c>
      <c r="L311" s="4">
        <v>96</v>
      </c>
      <c r="M311" s="4" t="s">
        <v>18</v>
      </c>
      <c r="N311" s="4" t="s">
        <v>38</v>
      </c>
      <c r="O311" s="4" t="s">
        <v>44</v>
      </c>
      <c r="P311" s="4" t="s">
        <v>72</v>
      </c>
    </row>
    <row r="312" spans="1:16" x14ac:dyDescent="0.3">
      <c r="A312" s="4">
        <v>2024</v>
      </c>
      <c r="B312" s="4" t="s">
        <v>21</v>
      </c>
      <c r="C312" s="4" t="s">
        <v>16</v>
      </c>
      <c r="D312" s="4" t="s">
        <v>56</v>
      </c>
      <c r="E312" s="4">
        <v>147</v>
      </c>
      <c r="F312" s="4">
        <v>191</v>
      </c>
      <c r="G312" s="4">
        <v>34</v>
      </c>
      <c r="H312" s="4">
        <v>28.08</v>
      </c>
      <c r="I312" s="4">
        <v>5</v>
      </c>
      <c r="J312" s="4">
        <v>23.08</v>
      </c>
      <c r="K312" s="4">
        <v>-3.88</v>
      </c>
      <c r="L312" s="4">
        <v>40</v>
      </c>
      <c r="M312" s="4" t="s">
        <v>18</v>
      </c>
      <c r="N312" s="4" t="s">
        <v>38</v>
      </c>
      <c r="O312" s="4" t="s">
        <v>44</v>
      </c>
      <c r="P312" s="4" t="s">
        <v>75</v>
      </c>
    </row>
    <row r="313" spans="1:16" x14ac:dyDescent="0.3">
      <c r="A313" s="4">
        <v>2023</v>
      </c>
      <c r="B313" s="4" t="s">
        <v>41</v>
      </c>
      <c r="C313" s="4" t="s">
        <v>26</v>
      </c>
      <c r="D313" s="4" t="s">
        <v>52</v>
      </c>
      <c r="E313" s="4">
        <v>470</v>
      </c>
      <c r="F313" s="4">
        <v>111</v>
      </c>
      <c r="G313" s="4">
        <v>59</v>
      </c>
      <c r="H313" s="4">
        <v>52.17</v>
      </c>
      <c r="I313" s="4">
        <v>27.73</v>
      </c>
      <c r="J313" s="4">
        <v>24.44</v>
      </c>
      <c r="K313" s="4">
        <v>8.92</v>
      </c>
      <c r="L313" s="4">
        <v>264</v>
      </c>
      <c r="M313" s="4" t="s">
        <v>37</v>
      </c>
      <c r="N313" s="4" t="s">
        <v>24</v>
      </c>
      <c r="O313" s="4" t="s">
        <v>63</v>
      </c>
      <c r="P313" s="4" t="s">
        <v>75</v>
      </c>
    </row>
    <row r="314" spans="1:16" x14ac:dyDescent="0.3">
      <c r="A314" s="4">
        <v>2023</v>
      </c>
      <c r="B314" s="4" t="s">
        <v>46</v>
      </c>
      <c r="C314" s="4" t="s">
        <v>22</v>
      </c>
      <c r="D314" s="4" t="s">
        <v>59</v>
      </c>
      <c r="E314" s="4">
        <v>378</v>
      </c>
      <c r="F314" s="4">
        <v>288</v>
      </c>
      <c r="G314" s="4">
        <v>278</v>
      </c>
      <c r="H314" s="4">
        <v>108.86</v>
      </c>
      <c r="I314" s="4">
        <v>105.08</v>
      </c>
      <c r="J314" s="4">
        <v>3.78</v>
      </c>
      <c r="K314" s="4">
        <v>24.06</v>
      </c>
      <c r="L314" s="4">
        <v>69</v>
      </c>
      <c r="M314" s="4" t="s">
        <v>28</v>
      </c>
      <c r="N314" s="4" t="s">
        <v>38</v>
      </c>
      <c r="O314" s="4" t="s">
        <v>44</v>
      </c>
      <c r="P314" s="4" t="s">
        <v>71</v>
      </c>
    </row>
    <row r="315" spans="1:16" x14ac:dyDescent="0.3">
      <c r="A315" s="4">
        <v>2024</v>
      </c>
      <c r="B315" s="4" t="s">
        <v>41</v>
      </c>
      <c r="C315" s="4" t="s">
        <v>26</v>
      </c>
      <c r="D315" s="4" t="s">
        <v>27</v>
      </c>
      <c r="E315" s="4">
        <v>139</v>
      </c>
      <c r="F315" s="4">
        <v>232</v>
      </c>
      <c r="G315" s="4">
        <v>148</v>
      </c>
      <c r="H315" s="4">
        <v>32.25</v>
      </c>
      <c r="I315" s="4">
        <v>20.57</v>
      </c>
      <c r="J315" s="4">
        <v>11.68</v>
      </c>
      <c r="K315" s="4">
        <v>17.350000000000001</v>
      </c>
      <c r="L315" s="4">
        <v>69</v>
      </c>
      <c r="M315" s="4" t="s">
        <v>28</v>
      </c>
      <c r="N315" s="4" t="s">
        <v>24</v>
      </c>
      <c r="O315" s="4" t="s">
        <v>63</v>
      </c>
      <c r="P315" s="4" t="s">
        <v>76</v>
      </c>
    </row>
    <row r="316" spans="1:16" x14ac:dyDescent="0.3">
      <c r="A316" s="4">
        <v>2024</v>
      </c>
      <c r="B316" s="4" t="s">
        <v>51</v>
      </c>
      <c r="C316" s="4" t="s">
        <v>33</v>
      </c>
      <c r="D316" s="4" t="s">
        <v>50</v>
      </c>
      <c r="E316" s="4">
        <v>207</v>
      </c>
      <c r="F316" s="4">
        <v>407</v>
      </c>
      <c r="G316" s="4">
        <v>326</v>
      </c>
      <c r="H316" s="4">
        <v>84.25</v>
      </c>
      <c r="I316" s="4">
        <v>67.48</v>
      </c>
      <c r="J316" s="4">
        <v>16.77</v>
      </c>
      <c r="K316" s="4">
        <v>3.67</v>
      </c>
      <c r="L316" s="4">
        <v>211</v>
      </c>
      <c r="M316" s="4" t="s">
        <v>28</v>
      </c>
      <c r="N316" s="4" t="s">
        <v>38</v>
      </c>
      <c r="O316" s="4" t="s">
        <v>44</v>
      </c>
      <c r="P316" s="4" t="s">
        <v>73</v>
      </c>
    </row>
    <row r="317" spans="1:16" x14ac:dyDescent="0.3">
      <c r="A317" s="4">
        <v>2023</v>
      </c>
      <c r="B317" s="4" t="s">
        <v>46</v>
      </c>
      <c r="C317" s="4" t="s">
        <v>33</v>
      </c>
      <c r="D317" s="4" t="s">
        <v>34</v>
      </c>
      <c r="E317" s="4">
        <v>470</v>
      </c>
      <c r="F317" s="4">
        <v>106</v>
      </c>
      <c r="G317" s="4">
        <v>40</v>
      </c>
      <c r="H317" s="4">
        <v>49.82</v>
      </c>
      <c r="I317" s="4">
        <v>18.8</v>
      </c>
      <c r="J317" s="4">
        <v>31.02</v>
      </c>
      <c r="K317" s="4">
        <v>19.62</v>
      </c>
      <c r="L317" s="4">
        <v>147</v>
      </c>
      <c r="M317" s="4" t="s">
        <v>28</v>
      </c>
      <c r="N317" s="4" t="s">
        <v>19</v>
      </c>
      <c r="O317" s="4" t="s">
        <v>62</v>
      </c>
      <c r="P317" s="4" t="s">
        <v>74</v>
      </c>
    </row>
    <row r="318" spans="1:16" x14ac:dyDescent="0.3">
      <c r="A318" s="4">
        <v>2023</v>
      </c>
      <c r="B318" s="4" t="s">
        <v>49</v>
      </c>
      <c r="C318" s="4" t="s">
        <v>33</v>
      </c>
      <c r="D318" s="4" t="s">
        <v>34</v>
      </c>
      <c r="E318" s="4">
        <v>325</v>
      </c>
      <c r="F318" s="4">
        <v>270</v>
      </c>
      <c r="G318" s="4">
        <v>176</v>
      </c>
      <c r="H318" s="4">
        <v>87.75</v>
      </c>
      <c r="I318" s="4">
        <v>57.2</v>
      </c>
      <c r="J318" s="4">
        <v>30.55</v>
      </c>
      <c r="K318" s="4">
        <v>1.49</v>
      </c>
      <c r="L318" s="4">
        <v>222</v>
      </c>
      <c r="M318" s="4" t="s">
        <v>18</v>
      </c>
      <c r="N318" s="4" t="s">
        <v>24</v>
      </c>
      <c r="O318" s="4" t="s">
        <v>63</v>
      </c>
      <c r="P318" s="4" t="s">
        <v>75</v>
      </c>
    </row>
    <row r="319" spans="1:16" x14ac:dyDescent="0.3">
      <c r="A319" s="4">
        <v>2023</v>
      </c>
      <c r="B319" s="4" t="s">
        <v>21</v>
      </c>
      <c r="C319" s="4" t="s">
        <v>22</v>
      </c>
      <c r="D319" s="4" t="s">
        <v>55</v>
      </c>
      <c r="E319" s="4">
        <v>233</v>
      </c>
      <c r="F319" s="4">
        <v>94</v>
      </c>
      <c r="G319" s="4">
        <v>40</v>
      </c>
      <c r="H319" s="4">
        <v>21.9</v>
      </c>
      <c r="I319" s="4">
        <v>9.32</v>
      </c>
      <c r="J319" s="4">
        <v>12.58</v>
      </c>
      <c r="K319" s="4">
        <v>4.7699999999999996</v>
      </c>
      <c r="L319" s="4">
        <v>80</v>
      </c>
      <c r="M319" s="4" t="s">
        <v>37</v>
      </c>
      <c r="N319" s="4" t="s">
        <v>38</v>
      </c>
      <c r="O319" s="4" t="s">
        <v>44</v>
      </c>
      <c r="P319" s="4" t="s">
        <v>72</v>
      </c>
    </row>
    <row r="320" spans="1:16" x14ac:dyDescent="0.3">
      <c r="A320" s="4">
        <v>2023</v>
      </c>
      <c r="B320" s="4" t="s">
        <v>46</v>
      </c>
      <c r="C320" s="4" t="s">
        <v>26</v>
      </c>
      <c r="D320" s="4" t="s">
        <v>27</v>
      </c>
      <c r="E320" s="4">
        <v>395</v>
      </c>
      <c r="F320" s="4">
        <v>436</v>
      </c>
      <c r="G320" s="4">
        <v>255</v>
      </c>
      <c r="H320" s="4">
        <v>172.22</v>
      </c>
      <c r="I320" s="4">
        <v>100.72</v>
      </c>
      <c r="J320" s="4">
        <v>71.5</v>
      </c>
      <c r="K320" s="4">
        <v>17.91</v>
      </c>
      <c r="L320" s="4">
        <v>210</v>
      </c>
      <c r="M320" s="4" t="s">
        <v>18</v>
      </c>
      <c r="N320" s="4" t="s">
        <v>31</v>
      </c>
      <c r="O320" s="4" t="s">
        <v>42</v>
      </c>
      <c r="P320" s="4" t="s">
        <v>73</v>
      </c>
    </row>
    <row r="321" spans="1:16" x14ac:dyDescent="0.3">
      <c r="A321" s="4">
        <v>2023</v>
      </c>
      <c r="B321" s="4" t="s">
        <v>29</v>
      </c>
      <c r="C321" s="4" t="s">
        <v>22</v>
      </c>
      <c r="D321" s="4" t="s">
        <v>55</v>
      </c>
      <c r="E321" s="4">
        <v>118</v>
      </c>
      <c r="F321" s="4">
        <v>262</v>
      </c>
      <c r="G321" s="4">
        <v>202</v>
      </c>
      <c r="H321" s="4">
        <v>30.92</v>
      </c>
      <c r="I321" s="4">
        <v>23.84</v>
      </c>
      <c r="J321" s="4">
        <v>7.08</v>
      </c>
      <c r="K321" s="4">
        <v>9.58</v>
      </c>
      <c r="L321" s="4">
        <v>204</v>
      </c>
      <c r="M321" s="4" t="s">
        <v>28</v>
      </c>
      <c r="N321" s="4" t="s">
        <v>19</v>
      </c>
      <c r="O321" s="4" t="s">
        <v>62</v>
      </c>
      <c r="P321" s="4" t="s">
        <v>71</v>
      </c>
    </row>
    <row r="322" spans="1:16" x14ac:dyDescent="0.3">
      <c r="A322" s="4">
        <v>2024</v>
      </c>
      <c r="B322" s="4" t="s">
        <v>47</v>
      </c>
      <c r="C322" s="4" t="s">
        <v>22</v>
      </c>
      <c r="D322" s="4" t="s">
        <v>53</v>
      </c>
      <c r="E322" s="4">
        <v>212</v>
      </c>
      <c r="F322" s="4">
        <v>320</v>
      </c>
      <c r="G322" s="4">
        <v>35</v>
      </c>
      <c r="H322" s="4">
        <v>67.84</v>
      </c>
      <c r="I322" s="4">
        <v>7.42</v>
      </c>
      <c r="J322" s="4">
        <v>60.42</v>
      </c>
      <c r="K322" s="4">
        <v>10.02</v>
      </c>
      <c r="L322" s="4">
        <v>285</v>
      </c>
      <c r="M322" s="4" t="s">
        <v>37</v>
      </c>
      <c r="N322" s="4" t="s">
        <v>19</v>
      </c>
      <c r="O322" s="4" t="s">
        <v>62</v>
      </c>
      <c r="P322" s="4" t="s">
        <v>76</v>
      </c>
    </row>
    <row r="323" spans="1:16" x14ac:dyDescent="0.3">
      <c r="A323" s="4">
        <v>2023</v>
      </c>
      <c r="B323" s="4" t="s">
        <v>45</v>
      </c>
      <c r="C323" s="4" t="s">
        <v>16</v>
      </c>
      <c r="D323" s="4" t="s">
        <v>56</v>
      </c>
      <c r="E323" s="4">
        <v>245</v>
      </c>
      <c r="F323" s="4">
        <v>412</v>
      </c>
      <c r="G323" s="4">
        <v>192</v>
      </c>
      <c r="H323" s="4">
        <v>100.94</v>
      </c>
      <c r="I323" s="4">
        <v>47.04</v>
      </c>
      <c r="J323" s="4">
        <v>53.9</v>
      </c>
      <c r="K323" s="4">
        <v>12.03</v>
      </c>
      <c r="L323" s="4">
        <v>287</v>
      </c>
      <c r="M323" s="4" t="s">
        <v>37</v>
      </c>
      <c r="N323" s="4" t="s">
        <v>19</v>
      </c>
      <c r="O323" s="4" t="s">
        <v>62</v>
      </c>
      <c r="P323" s="4" t="s">
        <v>73</v>
      </c>
    </row>
    <row r="324" spans="1:16" x14ac:dyDescent="0.3">
      <c r="A324" s="4">
        <v>2024</v>
      </c>
      <c r="B324" s="4" t="s">
        <v>46</v>
      </c>
      <c r="C324" s="4" t="s">
        <v>26</v>
      </c>
      <c r="D324" s="4" t="s">
        <v>27</v>
      </c>
      <c r="E324" s="4">
        <v>315</v>
      </c>
      <c r="F324" s="4">
        <v>253</v>
      </c>
      <c r="G324" s="4">
        <v>230</v>
      </c>
      <c r="H324" s="4">
        <v>79.69</v>
      </c>
      <c r="I324" s="4">
        <v>72.45</v>
      </c>
      <c r="J324" s="4">
        <v>7.24</v>
      </c>
      <c r="K324" s="4">
        <v>-9.39</v>
      </c>
      <c r="L324" s="4">
        <v>233</v>
      </c>
      <c r="M324" s="4" t="s">
        <v>18</v>
      </c>
      <c r="N324" s="4" t="s">
        <v>38</v>
      </c>
      <c r="O324" s="4" t="s">
        <v>44</v>
      </c>
      <c r="P324" s="4" t="s">
        <v>74</v>
      </c>
    </row>
    <row r="325" spans="1:16" x14ac:dyDescent="0.3">
      <c r="A325" s="4">
        <v>2023</v>
      </c>
      <c r="B325" s="4" t="s">
        <v>49</v>
      </c>
      <c r="C325" s="4" t="s">
        <v>26</v>
      </c>
      <c r="D325" s="4" t="s">
        <v>52</v>
      </c>
      <c r="E325" s="4">
        <v>397</v>
      </c>
      <c r="F325" s="4">
        <v>347</v>
      </c>
      <c r="G325" s="4">
        <v>50</v>
      </c>
      <c r="H325" s="4">
        <v>137.76</v>
      </c>
      <c r="I325" s="4">
        <v>19.850000000000001</v>
      </c>
      <c r="J325" s="4">
        <v>117.91</v>
      </c>
      <c r="K325" s="4">
        <v>-9.24</v>
      </c>
      <c r="L325" s="4">
        <v>226</v>
      </c>
      <c r="M325" s="4" t="s">
        <v>37</v>
      </c>
      <c r="N325" s="4" t="s">
        <v>38</v>
      </c>
      <c r="O325" s="4" t="s">
        <v>44</v>
      </c>
      <c r="P325" s="4" t="s">
        <v>72</v>
      </c>
    </row>
    <row r="326" spans="1:16" x14ac:dyDescent="0.3">
      <c r="A326" s="4">
        <v>2023</v>
      </c>
      <c r="B326" s="4" t="s">
        <v>49</v>
      </c>
      <c r="C326" s="4" t="s">
        <v>33</v>
      </c>
      <c r="D326" s="4" t="s">
        <v>48</v>
      </c>
      <c r="E326" s="4">
        <v>395</v>
      </c>
      <c r="F326" s="4">
        <v>329</v>
      </c>
      <c r="G326" s="4">
        <v>72</v>
      </c>
      <c r="H326" s="4">
        <v>129.96</v>
      </c>
      <c r="I326" s="4">
        <v>28.44</v>
      </c>
      <c r="J326" s="4">
        <v>101.52</v>
      </c>
      <c r="K326" s="4">
        <v>10.97</v>
      </c>
      <c r="L326" s="4">
        <v>195</v>
      </c>
      <c r="M326" s="4" t="s">
        <v>28</v>
      </c>
      <c r="N326" s="4" t="s">
        <v>31</v>
      </c>
      <c r="O326" s="4" t="s">
        <v>42</v>
      </c>
      <c r="P326" s="4" t="s">
        <v>71</v>
      </c>
    </row>
    <row r="327" spans="1:16" x14ac:dyDescent="0.3">
      <c r="A327" s="4">
        <v>2024</v>
      </c>
      <c r="B327" s="4" t="s">
        <v>41</v>
      </c>
      <c r="C327" s="4" t="s">
        <v>16</v>
      </c>
      <c r="D327" s="4" t="s">
        <v>30</v>
      </c>
      <c r="E327" s="4">
        <v>112</v>
      </c>
      <c r="F327" s="4">
        <v>122</v>
      </c>
      <c r="G327" s="4">
        <v>104</v>
      </c>
      <c r="H327" s="4">
        <v>13.66</v>
      </c>
      <c r="I327" s="4">
        <v>11.65</v>
      </c>
      <c r="J327" s="4">
        <v>2.02</v>
      </c>
      <c r="K327" s="4">
        <v>20.190000000000001</v>
      </c>
      <c r="L327" s="4">
        <v>127</v>
      </c>
      <c r="M327" s="4" t="s">
        <v>28</v>
      </c>
      <c r="N327" s="4" t="s">
        <v>38</v>
      </c>
      <c r="O327" s="4" t="s">
        <v>44</v>
      </c>
      <c r="P327" s="4" t="s">
        <v>74</v>
      </c>
    </row>
    <row r="328" spans="1:16" x14ac:dyDescent="0.3">
      <c r="A328" s="4">
        <v>2025</v>
      </c>
      <c r="B328" s="4" t="s">
        <v>39</v>
      </c>
      <c r="C328" s="4" t="s">
        <v>16</v>
      </c>
      <c r="D328" s="4" t="s">
        <v>30</v>
      </c>
      <c r="E328" s="4">
        <v>144</v>
      </c>
      <c r="F328" s="4">
        <v>56</v>
      </c>
      <c r="G328" s="4">
        <v>41</v>
      </c>
      <c r="H328" s="4">
        <v>8.06</v>
      </c>
      <c r="I328" s="4">
        <v>5.9</v>
      </c>
      <c r="J328" s="4">
        <v>2.16</v>
      </c>
      <c r="K328" s="4">
        <v>-8.74</v>
      </c>
      <c r="L328" s="4">
        <v>109</v>
      </c>
      <c r="M328" s="4" t="s">
        <v>28</v>
      </c>
      <c r="N328" s="4" t="s">
        <v>38</v>
      </c>
      <c r="O328" s="4" t="s">
        <v>44</v>
      </c>
      <c r="P328" s="4" t="s">
        <v>72</v>
      </c>
    </row>
    <row r="329" spans="1:16" x14ac:dyDescent="0.3">
      <c r="A329" s="4">
        <v>2025</v>
      </c>
      <c r="B329" s="4" t="s">
        <v>39</v>
      </c>
      <c r="C329" s="4" t="s">
        <v>33</v>
      </c>
      <c r="D329" s="4" t="s">
        <v>48</v>
      </c>
      <c r="E329" s="4">
        <v>431</v>
      </c>
      <c r="F329" s="4">
        <v>109</v>
      </c>
      <c r="G329" s="4">
        <v>88</v>
      </c>
      <c r="H329" s="4">
        <v>46.98</v>
      </c>
      <c r="I329" s="4">
        <v>37.93</v>
      </c>
      <c r="J329" s="4">
        <v>9.0500000000000007</v>
      </c>
      <c r="K329" s="4">
        <v>3.37</v>
      </c>
      <c r="L329" s="4">
        <v>91</v>
      </c>
      <c r="M329" s="4" t="s">
        <v>18</v>
      </c>
      <c r="N329" s="4" t="s">
        <v>38</v>
      </c>
      <c r="O329" s="4" t="s">
        <v>44</v>
      </c>
      <c r="P329" s="4" t="s">
        <v>73</v>
      </c>
    </row>
    <row r="330" spans="1:16" x14ac:dyDescent="0.3">
      <c r="A330" s="4">
        <v>2023</v>
      </c>
      <c r="B330" s="4" t="s">
        <v>46</v>
      </c>
      <c r="C330" s="4" t="s">
        <v>35</v>
      </c>
      <c r="D330" s="4" t="s">
        <v>40</v>
      </c>
      <c r="E330" s="4">
        <v>273</v>
      </c>
      <c r="F330" s="4">
        <v>317</v>
      </c>
      <c r="G330" s="4">
        <v>306</v>
      </c>
      <c r="H330" s="4">
        <v>86.54</v>
      </c>
      <c r="I330" s="4">
        <v>83.54</v>
      </c>
      <c r="J330" s="4">
        <v>3</v>
      </c>
      <c r="K330" s="4">
        <v>13.2</v>
      </c>
      <c r="L330" s="4">
        <v>67</v>
      </c>
      <c r="M330" s="4" t="s">
        <v>18</v>
      </c>
      <c r="N330" s="4" t="s">
        <v>19</v>
      </c>
      <c r="O330" s="4" t="s">
        <v>62</v>
      </c>
      <c r="P330" s="4" t="s">
        <v>76</v>
      </c>
    </row>
    <row r="331" spans="1:16" x14ac:dyDescent="0.3">
      <c r="A331" s="4">
        <v>2024</v>
      </c>
      <c r="B331" s="4" t="s">
        <v>49</v>
      </c>
      <c r="C331" s="4" t="s">
        <v>35</v>
      </c>
      <c r="D331" s="4" t="s">
        <v>43</v>
      </c>
      <c r="E331" s="4">
        <v>244</v>
      </c>
      <c r="F331" s="4">
        <v>381</v>
      </c>
      <c r="G331" s="4">
        <v>38</v>
      </c>
      <c r="H331" s="4">
        <v>92.96</v>
      </c>
      <c r="I331" s="4">
        <v>9.27</v>
      </c>
      <c r="J331" s="4">
        <v>83.69</v>
      </c>
      <c r="K331" s="4">
        <v>7.38</v>
      </c>
      <c r="L331" s="4">
        <v>272</v>
      </c>
      <c r="M331" s="4" t="s">
        <v>28</v>
      </c>
      <c r="N331" s="4" t="s">
        <v>38</v>
      </c>
      <c r="O331" s="4" t="s">
        <v>44</v>
      </c>
      <c r="P331" s="4" t="s">
        <v>71</v>
      </c>
    </row>
    <row r="332" spans="1:16" x14ac:dyDescent="0.3">
      <c r="A332" s="4">
        <v>2024</v>
      </c>
      <c r="B332" s="4" t="s">
        <v>32</v>
      </c>
      <c r="C332" s="4" t="s">
        <v>33</v>
      </c>
      <c r="D332" s="4" t="s">
        <v>48</v>
      </c>
      <c r="E332" s="4">
        <v>159</v>
      </c>
      <c r="F332" s="4">
        <v>83</v>
      </c>
      <c r="G332" s="4">
        <v>51</v>
      </c>
      <c r="H332" s="4">
        <v>13.2</v>
      </c>
      <c r="I332" s="4">
        <v>8.11</v>
      </c>
      <c r="J332" s="4">
        <v>5.09</v>
      </c>
      <c r="K332" s="4">
        <v>-4.9800000000000004</v>
      </c>
      <c r="L332" s="4">
        <v>221</v>
      </c>
      <c r="M332" s="4" t="s">
        <v>18</v>
      </c>
      <c r="N332" s="4" t="s">
        <v>19</v>
      </c>
      <c r="O332" s="4" t="s">
        <v>62</v>
      </c>
      <c r="P332" s="4" t="s">
        <v>73</v>
      </c>
    </row>
    <row r="333" spans="1:16" x14ac:dyDescent="0.3">
      <c r="A333" s="4">
        <v>2024</v>
      </c>
      <c r="B333" s="4" t="s">
        <v>41</v>
      </c>
      <c r="C333" s="4" t="s">
        <v>33</v>
      </c>
      <c r="D333" s="4" t="s">
        <v>54</v>
      </c>
      <c r="E333" s="4">
        <v>336</v>
      </c>
      <c r="F333" s="4">
        <v>192</v>
      </c>
      <c r="G333" s="4">
        <v>31</v>
      </c>
      <c r="H333" s="4">
        <v>64.510000000000005</v>
      </c>
      <c r="I333" s="4">
        <v>10.42</v>
      </c>
      <c r="J333" s="4">
        <v>54.1</v>
      </c>
      <c r="K333" s="4">
        <v>7.69</v>
      </c>
      <c r="L333" s="4">
        <v>207</v>
      </c>
      <c r="M333" s="4" t="s">
        <v>37</v>
      </c>
      <c r="N333" s="4" t="s">
        <v>24</v>
      </c>
      <c r="O333" s="4" t="s">
        <v>63</v>
      </c>
      <c r="P333" s="4" t="s">
        <v>74</v>
      </c>
    </row>
    <row r="334" spans="1:16" x14ac:dyDescent="0.3">
      <c r="A334" s="4">
        <v>2025</v>
      </c>
      <c r="B334" s="4" t="s">
        <v>41</v>
      </c>
      <c r="C334" s="4" t="s">
        <v>16</v>
      </c>
      <c r="D334" s="4" t="s">
        <v>30</v>
      </c>
      <c r="E334" s="4">
        <v>99</v>
      </c>
      <c r="F334" s="4">
        <v>499</v>
      </c>
      <c r="G334" s="4">
        <v>401</v>
      </c>
      <c r="H334" s="4">
        <v>49.4</v>
      </c>
      <c r="I334" s="4">
        <v>39.700000000000003</v>
      </c>
      <c r="J334" s="4">
        <v>9.6999999999999993</v>
      </c>
      <c r="K334" s="4">
        <v>-6.55</v>
      </c>
      <c r="L334" s="4">
        <v>204</v>
      </c>
      <c r="M334" s="4" t="s">
        <v>37</v>
      </c>
      <c r="N334" s="4" t="s">
        <v>38</v>
      </c>
      <c r="O334" s="4" t="s">
        <v>44</v>
      </c>
      <c r="P334" s="4" t="s">
        <v>76</v>
      </c>
    </row>
    <row r="335" spans="1:16" x14ac:dyDescent="0.3">
      <c r="A335" s="4">
        <v>2024</v>
      </c>
      <c r="B335" s="4" t="s">
        <v>29</v>
      </c>
      <c r="C335" s="4" t="s">
        <v>33</v>
      </c>
      <c r="D335" s="4" t="s">
        <v>34</v>
      </c>
      <c r="E335" s="4">
        <v>264</v>
      </c>
      <c r="F335" s="4">
        <v>182</v>
      </c>
      <c r="G335" s="4">
        <v>144</v>
      </c>
      <c r="H335" s="4">
        <v>48.05</v>
      </c>
      <c r="I335" s="4">
        <v>38.020000000000003</v>
      </c>
      <c r="J335" s="4">
        <v>10.029999999999999</v>
      </c>
      <c r="K335" s="4">
        <v>5.83</v>
      </c>
      <c r="L335" s="4">
        <v>53</v>
      </c>
      <c r="M335" s="4" t="s">
        <v>28</v>
      </c>
      <c r="N335" s="4" t="s">
        <v>38</v>
      </c>
      <c r="O335" s="4" t="s">
        <v>44</v>
      </c>
      <c r="P335" s="4" t="s">
        <v>72</v>
      </c>
    </row>
    <row r="336" spans="1:16" x14ac:dyDescent="0.3">
      <c r="A336" s="4">
        <v>2023</v>
      </c>
      <c r="B336" s="4" t="s">
        <v>21</v>
      </c>
      <c r="C336" s="4" t="s">
        <v>33</v>
      </c>
      <c r="D336" s="4" t="s">
        <v>34</v>
      </c>
      <c r="E336" s="4">
        <v>155</v>
      </c>
      <c r="F336" s="4">
        <v>96</v>
      </c>
      <c r="G336" s="4">
        <v>53</v>
      </c>
      <c r="H336" s="4">
        <v>14.88</v>
      </c>
      <c r="I336" s="4">
        <v>8.2100000000000009</v>
      </c>
      <c r="J336" s="4">
        <v>6.67</v>
      </c>
      <c r="K336" s="4">
        <v>0.95</v>
      </c>
      <c r="L336" s="4">
        <v>280</v>
      </c>
      <c r="M336" s="4" t="s">
        <v>37</v>
      </c>
      <c r="N336" s="4" t="s">
        <v>31</v>
      </c>
      <c r="O336" s="4" t="s">
        <v>42</v>
      </c>
      <c r="P336" s="4" t="s">
        <v>74</v>
      </c>
    </row>
    <row r="337" spans="1:16" x14ac:dyDescent="0.3">
      <c r="A337" s="4">
        <v>2024</v>
      </c>
      <c r="B337" s="4" t="s">
        <v>21</v>
      </c>
      <c r="C337" s="4" t="s">
        <v>33</v>
      </c>
      <c r="D337" s="4" t="s">
        <v>54</v>
      </c>
      <c r="E337" s="4">
        <v>273</v>
      </c>
      <c r="F337" s="4">
        <v>174</v>
      </c>
      <c r="G337" s="4">
        <v>34</v>
      </c>
      <c r="H337" s="4">
        <v>47.5</v>
      </c>
      <c r="I337" s="4">
        <v>9.2799999999999994</v>
      </c>
      <c r="J337" s="4">
        <v>38.22</v>
      </c>
      <c r="K337" s="4">
        <v>22.43</v>
      </c>
      <c r="L337" s="4">
        <v>230</v>
      </c>
      <c r="M337" s="4" t="s">
        <v>18</v>
      </c>
      <c r="N337" s="4" t="s">
        <v>38</v>
      </c>
      <c r="O337" s="4" t="s">
        <v>44</v>
      </c>
      <c r="P337" s="4" t="s">
        <v>74</v>
      </c>
    </row>
    <row r="338" spans="1:16" x14ac:dyDescent="0.3">
      <c r="A338" s="4">
        <v>2024</v>
      </c>
      <c r="B338" s="4" t="s">
        <v>51</v>
      </c>
      <c r="C338" s="4" t="s">
        <v>33</v>
      </c>
      <c r="D338" s="4" t="s">
        <v>48</v>
      </c>
      <c r="E338" s="4">
        <v>266</v>
      </c>
      <c r="F338" s="4">
        <v>347</v>
      </c>
      <c r="G338" s="4">
        <v>77</v>
      </c>
      <c r="H338" s="4">
        <v>92.3</v>
      </c>
      <c r="I338" s="4">
        <v>20.48</v>
      </c>
      <c r="J338" s="4">
        <v>71.819999999999993</v>
      </c>
      <c r="K338" s="4">
        <v>-3.97</v>
      </c>
      <c r="L338" s="4">
        <v>29</v>
      </c>
      <c r="M338" s="4" t="s">
        <v>18</v>
      </c>
      <c r="N338" s="4" t="s">
        <v>38</v>
      </c>
      <c r="O338" s="4" t="s">
        <v>44</v>
      </c>
      <c r="P338" s="4" t="s">
        <v>71</v>
      </c>
    </row>
    <row r="339" spans="1:16" x14ac:dyDescent="0.3">
      <c r="A339" s="4">
        <v>2025</v>
      </c>
      <c r="B339" s="4" t="s">
        <v>57</v>
      </c>
      <c r="C339" s="4" t="s">
        <v>35</v>
      </c>
      <c r="D339" s="4" t="s">
        <v>40</v>
      </c>
      <c r="E339" s="4">
        <v>109</v>
      </c>
      <c r="F339" s="4">
        <v>274</v>
      </c>
      <c r="G339" s="4">
        <v>56</v>
      </c>
      <c r="H339" s="4">
        <v>29.87</v>
      </c>
      <c r="I339" s="4">
        <v>6.1</v>
      </c>
      <c r="J339" s="4">
        <v>23.76</v>
      </c>
      <c r="K339" s="4">
        <v>20.16</v>
      </c>
      <c r="L339" s="4">
        <v>68</v>
      </c>
      <c r="M339" s="4" t="s">
        <v>37</v>
      </c>
      <c r="N339" s="4" t="s">
        <v>24</v>
      </c>
      <c r="O339" s="4" t="s">
        <v>63</v>
      </c>
      <c r="P339" s="4" t="s">
        <v>71</v>
      </c>
    </row>
    <row r="340" spans="1:16" x14ac:dyDescent="0.3">
      <c r="A340" s="4">
        <v>2024</v>
      </c>
      <c r="B340" s="4" t="s">
        <v>57</v>
      </c>
      <c r="C340" s="4" t="s">
        <v>22</v>
      </c>
      <c r="D340" s="4" t="s">
        <v>23</v>
      </c>
      <c r="E340" s="4">
        <v>371</v>
      </c>
      <c r="F340" s="4">
        <v>490</v>
      </c>
      <c r="G340" s="4">
        <v>251</v>
      </c>
      <c r="H340" s="4">
        <v>181.79</v>
      </c>
      <c r="I340" s="4">
        <v>93.12</v>
      </c>
      <c r="J340" s="4">
        <v>88.67</v>
      </c>
      <c r="K340" s="4">
        <v>4.29</v>
      </c>
      <c r="L340" s="4">
        <v>203</v>
      </c>
      <c r="M340" s="4" t="s">
        <v>18</v>
      </c>
      <c r="N340" s="4" t="s">
        <v>31</v>
      </c>
      <c r="O340" s="4" t="s">
        <v>42</v>
      </c>
      <c r="P340" s="4" t="s">
        <v>76</v>
      </c>
    </row>
    <row r="341" spans="1:16" x14ac:dyDescent="0.3">
      <c r="A341" s="4">
        <v>2024</v>
      </c>
      <c r="B341" s="4" t="s">
        <v>57</v>
      </c>
      <c r="C341" s="4" t="s">
        <v>26</v>
      </c>
      <c r="D341" s="4" t="s">
        <v>58</v>
      </c>
      <c r="E341" s="4">
        <v>440</v>
      </c>
      <c r="F341" s="4">
        <v>462</v>
      </c>
      <c r="G341" s="4">
        <v>446</v>
      </c>
      <c r="H341" s="4">
        <v>203.28</v>
      </c>
      <c r="I341" s="4">
        <v>196.24</v>
      </c>
      <c r="J341" s="4">
        <v>7.04</v>
      </c>
      <c r="K341" s="4">
        <v>4.75</v>
      </c>
      <c r="L341" s="4">
        <v>148</v>
      </c>
      <c r="M341" s="4" t="s">
        <v>18</v>
      </c>
      <c r="N341" s="4" t="s">
        <v>38</v>
      </c>
      <c r="O341" s="4" t="s">
        <v>44</v>
      </c>
      <c r="P341" s="4" t="s">
        <v>73</v>
      </c>
    </row>
    <row r="342" spans="1:16" x14ac:dyDescent="0.3">
      <c r="A342" s="4">
        <v>2023</v>
      </c>
      <c r="B342" s="4" t="s">
        <v>57</v>
      </c>
      <c r="C342" s="4" t="s">
        <v>16</v>
      </c>
      <c r="D342" s="4" t="s">
        <v>17</v>
      </c>
      <c r="E342" s="4">
        <v>91</v>
      </c>
      <c r="F342" s="4">
        <v>107</v>
      </c>
      <c r="G342" s="4">
        <v>43</v>
      </c>
      <c r="H342" s="4">
        <v>9.74</v>
      </c>
      <c r="I342" s="4">
        <v>3.91</v>
      </c>
      <c r="J342" s="4">
        <v>5.82</v>
      </c>
      <c r="K342" s="4">
        <v>4.82</v>
      </c>
      <c r="L342" s="4">
        <v>220</v>
      </c>
      <c r="M342" s="4" t="s">
        <v>28</v>
      </c>
      <c r="N342" s="4" t="s">
        <v>19</v>
      </c>
      <c r="O342" s="4" t="s">
        <v>62</v>
      </c>
      <c r="P342" s="4" t="s">
        <v>73</v>
      </c>
    </row>
    <row r="343" spans="1:16" x14ac:dyDescent="0.3">
      <c r="A343" s="4">
        <v>2024</v>
      </c>
      <c r="B343" s="4" t="s">
        <v>49</v>
      </c>
      <c r="C343" s="4" t="s">
        <v>33</v>
      </c>
      <c r="D343" s="4" t="s">
        <v>54</v>
      </c>
      <c r="E343" s="4">
        <v>78</v>
      </c>
      <c r="F343" s="4">
        <v>468</v>
      </c>
      <c r="G343" s="4">
        <v>276</v>
      </c>
      <c r="H343" s="4">
        <v>36.5</v>
      </c>
      <c r="I343" s="4">
        <v>21.53</v>
      </c>
      <c r="J343" s="4">
        <v>14.98</v>
      </c>
      <c r="K343" s="4">
        <v>-3.64</v>
      </c>
      <c r="L343" s="4">
        <v>290</v>
      </c>
      <c r="M343" s="4" t="s">
        <v>28</v>
      </c>
      <c r="N343" s="4" t="s">
        <v>19</v>
      </c>
      <c r="O343" s="4" t="s">
        <v>62</v>
      </c>
      <c r="P343" s="4" t="s">
        <v>76</v>
      </c>
    </row>
    <row r="344" spans="1:16" x14ac:dyDescent="0.3">
      <c r="A344" s="4">
        <v>2023</v>
      </c>
      <c r="B344" s="4" t="s">
        <v>15</v>
      </c>
      <c r="C344" s="4" t="s">
        <v>35</v>
      </c>
      <c r="D344" s="4" t="s">
        <v>43</v>
      </c>
      <c r="E344" s="4">
        <v>330</v>
      </c>
      <c r="F344" s="4">
        <v>374</v>
      </c>
      <c r="G344" s="4">
        <v>296</v>
      </c>
      <c r="H344" s="4">
        <v>123.42</v>
      </c>
      <c r="I344" s="4">
        <v>97.68</v>
      </c>
      <c r="J344" s="4">
        <v>25.74</v>
      </c>
      <c r="K344" s="4">
        <v>13.61</v>
      </c>
      <c r="L344" s="4">
        <v>126</v>
      </c>
      <c r="M344" s="4" t="s">
        <v>18</v>
      </c>
      <c r="N344" s="4" t="s">
        <v>19</v>
      </c>
      <c r="O344" s="4" t="s">
        <v>62</v>
      </c>
      <c r="P344" s="4" t="s">
        <v>75</v>
      </c>
    </row>
    <row r="345" spans="1:16" x14ac:dyDescent="0.3">
      <c r="A345" s="4">
        <v>2024</v>
      </c>
      <c r="B345" s="4" t="s">
        <v>15</v>
      </c>
      <c r="C345" s="4" t="s">
        <v>22</v>
      </c>
      <c r="D345" s="4" t="s">
        <v>59</v>
      </c>
      <c r="E345" s="4">
        <v>263</v>
      </c>
      <c r="F345" s="4">
        <v>394</v>
      </c>
      <c r="G345" s="4">
        <v>101</v>
      </c>
      <c r="H345" s="4">
        <v>103.62</v>
      </c>
      <c r="I345" s="4">
        <v>26.56</v>
      </c>
      <c r="J345" s="4">
        <v>77.06</v>
      </c>
      <c r="K345" s="4">
        <v>6.72</v>
      </c>
      <c r="L345" s="4">
        <v>85</v>
      </c>
      <c r="M345" s="4" t="s">
        <v>28</v>
      </c>
      <c r="N345" s="4" t="s">
        <v>38</v>
      </c>
      <c r="O345" s="4" t="s">
        <v>44</v>
      </c>
      <c r="P345" s="4" t="s">
        <v>76</v>
      </c>
    </row>
    <row r="346" spans="1:16" x14ac:dyDescent="0.3">
      <c r="A346" s="4">
        <v>2023</v>
      </c>
      <c r="B346" s="4" t="s">
        <v>21</v>
      </c>
      <c r="C346" s="4" t="s">
        <v>26</v>
      </c>
      <c r="D346" s="4" t="s">
        <v>58</v>
      </c>
      <c r="E346" s="4">
        <v>438</v>
      </c>
      <c r="F346" s="4">
        <v>335</v>
      </c>
      <c r="G346" s="4">
        <v>174</v>
      </c>
      <c r="H346" s="4">
        <v>146.72999999999999</v>
      </c>
      <c r="I346" s="4">
        <v>76.209999999999994</v>
      </c>
      <c r="J346" s="4">
        <v>70.52</v>
      </c>
      <c r="K346" s="4">
        <v>3.36</v>
      </c>
      <c r="L346" s="4">
        <v>43</v>
      </c>
      <c r="M346" s="4" t="s">
        <v>28</v>
      </c>
      <c r="N346" s="4" t="s">
        <v>38</v>
      </c>
      <c r="O346" s="4" t="s">
        <v>44</v>
      </c>
      <c r="P346" s="4" t="s">
        <v>74</v>
      </c>
    </row>
    <row r="347" spans="1:16" x14ac:dyDescent="0.3">
      <c r="A347" s="4">
        <v>2023</v>
      </c>
      <c r="B347" s="4" t="s">
        <v>49</v>
      </c>
      <c r="C347" s="4" t="s">
        <v>33</v>
      </c>
      <c r="D347" s="4" t="s">
        <v>50</v>
      </c>
      <c r="E347" s="4">
        <v>393</v>
      </c>
      <c r="F347" s="4">
        <v>83</v>
      </c>
      <c r="G347" s="4">
        <v>38</v>
      </c>
      <c r="H347" s="4">
        <v>32.619999999999997</v>
      </c>
      <c r="I347" s="4">
        <v>14.93</v>
      </c>
      <c r="J347" s="4">
        <v>17.690000000000001</v>
      </c>
      <c r="K347" s="4">
        <v>-3.89</v>
      </c>
      <c r="L347" s="4">
        <v>168</v>
      </c>
      <c r="M347" s="4" t="s">
        <v>18</v>
      </c>
      <c r="N347" s="4" t="s">
        <v>19</v>
      </c>
      <c r="O347" s="4" t="s">
        <v>62</v>
      </c>
      <c r="P347" s="4" t="s">
        <v>71</v>
      </c>
    </row>
    <row r="348" spans="1:16" x14ac:dyDescent="0.3">
      <c r="A348" s="4">
        <v>2024</v>
      </c>
      <c r="B348" s="4" t="s">
        <v>45</v>
      </c>
      <c r="C348" s="4" t="s">
        <v>16</v>
      </c>
      <c r="D348" s="4" t="s">
        <v>30</v>
      </c>
      <c r="E348" s="4">
        <v>93</v>
      </c>
      <c r="F348" s="4">
        <v>373</v>
      </c>
      <c r="G348" s="4">
        <v>252</v>
      </c>
      <c r="H348" s="4">
        <v>34.69</v>
      </c>
      <c r="I348" s="4">
        <v>23.44</v>
      </c>
      <c r="J348" s="4">
        <v>11.25</v>
      </c>
      <c r="K348" s="4">
        <v>20.25</v>
      </c>
      <c r="L348" s="4">
        <v>163</v>
      </c>
      <c r="M348" s="4" t="s">
        <v>28</v>
      </c>
      <c r="N348" s="4" t="s">
        <v>38</v>
      </c>
      <c r="O348" s="4" t="s">
        <v>44</v>
      </c>
      <c r="P348" s="4" t="s">
        <v>74</v>
      </c>
    </row>
    <row r="349" spans="1:16" x14ac:dyDescent="0.3">
      <c r="A349" s="4">
        <v>2025</v>
      </c>
      <c r="B349" s="4" t="s">
        <v>29</v>
      </c>
      <c r="C349" s="4" t="s">
        <v>16</v>
      </c>
      <c r="D349" s="4" t="s">
        <v>30</v>
      </c>
      <c r="E349" s="4">
        <v>337</v>
      </c>
      <c r="F349" s="4">
        <v>136</v>
      </c>
      <c r="G349" s="4">
        <v>109</v>
      </c>
      <c r="H349" s="4">
        <v>45.83</v>
      </c>
      <c r="I349" s="4">
        <v>36.729999999999997</v>
      </c>
      <c r="J349" s="4">
        <v>9.1</v>
      </c>
      <c r="K349" s="4">
        <v>17.04</v>
      </c>
      <c r="L349" s="4">
        <v>43</v>
      </c>
      <c r="M349" s="4" t="s">
        <v>18</v>
      </c>
      <c r="N349" s="4" t="s">
        <v>38</v>
      </c>
      <c r="O349" s="4" t="s">
        <v>44</v>
      </c>
      <c r="P349" s="4" t="s">
        <v>74</v>
      </c>
    </row>
    <row r="350" spans="1:16" x14ac:dyDescent="0.3">
      <c r="A350" s="4">
        <v>2023</v>
      </c>
      <c r="B350" s="4" t="s">
        <v>49</v>
      </c>
      <c r="C350" s="4" t="s">
        <v>26</v>
      </c>
      <c r="D350" s="4" t="s">
        <v>58</v>
      </c>
      <c r="E350" s="4">
        <v>284</v>
      </c>
      <c r="F350" s="4">
        <v>72</v>
      </c>
      <c r="G350" s="4">
        <v>47</v>
      </c>
      <c r="H350" s="4">
        <v>20.45</v>
      </c>
      <c r="I350" s="4">
        <v>13.35</v>
      </c>
      <c r="J350" s="4">
        <v>7.1</v>
      </c>
      <c r="K350" s="4">
        <v>11.84</v>
      </c>
      <c r="L350" s="4">
        <v>240</v>
      </c>
      <c r="M350" s="4" t="s">
        <v>28</v>
      </c>
      <c r="N350" s="4" t="s">
        <v>19</v>
      </c>
      <c r="O350" s="4" t="s">
        <v>62</v>
      </c>
      <c r="P350" s="4" t="s">
        <v>73</v>
      </c>
    </row>
    <row r="351" spans="1:16" x14ac:dyDescent="0.3">
      <c r="A351" s="4">
        <v>2025</v>
      </c>
      <c r="B351" s="4" t="s">
        <v>32</v>
      </c>
      <c r="C351" s="4" t="s">
        <v>16</v>
      </c>
      <c r="D351" s="4" t="s">
        <v>30</v>
      </c>
      <c r="E351" s="4">
        <v>258</v>
      </c>
      <c r="F351" s="4">
        <v>176</v>
      </c>
      <c r="G351" s="4">
        <v>41</v>
      </c>
      <c r="H351" s="4">
        <v>45.41</v>
      </c>
      <c r="I351" s="4">
        <v>10.58</v>
      </c>
      <c r="J351" s="4">
        <v>34.83</v>
      </c>
      <c r="K351" s="4">
        <v>20.329999999999998</v>
      </c>
      <c r="L351" s="4">
        <v>184</v>
      </c>
      <c r="M351" s="4" t="s">
        <v>18</v>
      </c>
      <c r="N351" s="4" t="s">
        <v>31</v>
      </c>
      <c r="O351" s="4" t="s">
        <v>42</v>
      </c>
      <c r="P351" s="4" t="s">
        <v>72</v>
      </c>
    </row>
    <row r="352" spans="1:16" x14ac:dyDescent="0.3">
      <c r="A352" s="4">
        <v>2023</v>
      </c>
      <c r="B352" s="4" t="s">
        <v>41</v>
      </c>
      <c r="C352" s="4" t="s">
        <v>22</v>
      </c>
      <c r="D352" s="4" t="s">
        <v>55</v>
      </c>
      <c r="E352" s="4">
        <v>395</v>
      </c>
      <c r="F352" s="4">
        <v>104</v>
      </c>
      <c r="G352" s="4">
        <v>94</v>
      </c>
      <c r="H352" s="4">
        <v>41.08</v>
      </c>
      <c r="I352" s="4">
        <v>37.130000000000003</v>
      </c>
      <c r="J352" s="4">
        <v>3.95</v>
      </c>
      <c r="K352" s="4">
        <v>20.22</v>
      </c>
      <c r="L352" s="4">
        <v>185</v>
      </c>
      <c r="M352" s="4" t="s">
        <v>28</v>
      </c>
      <c r="N352" s="4" t="s">
        <v>31</v>
      </c>
      <c r="O352" s="4" t="s">
        <v>42</v>
      </c>
      <c r="P352" s="4" t="s">
        <v>76</v>
      </c>
    </row>
    <row r="353" spans="1:16" x14ac:dyDescent="0.3">
      <c r="A353" s="4">
        <v>2023</v>
      </c>
      <c r="B353" s="4" t="s">
        <v>29</v>
      </c>
      <c r="C353" s="4" t="s">
        <v>16</v>
      </c>
      <c r="D353" s="4" t="s">
        <v>17</v>
      </c>
      <c r="E353" s="4">
        <v>123</v>
      </c>
      <c r="F353" s="4">
        <v>417</v>
      </c>
      <c r="G353" s="4">
        <v>180</v>
      </c>
      <c r="H353" s="4">
        <v>51.29</v>
      </c>
      <c r="I353" s="4">
        <v>22.14</v>
      </c>
      <c r="J353" s="4">
        <v>29.15</v>
      </c>
      <c r="K353" s="4">
        <v>3.41</v>
      </c>
      <c r="L353" s="4">
        <v>158</v>
      </c>
      <c r="M353" s="4" t="s">
        <v>37</v>
      </c>
      <c r="N353" s="4" t="s">
        <v>24</v>
      </c>
      <c r="O353" s="4" t="s">
        <v>63</v>
      </c>
      <c r="P353" s="4" t="s">
        <v>74</v>
      </c>
    </row>
    <row r="354" spans="1:16" x14ac:dyDescent="0.3">
      <c r="A354" s="4">
        <v>2024</v>
      </c>
      <c r="B354" s="4" t="s">
        <v>32</v>
      </c>
      <c r="C354" s="4" t="s">
        <v>22</v>
      </c>
      <c r="D354" s="4" t="s">
        <v>23</v>
      </c>
      <c r="E354" s="4">
        <v>146</v>
      </c>
      <c r="F354" s="4">
        <v>157</v>
      </c>
      <c r="G354" s="4">
        <v>66</v>
      </c>
      <c r="H354" s="4">
        <v>22.92</v>
      </c>
      <c r="I354" s="4">
        <v>9.64</v>
      </c>
      <c r="J354" s="4">
        <v>13.29</v>
      </c>
      <c r="K354" s="4">
        <v>11.8</v>
      </c>
      <c r="L354" s="4">
        <v>190</v>
      </c>
      <c r="M354" s="4" t="s">
        <v>28</v>
      </c>
      <c r="N354" s="4" t="s">
        <v>38</v>
      </c>
      <c r="O354" s="4" t="s">
        <v>44</v>
      </c>
      <c r="P354" s="4" t="s">
        <v>73</v>
      </c>
    </row>
    <row r="355" spans="1:16" x14ac:dyDescent="0.3">
      <c r="A355" s="4">
        <v>2023</v>
      </c>
      <c r="B355" s="4" t="s">
        <v>41</v>
      </c>
      <c r="C355" s="4" t="s">
        <v>26</v>
      </c>
      <c r="D355" s="4" t="s">
        <v>52</v>
      </c>
      <c r="E355" s="4">
        <v>206</v>
      </c>
      <c r="F355" s="4">
        <v>351</v>
      </c>
      <c r="G355" s="4">
        <v>139</v>
      </c>
      <c r="H355" s="4">
        <v>72.31</v>
      </c>
      <c r="I355" s="4">
        <v>28.63</v>
      </c>
      <c r="J355" s="4">
        <v>43.67</v>
      </c>
      <c r="K355" s="4">
        <v>-8.15</v>
      </c>
      <c r="L355" s="4">
        <v>174</v>
      </c>
      <c r="M355" s="4" t="s">
        <v>37</v>
      </c>
      <c r="N355" s="4" t="s">
        <v>24</v>
      </c>
      <c r="O355" s="4" t="s">
        <v>63</v>
      </c>
      <c r="P355" s="4" t="s">
        <v>74</v>
      </c>
    </row>
    <row r="356" spans="1:16" x14ac:dyDescent="0.3">
      <c r="A356" s="4">
        <v>2025</v>
      </c>
      <c r="B356" s="4" t="s">
        <v>57</v>
      </c>
      <c r="C356" s="4" t="s">
        <v>26</v>
      </c>
      <c r="D356" s="4" t="s">
        <v>27</v>
      </c>
      <c r="E356" s="4">
        <v>439</v>
      </c>
      <c r="F356" s="4">
        <v>75</v>
      </c>
      <c r="G356" s="4">
        <v>36</v>
      </c>
      <c r="H356" s="4">
        <v>32.92</v>
      </c>
      <c r="I356" s="4">
        <v>15.8</v>
      </c>
      <c r="J356" s="4">
        <v>17.12</v>
      </c>
      <c r="K356" s="4">
        <v>15.79</v>
      </c>
      <c r="L356" s="4">
        <v>48</v>
      </c>
      <c r="M356" s="4" t="s">
        <v>28</v>
      </c>
      <c r="N356" s="4" t="s">
        <v>19</v>
      </c>
      <c r="O356" s="4" t="s">
        <v>62</v>
      </c>
      <c r="P356" s="4" t="s">
        <v>76</v>
      </c>
    </row>
    <row r="357" spans="1:16" x14ac:dyDescent="0.3">
      <c r="A357" s="4">
        <v>2024</v>
      </c>
      <c r="B357" s="4" t="s">
        <v>57</v>
      </c>
      <c r="C357" s="4" t="s">
        <v>22</v>
      </c>
      <c r="D357" s="4" t="s">
        <v>53</v>
      </c>
      <c r="E357" s="4">
        <v>399</v>
      </c>
      <c r="F357" s="4">
        <v>147</v>
      </c>
      <c r="G357" s="4">
        <v>135</v>
      </c>
      <c r="H357" s="4">
        <v>58.65</v>
      </c>
      <c r="I357" s="4">
        <v>53.87</v>
      </c>
      <c r="J357" s="4">
        <v>4.79</v>
      </c>
      <c r="K357" s="4">
        <v>17.25</v>
      </c>
      <c r="L357" s="4">
        <v>180</v>
      </c>
      <c r="M357" s="4" t="s">
        <v>37</v>
      </c>
      <c r="N357" s="4" t="s">
        <v>24</v>
      </c>
      <c r="O357" s="4" t="s">
        <v>63</v>
      </c>
      <c r="P357" s="4" t="s">
        <v>75</v>
      </c>
    </row>
    <row r="358" spans="1:16" x14ac:dyDescent="0.3">
      <c r="A358" s="4">
        <v>2024</v>
      </c>
      <c r="B358" s="4" t="s">
        <v>39</v>
      </c>
      <c r="C358" s="4" t="s">
        <v>33</v>
      </c>
      <c r="D358" s="4" t="s">
        <v>54</v>
      </c>
      <c r="E358" s="4">
        <v>61</v>
      </c>
      <c r="F358" s="4">
        <v>61</v>
      </c>
      <c r="G358" s="4">
        <v>45</v>
      </c>
      <c r="H358" s="4">
        <v>3.72</v>
      </c>
      <c r="I358" s="4">
        <v>2.75</v>
      </c>
      <c r="J358" s="4">
        <v>0.98</v>
      </c>
      <c r="K358" s="4">
        <v>-6</v>
      </c>
      <c r="L358" s="4">
        <v>224</v>
      </c>
      <c r="M358" s="4" t="s">
        <v>18</v>
      </c>
      <c r="N358" s="4" t="s">
        <v>19</v>
      </c>
      <c r="O358" s="4" t="s">
        <v>62</v>
      </c>
      <c r="P358" s="4" t="s">
        <v>76</v>
      </c>
    </row>
    <row r="359" spans="1:16" x14ac:dyDescent="0.3">
      <c r="A359" s="4">
        <v>2025</v>
      </c>
      <c r="B359" s="4" t="s">
        <v>15</v>
      </c>
      <c r="C359" s="4" t="s">
        <v>35</v>
      </c>
      <c r="D359" s="4" t="s">
        <v>36</v>
      </c>
      <c r="E359" s="4">
        <v>389</v>
      </c>
      <c r="F359" s="4">
        <v>317</v>
      </c>
      <c r="G359" s="4">
        <v>270</v>
      </c>
      <c r="H359" s="4">
        <v>123.31</v>
      </c>
      <c r="I359" s="4">
        <v>105.03</v>
      </c>
      <c r="J359" s="4">
        <v>18.28</v>
      </c>
      <c r="K359" s="4">
        <v>3.58</v>
      </c>
      <c r="L359" s="4">
        <v>57</v>
      </c>
      <c r="M359" s="4" t="s">
        <v>28</v>
      </c>
      <c r="N359" s="4" t="s">
        <v>19</v>
      </c>
      <c r="O359" s="4" t="s">
        <v>62</v>
      </c>
      <c r="P359" s="4" t="s">
        <v>72</v>
      </c>
    </row>
    <row r="360" spans="1:16" x14ac:dyDescent="0.3">
      <c r="A360" s="4">
        <v>2025</v>
      </c>
      <c r="B360" s="4" t="s">
        <v>46</v>
      </c>
      <c r="C360" s="4" t="s">
        <v>22</v>
      </c>
      <c r="D360" s="4" t="s">
        <v>55</v>
      </c>
      <c r="E360" s="4">
        <v>269</v>
      </c>
      <c r="F360" s="4">
        <v>192</v>
      </c>
      <c r="G360" s="4">
        <v>166</v>
      </c>
      <c r="H360" s="4">
        <v>51.65</v>
      </c>
      <c r="I360" s="4">
        <v>44.65</v>
      </c>
      <c r="J360" s="4">
        <v>6.99</v>
      </c>
      <c r="K360" s="4">
        <v>0.38</v>
      </c>
      <c r="L360" s="4">
        <v>169</v>
      </c>
      <c r="M360" s="4" t="s">
        <v>18</v>
      </c>
      <c r="N360" s="4" t="s">
        <v>38</v>
      </c>
      <c r="O360" s="4" t="s">
        <v>44</v>
      </c>
      <c r="P360" s="4" t="s">
        <v>72</v>
      </c>
    </row>
    <row r="361" spans="1:16" x14ac:dyDescent="0.3">
      <c r="A361" s="4">
        <v>2024</v>
      </c>
      <c r="B361" s="4" t="s">
        <v>15</v>
      </c>
      <c r="C361" s="4" t="s">
        <v>16</v>
      </c>
      <c r="D361" s="4" t="s">
        <v>17</v>
      </c>
      <c r="E361" s="4">
        <v>300</v>
      </c>
      <c r="F361" s="4">
        <v>414</v>
      </c>
      <c r="G361" s="4">
        <v>259</v>
      </c>
      <c r="H361" s="4">
        <v>124.2</v>
      </c>
      <c r="I361" s="4">
        <v>77.7</v>
      </c>
      <c r="J361" s="4">
        <v>46.5</v>
      </c>
      <c r="K361" s="4">
        <v>-9.82</v>
      </c>
      <c r="L361" s="4">
        <v>199</v>
      </c>
      <c r="M361" s="4" t="s">
        <v>18</v>
      </c>
      <c r="N361" s="4" t="s">
        <v>24</v>
      </c>
      <c r="O361" s="4" t="s">
        <v>63</v>
      </c>
      <c r="P361" s="4" t="s">
        <v>71</v>
      </c>
    </row>
    <row r="362" spans="1:16" x14ac:dyDescent="0.3">
      <c r="A362" s="4">
        <v>2024</v>
      </c>
      <c r="B362" s="4" t="s">
        <v>41</v>
      </c>
      <c r="C362" s="4" t="s">
        <v>26</v>
      </c>
      <c r="D362" s="4" t="s">
        <v>58</v>
      </c>
      <c r="E362" s="4">
        <v>78</v>
      </c>
      <c r="F362" s="4">
        <v>471</v>
      </c>
      <c r="G362" s="4">
        <v>418</v>
      </c>
      <c r="H362" s="4">
        <v>36.74</v>
      </c>
      <c r="I362" s="4">
        <v>32.6</v>
      </c>
      <c r="J362" s="4">
        <v>4.13</v>
      </c>
      <c r="K362" s="4">
        <v>24.84</v>
      </c>
      <c r="L362" s="4">
        <v>107</v>
      </c>
      <c r="M362" s="4" t="s">
        <v>37</v>
      </c>
      <c r="N362" s="4" t="s">
        <v>31</v>
      </c>
      <c r="O362" s="4" t="s">
        <v>42</v>
      </c>
      <c r="P362" s="4" t="s">
        <v>74</v>
      </c>
    </row>
    <row r="363" spans="1:16" x14ac:dyDescent="0.3">
      <c r="A363" s="4">
        <v>2024</v>
      </c>
      <c r="B363" s="4" t="s">
        <v>46</v>
      </c>
      <c r="C363" s="4" t="s">
        <v>22</v>
      </c>
      <c r="D363" s="4" t="s">
        <v>53</v>
      </c>
      <c r="E363" s="4">
        <v>384</v>
      </c>
      <c r="F363" s="4">
        <v>157</v>
      </c>
      <c r="G363" s="4">
        <v>103</v>
      </c>
      <c r="H363" s="4">
        <v>60.29</v>
      </c>
      <c r="I363" s="4">
        <v>39.549999999999997</v>
      </c>
      <c r="J363" s="4">
        <v>20.74</v>
      </c>
      <c r="K363" s="4">
        <v>-4.57</v>
      </c>
      <c r="L363" s="4">
        <v>160</v>
      </c>
      <c r="M363" s="4" t="s">
        <v>28</v>
      </c>
      <c r="N363" s="4" t="s">
        <v>31</v>
      </c>
      <c r="O363" s="4" t="s">
        <v>42</v>
      </c>
      <c r="P363" s="4" t="s">
        <v>75</v>
      </c>
    </row>
    <row r="364" spans="1:16" x14ac:dyDescent="0.3">
      <c r="A364" s="4">
        <v>2023</v>
      </c>
      <c r="B364" s="4" t="s">
        <v>57</v>
      </c>
      <c r="C364" s="4" t="s">
        <v>22</v>
      </c>
      <c r="D364" s="4" t="s">
        <v>53</v>
      </c>
      <c r="E364" s="4">
        <v>496</v>
      </c>
      <c r="F364" s="4">
        <v>411</v>
      </c>
      <c r="G364" s="4">
        <v>87</v>
      </c>
      <c r="H364" s="4">
        <v>203.86</v>
      </c>
      <c r="I364" s="4">
        <v>43.15</v>
      </c>
      <c r="J364" s="4">
        <v>160.69999999999999</v>
      </c>
      <c r="K364" s="4">
        <v>19.34</v>
      </c>
      <c r="L364" s="4">
        <v>90</v>
      </c>
      <c r="M364" s="4" t="s">
        <v>28</v>
      </c>
      <c r="N364" s="4" t="s">
        <v>38</v>
      </c>
      <c r="O364" s="4" t="s">
        <v>44</v>
      </c>
      <c r="P364" s="4" t="s">
        <v>76</v>
      </c>
    </row>
    <row r="365" spans="1:16" x14ac:dyDescent="0.3">
      <c r="A365" s="4">
        <v>2025</v>
      </c>
      <c r="B365" s="4" t="s">
        <v>29</v>
      </c>
      <c r="C365" s="4" t="s">
        <v>16</v>
      </c>
      <c r="D365" s="4" t="s">
        <v>56</v>
      </c>
      <c r="E365" s="4">
        <v>351</v>
      </c>
      <c r="F365" s="4">
        <v>146</v>
      </c>
      <c r="G365" s="4">
        <v>74</v>
      </c>
      <c r="H365" s="4">
        <v>51.25</v>
      </c>
      <c r="I365" s="4">
        <v>25.97</v>
      </c>
      <c r="J365" s="4">
        <v>25.27</v>
      </c>
      <c r="K365" s="4">
        <v>7.88</v>
      </c>
      <c r="L365" s="4">
        <v>286</v>
      </c>
      <c r="M365" s="4" t="s">
        <v>18</v>
      </c>
      <c r="N365" s="4" t="s">
        <v>19</v>
      </c>
      <c r="O365" s="4" t="s">
        <v>62</v>
      </c>
      <c r="P365" s="4" t="s">
        <v>74</v>
      </c>
    </row>
    <row r="366" spans="1:16" x14ac:dyDescent="0.3">
      <c r="A366" s="4">
        <v>2023</v>
      </c>
      <c r="B366" s="4" t="s">
        <v>32</v>
      </c>
      <c r="C366" s="4" t="s">
        <v>22</v>
      </c>
      <c r="D366" s="4" t="s">
        <v>53</v>
      </c>
      <c r="E366" s="4">
        <v>496</v>
      </c>
      <c r="F366" s="4">
        <v>336</v>
      </c>
      <c r="G366" s="4">
        <v>155</v>
      </c>
      <c r="H366" s="4">
        <v>166.66</v>
      </c>
      <c r="I366" s="4">
        <v>76.88</v>
      </c>
      <c r="J366" s="4">
        <v>89.78</v>
      </c>
      <c r="K366" s="4">
        <v>-2.93</v>
      </c>
      <c r="L366" s="4">
        <v>295</v>
      </c>
      <c r="M366" s="4" t="s">
        <v>28</v>
      </c>
      <c r="N366" s="4" t="s">
        <v>19</v>
      </c>
      <c r="O366" s="4" t="s">
        <v>62</v>
      </c>
      <c r="P366" s="4" t="s">
        <v>72</v>
      </c>
    </row>
    <row r="367" spans="1:16" x14ac:dyDescent="0.3">
      <c r="A367" s="4">
        <v>2023</v>
      </c>
      <c r="B367" s="4" t="s">
        <v>41</v>
      </c>
      <c r="C367" s="4" t="s">
        <v>22</v>
      </c>
      <c r="D367" s="4" t="s">
        <v>23</v>
      </c>
      <c r="E367" s="4">
        <v>208</v>
      </c>
      <c r="F367" s="4">
        <v>451</v>
      </c>
      <c r="G367" s="4">
        <v>299</v>
      </c>
      <c r="H367" s="4">
        <v>93.81</v>
      </c>
      <c r="I367" s="4">
        <v>62.19</v>
      </c>
      <c r="J367" s="4">
        <v>31.62</v>
      </c>
      <c r="K367" s="4">
        <v>5.28</v>
      </c>
      <c r="L367" s="4">
        <v>172</v>
      </c>
      <c r="M367" s="4" t="s">
        <v>18</v>
      </c>
      <c r="N367" s="4" t="s">
        <v>19</v>
      </c>
      <c r="O367" s="4" t="s">
        <v>62</v>
      </c>
      <c r="P367" s="4" t="s">
        <v>72</v>
      </c>
    </row>
    <row r="368" spans="1:16" x14ac:dyDescent="0.3">
      <c r="A368" s="4">
        <v>2024</v>
      </c>
      <c r="B368" s="4" t="s">
        <v>46</v>
      </c>
      <c r="C368" s="4" t="s">
        <v>26</v>
      </c>
      <c r="D368" s="4" t="s">
        <v>58</v>
      </c>
      <c r="E368" s="4">
        <v>471</v>
      </c>
      <c r="F368" s="4">
        <v>159</v>
      </c>
      <c r="G368" s="4">
        <v>82</v>
      </c>
      <c r="H368" s="4">
        <v>74.89</v>
      </c>
      <c r="I368" s="4">
        <v>38.619999999999997</v>
      </c>
      <c r="J368" s="4">
        <v>36.270000000000003</v>
      </c>
      <c r="K368" s="4">
        <v>16.64</v>
      </c>
      <c r="L368" s="4">
        <v>130</v>
      </c>
      <c r="M368" s="4" t="s">
        <v>28</v>
      </c>
      <c r="N368" s="4" t="s">
        <v>31</v>
      </c>
      <c r="O368" s="4" t="s">
        <v>42</v>
      </c>
      <c r="P368" s="4" t="s">
        <v>73</v>
      </c>
    </row>
    <row r="369" spans="1:16" x14ac:dyDescent="0.3">
      <c r="A369" s="4">
        <v>2025</v>
      </c>
      <c r="B369" s="4" t="s">
        <v>21</v>
      </c>
      <c r="C369" s="4" t="s">
        <v>16</v>
      </c>
      <c r="D369" s="4" t="s">
        <v>30</v>
      </c>
      <c r="E369" s="4">
        <v>421</v>
      </c>
      <c r="F369" s="4">
        <v>276</v>
      </c>
      <c r="G369" s="4">
        <v>40</v>
      </c>
      <c r="H369" s="4">
        <v>116.2</v>
      </c>
      <c r="I369" s="4">
        <v>16.84</v>
      </c>
      <c r="J369" s="4">
        <v>99.36</v>
      </c>
      <c r="K369" s="4">
        <v>-2.2799999999999998</v>
      </c>
      <c r="L369" s="4">
        <v>34</v>
      </c>
      <c r="M369" s="4" t="s">
        <v>18</v>
      </c>
      <c r="N369" s="4" t="s">
        <v>38</v>
      </c>
      <c r="O369" s="4" t="s">
        <v>44</v>
      </c>
      <c r="P369" s="4" t="s">
        <v>74</v>
      </c>
    </row>
    <row r="370" spans="1:16" x14ac:dyDescent="0.3">
      <c r="A370" s="4">
        <v>2023</v>
      </c>
      <c r="B370" s="4" t="s">
        <v>51</v>
      </c>
      <c r="C370" s="4" t="s">
        <v>26</v>
      </c>
      <c r="D370" s="4" t="s">
        <v>58</v>
      </c>
      <c r="E370" s="4">
        <v>189</v>
      </c>
      <c r="F370" s="4">
        <v>229</v>
      </c>
      <c r="G370" s="4">
        <v>101</v>
      </c>
      <c r="H370" s="4">
        <v>43.28</v>
      </c>
      <c r="I370" s="4">
        <v>19.09</v>
      </c>
      <c r="J370" s="4">
        <v>24.19</v>
      </c>
      <c r="K370" s="4">
        <v>5.83</v>
      </c>
      <c r="L370" s="4">
        <v>142</v>
      </c>
      <c r="M370" s="4" t="s">
        <v>37</v>
      </c>
      <c r="N370" s="4" t="s">
        <v>31</v>
      </c>
      <c r="O370" s="4" t="s">
        <v>42</v>
      </c>
      <c r="P370" s="4" t="s">
        <v>71</v>
      </c>
    </row>
    <row r="371" spans="1:16" x14ac:dyDescent="0.3">
      <c r="A371" s="4">
        <v>2023</v>
      </c>
      <c r="B371" s="4" t="s">
        <v>39</v>
      </c>
      <c r="C371" s="4" t="s">
        <v>26</v>
      </c>
      <c r="D371" s="4" t="s">
        <v>52</v>
      </c>
      <c r="E371" s="4">
        <v>183</v>
      </c>
      <c r="F371" s="4">
        <v>492</v>
      </c>
      <c r="G371" s="4">
        <v>427</v>
      </c>
      <c r="H371" s="4">
        <v>90.04</v>
      </c>
      <c r="I371" s="4">
        <v>78.14</v>
      </c>
      <c r="J371" s="4">
        <v>11.89</v>
      </c>
      <c r="K371" s="4">
        <v>17.47</v>
      </c>
      <c r="L371" s="4">
        <v>203</v>
      </c>
      <c r="M371" s="4" t="s">
        <v>37</v>
      </c>
      <c r="N371" s="4" t="s">
        <v>31</v>
      </c>
      <c r="O371" s="4" t="s">
        <v>42</v>
      </c>
      <c r="P371" s="4" t="s">
        <v>74</v>
      </c>
    </row>
    <row r="372" spans="1:16" x14ac:dyDescent="0.3">
      <c r="A372" s="4">
        <v>2024</v>
      </c>
      <c r="B372" s="4" t="s">
        <v>29</v>
      </c>
      <c r="C372" s="4" t="s">
        <v>22</v>
      </c>
      <c r="D372" s="4" t="s">
        <v>55</v>
      </c>
      <c r="E372" s="4">
        <v>201</v>
      </c>
      <c r="F372" s="4">
        <v>129</v>
      </c>
      <c r="G372" s="4">
        <v>45</v>
      </c>
      <c r="H372" s="4">
        <v>25.93</v>
      </c>
      <c r="I372" s="4">
        <v>9.0399999999999991</v>
      </c>
      <c r="J372" s="4">
        <v>16.88</v>
      </c>
      <c r="K372" s="4">
        <v>13.6</v>
      </c>
      <c r="L372" s="4">
        <v>28</v>
      </c>
      <c r="M372" s="4" t="s">
        <v>18</v>
      </c>
      <c r="N372" s="4" t="s">
        <v>19</v>
      </c>
      <c r="O372" s="4" t="s">
        <v>62</v>
      </c>
      <c r="P372" s="4" t="s">
        <v>72</v>
      </c>
    </row>
    <row r="373" spans="1:16" x14ac:dyDescent="0.3">
      <c r="A373" s="4">
        <v>2025</v>
      </c>
      <c r="B373" s="4" t="s">
        <v>39</v>
      </c>
      <c r="C373" s="4" t="s">
        <v>22</v>
      </c>
      <c r="D373" s="4" t="s">
        <v>55</v>
      </c>
      <c r="E373" s="4">
        <v>242</v>
      </c>
      <c r="F373" s="4">
        <v>205</v>
      </c>
      <c r="G373" s="4">
        <v>145</v>
      </c>
      <c r="H373" s="4">
        <v>49.61</v>
      </c>
      <c r="I373" s="4">
        <v>35.090000000000003</v>
      </c>
      <c r="J373" s="4">
        <v>14.52</v>
      </c>
      <c r="K373" s="4">
        <v>-2.88</v>
      </c>
      <c r="L373" s="4">
        <v>68</v>
      </c>
      <c r="M373" s="4" t="s">
        <v>18</v>
      </c>
      <c r="N373" s="4" t="s">
        <v>38</v>
      </c>
      <c r="O373" s="4" t="s">
        <v>44</v>
      </c>
      <c r="P373" s="4" t="s">
        <v>74</v>
      </c>
    </row>
    <row r="374" spans="1:16" x14ac:dyDescent="0.3">
      <c r="A374" s="4">
        <v>2023</v>
      </c>
      <c r="B374" s="4" t="s">
        <v>21</v>
      </c>
      <c r="C374" s="4" t="s">
        <v>26</v>
      </c>
      <c r="D374" s="4" t="s">
        <v>58</v>
      </c>
      <c r="E374" s="4">
        <v>415</v>
      </c>
      <c r="F374" s="4">
        <v>232</v>
      </c>
      <c r="G374" s="4">
        <v>52</v>
      </c>
      <c r="H374" s="4">
        <v>96.28</v>
      </c>
      <c r="I374" s="4">
        <v>21.58</v>
      </c>
      <c r="J374" s="4">
        <v>74.7</v>
      </c>
      <c r="K374" s="4">
        <v>15.15</v>
      </c>
      <c r="L374" s="4">
        <v>24</v>
      </c>
      <c r="M374" s="4" t="s">
        <v>28</v>
      </c>
      <c r="N374" s="4" t="s">
        <v>31</v>
      </c>
      <c r="O374" s="4" t="s">
        <v>42</v>
      </c>
      <c r="P374" s="4" t="s">
        <v>71</v>
      </c>
    </row>
    <row r="375" spans="1:16" x14ac:dyDescent="0.3">
      <c r="A375" s="4">
        <v>2025</v>
      </c>
      <c r="B375" s="4" t="s">
        <v>45</v>
      </c>
      <c r="C375" s="4" t="s">
        <v>33</v>
      </c>
      <c r="D375" s="4" t="s">
        <v>34</v>
      </c>
      <c r="E375" s="4">
        <v>380</v>
      </c>
      <c r="F375" s="4">
        <v>60</v>
      </c>
      <c r="G375" s="4">
        <v>40</v>
      </c>
      <c r="H375" s="4">
        <v>22.8</v>
      </c>
      <c r="I375" s="4">
        <v>15.2</v>
      </c>
      <c r="J375" s="4">
        <v>7.6</v>
      </c>
      <c r="K375" s="4">
        <v>-4.04</v>
      </c>
      <c r="L375" s="4">
        <v>97</v>
      </c>
      <c r="M375" s="4" t="s">
        <v>18</v>
      </c>
      <c r="N375" s="4" t="s">
        <v>31</v>
      </c>
      <c r="O375" s="4" t="s">
        <v>42</v>
      </c>
      <c r="P375" s="4" t="s">
        <v>74</v>
      </c>
    </row>
    <row r="376" spans="1:16" x14ac:dyDescent="0.3">
      <c r="A376" s="4">
        <v>2023</v>
      </c>
      <c r="B376" s="4" t="s">
        <v>39</v>
      </c>
      <c r="C376" s="4" t="s">
        <v>33</v>
      </c>
      <c r="D376" s="4" t="s">
        <v>48</v>
      </c>
      <c r="E376" s="4">
        <v>471</v>
      </c>
      <c r="F376" s="4">
        <v>167</v>
      </c>
      <c r="G376" s="4">
        <v>51</v>
      </c>
      <c r="H376" s="4">
        <v>78.66</v>
      </c>
      <c r="I376" s="4">
        <v>24.02</v>
      </c>
      <c r="J376" s="4">
        <v>54.64</v>
      </c>
      <c r="K376" s="4">
        <v>-3.24</v>
      </c>
      <c r="L376" s="4">
        <v>165</v>
      </c>
      <c r="M376" s="4" t="s">
        <v>28</v>
      </c>
      <c r="N376" s="4" t="s">
        <v>38</v>
      </c>
      <c r="O376" s="4" t="s">
        <v>44</v>
      </c>
      <c r="P376" s="4" t="s">
        <v>74</v>
      </c>
    </row>
    <row r="377" spans="1:16" x14ac:dyDescent="0.3">
      <c r="A377" s="4">
        <v>2023</v>
      </c>
      <c r="B377" s="4" t="s">
        <v>47</v>
      </c>
      <c r="C377" s="4" t="s">
        <v>16</v>
      </c>
      <c r="D377" s="4" t="s">
        <v>17</v>
      </c>
      <c r="E377" s="4">
        <v>192</v>
      </c>
      <c r="F377" s="4">
        <v>428</v>
      </c>
      <c r="G377" s="4">
        <v>113</v>
      </c>
      <c r="H377" s="4">
        <v>82.18</v>
      </c>
      <c r="I377" s="4">
        <v>21.7</v>
      </c>
      <c r="J377" s="4">
        <v>60.48</v>
      </c>
      <c r="K377" s="4">
        <v>17.84</v>
      </c>
      <c r="L377" s="4">
        <v>146</v>
      </c>
      <c r="M377" s="4" t="s">
        <v>37</v>
      </c>
      <c r="N377" s="4" t="s">
        <v>38</v>
      </c>
      <c r="O377" s="4" t="s">
        <v>44</v>
      </c>
      <c r="P377" s="4" t="s">
        <v>72</v>
      </c>
    </row>
    <row r="378" spans="1:16" x14ac:dyDescent="0.3">
      <c r="A378" s="4">
        <v>2024</v>
      </c>
      <c r="B378" s="4" t="s">
        <v>39</v>
      </c>
      <c r="C378" s="4" t="s">
        <v>26</v>
      </c>
      <c r="D378" s="4" t="s">
        <v>58</v>
      </c>
      <c r="E378" s="4">
        <v>450</v>
      </c>
      <c r="F378" s="4">
        <v>234</v>
      </c>
      <c r="G378" s="4">
        <v>55</v>
      </c>
      <c r="H378" s="4">
        <v>105.3</v>
      </c>
      <c r="I378" s="4">
        <v>24.75</v>
      </c>
      <c r="J378" s="4">
        <v>80.55</v>
      </c>
      <c r="K378" s="4">
        <v>10.72</v>
      </c>
      <c r="L378" s="4">
        <v>116</v>
      </c>
      <c r="M378" s="4" t="s">
        <v>18</v>
      </c>
      <c r="N378" s="4" t="s">
        <v>19</v>
      </c>
      <c r="O378" s="4" t="s">
        <v>62</v>
      </c>
      <c r="P378" s="4" t="s">
        <v>72</v>
      </c>
    </row>
    <row r="379" spans="1:16" x14ac:dyDescent="0.3">
      <c r="A379" s="4">
        <v>2023</v>
      </c>
      <c r="B379" s="4" t="s">
        <v>49</v>
      </c>
      <c r="C379" s="4" t="s">
        <v>26</v>
      </c>
      <c r="D379" s="4" t="s">
        <v>52</v>
      </c>
      <c r="E379" s="4">
        <v>95</v>
      </c>
      <c r="F379" s="4">
        <v>484</v>
      </c>
      <c r="G379" s="4">
        <v>355</v>
      </c>
      <c r="H379" s="4">
        <v>45.98</v>
      </c>
      <c r="I379" s="4">
        <v>33.729999999999997</v>
      </c>
      <c r="J379" s="4">
        <v>12.25</v>
      </c>
      <c r="K379" s="4">
        <v>18.13</v>
      </c>
      <c r="L379" s="4">
        <v>218</v>
      </c>
      <c r="M379" s="4" t="s">
        <v>37</v>
      </c>
      <c r="N379" s="4" t="s">
        <v>24</v>
      </c>
      <c r="O379" s="4" t="s">
        <v>63</v>
      </c>
      <c r="P379" s="4" t="s">
        <v>73</v>
      </c>
    </row>
    <row r="380" spans="1:16" x14ac:dyDescent="0.3">
      <c r="A380" s="4">
        <v>2024</v>
      </c>
      <c r="B380" s="4" t="s">
        <v>45</v>
      </c>
      <c r="C380" s="4" t="s">
        <v>35</v>
      </c>
      <c r="D380" s="4" t="s">
        <v>43</v>
      </c>
      <c r="E380" s="4">
        <v>439</v>
      </c>
      <c r="F380" s="4">
        <v>243</v>
      </c>
      <c r="G380" s="4">
        <v>196</v>
      </c>
      <c r="H380" s="4">
        <v>106.68</v>
      </c>
      <c r="I380" s="4">
        <v>86.04</v>
      </c>
      <c r="J380" s="4">
        <v>20.63</v>
      </c>
      <c r="K380" s="4">
        <v>7.09</v>
      </c>
      <c r="L380" s="4">
        <v>257</v>
      </c>
      <c r="M380" s="4" t="s">
        <v>28</v>
      </c>
      <c r="N380" s="4" t="s">
        <v>38</v>
      </c>
      <c r="O380" s="4" t="s">
        <v>44</v>
      </c>
      <c r="P380" s="4" t="s">
        <v>75</v>
      </c>
    </row>
    <row r="381" spans="1:16" x14ac:dyDescent="0.3">
      <c r="A381" s="4">
        <v>2024</v>
      </c>
      <c r="B381" s="4" t="s">
        <v>47</v>
      </c>
      <c r="C381" s="4" t="s">
        <v>33</v>
      </c>
      <c r="D381" s="4" t="s">
        <v>50</v>
      </c>
      <c r="E381" s="4">
        <v>256</v>
      </c>
      <c r="F381" s="4">
        <v>290</v>
      </c>
      <c r="G381" s="4">
        <v>249</v>
      </c>
      <c r="H381" s="4">
        <v>74.239999999999995</v>
      </c>
      <c r="I381" s="4">
        <v>63.74</v>
      </c>
      <c r="J381" s="4">
        <v>10.5</v>
      </c>
      <c r="K381" s="4">
        <v>6.65</v>
      </c>
      <c r="L381" s="4">
        <v>262</v>
      </c>
      <c r="M381" s="4" t="s">
        <v>18</v>
      </c>
      <c r="N381" s="4" t="s">
        <v>31</v>
      </c>
      <c r="O381" s="4" t="s">
        <v>42</v>
      </c>
      <c r="P381" s="4" t="s">
        <v>76</v>
      </c>
    </row>
    <row r="382" spans="1:16" x14ac:dyDescent="0.3">
      <c r="A382" s="4">
        <v>2025</v>
      </c>
      <c r="B382" s="4" t="s">
        <v>49</v>
      </c>
      <c r="C382" s="4" t="s">
        <v>16</v>
      </c>
      <c r="D382" s="4" t="s">
        <v>30</v>
      </c>
      <c r="E382" s="4">
        <v>328</v>
      </c>
      <c r="F382" s="4">
        <v>472</v>
      </c>
      <c r="G382" s="4">
        <v>249</v>
      </c>
      <c r="H382" s="4">
        <v>154.82</v>
      </c>
      <c r="I382" s="4">
        <v>81.67</v>
      </c>
      <c r="J382" s="4">
        <v>73.14</v>
      </c>
      <c r="K382" s="4">
        <v>3.05</v>
      </c>
      <c r="L382" s="4">
        <v>293</v>
      </c>
      <c r="M382" s="4" t="s">
        <v>28</v>
      </c>
      <c r="N382" s="4" t="s">
        <v>31</v>
      </c>
      <c r="O382" s="4" t="s">
        <v>42</v>
      </c>
      <c r="P382" s="4" t="s">
        <v>73</v>
      </c>
    </row>
    <row r="383" spans="1:16" x14ac:dyDescent="0.3">
      <c r="A383" s="4">
        <v>2025</v>
      </c>
      <c r="B383" s="4" t="s">
        <v>15</v>
      </c>
      <c r="C383" s="4" t="s">
        <v>33</v>
      </c>
      <c r="D383" s="4" t="s">
        <v>48</v>
      </c>
      <c r="E383" s="4">
        <v>299</v>
      </c>
      <c r="F383" s="4">
        <v>371</v>
      </c>
      <c r="G383" s="4">
        <v>192</v>
      </c>
      <c r="H383" s="4">
        <v>110.93</v>
      </c>
      <c r="I383" s="4">
        <v>57.41</v>
      </c>
      <c r="J383" s="4">
        <v>53.52</v>
      </c>
      <c r="K383" s="4">
        <v>21.03</v>
      </c>
      <c r="L383" s="4">
        <v>266</v>
      </c>
      <c r="M383" s="4" t="s">
        <v>18</v>
      </c>
      <c r="N383" s="4" t="s">
        <v>31</v>
      </c>
      <c r="O383" s="4" t="s">
        <v>42</v>
      </c>
      <c r="P383" s="4" t="s">
        <v>71</v>
      </c>
    </row>
    <row r="384" spans="1:16" x14ac:dyDescent="0.3">
      <c r="A384" s="4">
        <v>2024</v>
      </c>
      <c r="B384" s="4" t="s">
        <v>49</v>
      </c>
      <c r="C384" s="4" t="s">
        <v>33</v>
      </c>
      <c r="D384" s="4" t="s">
        <v>48</v>
      </c>
      <c r="E384" s="4">
        <v>200</v>
      </c>
      <c r="F384" s="4">
        <v>128</v>
      </c>
      <c r="G384" s="4">
        <v>33</v>
      </c>
      <c r="H384" s="4">
        <v>25.6</v>
      </c>
      <c r="I384" s="4">
        <v>6.6</v>
      </c>
      <c r="J384" s="4">
        <v>19</v>
      </c>
      <c r="K384" s="4">
        <v>11.48</v>
      </c>
      <c r="L384" s="4">
        <v>52</v>
      </c>
      <c r="M384" s="4" t="s">
        <v>37</v>
      </c>
      <c r="N384" s="4" t="s">
        <v>24</v>
      </c>
      <c r="O384" s="4" t="s">
        <v>63</v>
      </c>
      <c r="P384" s="4" t="s">
        <v>76</v>
      </c>
    </row>
    <row r="385" spans="1:16" x14ac:dyDescent="0.3">
      <c r="A385" s="4">
        <v>2023</v>
      </c>
      <c r="B385" s="4" t="s">
        <v>32</v>
      </c>
      <c r="C385" s="4" t="s">
        <v>33</v>
      </c>
      <c r="D385" s="4" t="s">
        <v>48</v>
      </c>
      <c r="E385" s="4">
        <v>404</v>
      </c>
      <c r="F385" s="4">
        <v>341</v>
      </c>
      <c r="G385" s="4">
        <v>78</v>
      </c>
      <c r="H385" s="4">
        <v>137.76</v>
      </c>
      <c r="I385" s="4">
        <v>31.51</v>
      </c>
      <c r="J385" s="4">
        <v>106.25</v>
      </c>
      <c r="K385" s="4">
        <v>-5.87</v>
      </c>
      <c r="L385" s="4">
        <v>128</v>
      </c>
      <c r="M385" s="4" t="s">
        <v>37</v>
      </c>
      <c r="N385" s="4" t="s">
        <v>19</v>
      </c>
      <c r="O385" s="4" t="s">
        <v>62</v>
      </c>
      <c r="P385" s="4" t="s">
        <v>76</v>
      </c>
    </row>
    <row r="386" spans="1:16" x14ac:dyDescent="0.3">
      <c r="A386" s="4">
        <v>2024</v>
      </c>
      <c r="B386" s="4" t="s">
        <v>49</v>
      </c>
      <c r="C386" s="4" t="s">
        <v>16</v>
      </c>
      <c r="D386" s="4" t="s">
        <v>56</v>
      </c>
      <c r="E386" s="4">
        <v>394</v>
      </c>
      <c r="F386" s="4">
        <v>442</v>
      </c>
      <c r="G386" s="4">
        <v>31</v>
      </c>
      <c r="H386" s="4">
        <v>174.15</v>
      </c>
      <c r="I386" s="4">
        <v>12.21</v>
      </c>
      <c r="J386" s="4">
        <v>161.93</v>
      </c>
      <c r="K386" s="4">
        <v>3.92</v>
      </c>
      <c r="L386" s="4">
        <v>200</v>
      </c>
      <c r="M386" s="4" t="s">
        <v>18</v>
      </c>
      <c r="N386" s="4" t="s">
        <v>24</v>
      </c>
      <c r="O386" s="4" t="s">
        <v>63</v>
      </c>
      <c r="P386" s="4" t="s">
        <v>71</v>
      </c>
    </row>
    <row r="387" spans="1:16" x14ac:dyDescent="0.3">
      <c r="A387" s="4">
        <v>2024</v>
      </c>
      <c r="B387" s="4" t="s">
        <v>49</v>
      </c>
      <c r="C387" s="4" t="s">
        <v>22</v>
      </c>
      <c r="D387" s="4" t="s">
        <v>55</v>
      </c>
      <c r="E387" s="4">
        <v>333</v>
      </c>
      <c r="F387" s="4">
        <v>374</v>
      </c>
      <c r="G387" s="4">
        <v>261</v>
      </c>
      <c r="H387" s="4">
        <v>124.54</v>
      </c>
      <c r="I387" s="4">
        <v>86.91</v>
      </c>
      <c r="J387" s="4">
        <v>37.630000000000003</v>
      </c>
      <c r="K387" s="4">
        <v>-9.09</v>
      </c>
      <c r="L387" s="4">
        <v>129</v>
      </c>
      <c r="M387" s="4" t="s">
        <v>18</v>
      </c>
      <c r="N387" s="4" t="s">
        <v>31</v>
      </c>
      <c r="O387" s="4" t="s">
        <v>42</v>
      </c>
      <c r="P387" s="4" t="s">
        <v>73</v>
      </c>
    </row>
    <row r="388" spans="1:16" x14ac:dyDescent="0.3">
      <c r="A388" s="4">
        <v>2025</v>
      </c>
      <c r="B388" s="4" t="s">
        <v>29</v>
      </c>
      <c r="C388" s="4" t="s">
        <v>35</v>
      </c>
      <c r="D388" s="4" t="s">
        <v>40</v>
      </c>
      <c r="E388" s="4">
        <v>81</v>
      </c>
      <c r="F388" s="4">
        <v>55</v>
      </c>
      <c r="G388" s="4">
        <v>31</v>
      </c>
      <c r="H388" s="4">
        <v>4.46</v>
      </c>
      <c r="I388" s="4">
        <v>2.5099999999999998</v>
      </c>
      <c r="J388" s="4">
        <v>1.94</v>
      </c>
      <c r="K388" s="4">
        <v>1.03</v>
      </c>
      <c r="L388" s="4">
        <v>61</v>
      </c>
      <c r="M388" s="4" t="s">
        <v>18</v>
      </c>
      <c r="N388" s="4" t="s">
        <v>19</v>
      </c>
      <c r="O388" s="4" t="s">
        <v>62</v>
      </c>
      <c r="P388" s="4" t="s">
        <v>74</v>
      </c>
    </row>
    <row r="389" spans="1:16" x14ac:dyDescent="0.3">
      <c r="A389" s="4">
        <v>2023</v>
      </c>
      <c r="B389" s="4" t="s">
        <v>39</v>
      </c>
      <c r="C389" s="4" t="s">
        <v>16</v>
      </c>
      <c r="D389" s="4" t="s">
        <v>56</v>
      </c>
      <c r="E389" s="4">
        <v>258</v>
      </c>
      <c r="F389" s="4">
        <v>307</v>
      </c>
      <c r="G389" s="4">
        <v>221</v>
      </c>
      <c r="H389" s="4">
        <v>79.209999999999994</v>
      </c>
      <c r="I389" s="4">
        <v>57.02</v>
      </c>
      <c r="J389" s="4">
        <v>22.19</v>
      </c>
      <c r="K389" s="4">
        <v>10.050000000000001</v>
      </c>
      <c r="L389" s="4">
        <v>201</v>
      </c>
      <c r="M389" s="4" t="s">
        <v>28</v>
      </c>
      <c r="N389" s="4" t="s">
        <v>31</v>
      </c>
      <c r="O389" s="4" t="s">
        <v>42</v>
      </c>
      <c r="P389" s="4" t="s">
        <v>74</v>
      </c>
    </row>
    <row r="390" spans="1:16" x14ac:dyDescent="0.3">
      <c r="A390" s="4">
        <v>2023</v>
      </c>
      <c r="B390" s="4" t="s">
        <v>46</v>
      </c>
      <c r="C390" s="4" t="s">
        <v>26</v>
      </c>
      <c r="D390" s="4" t="s">
        <v>58</v>
      </c>
      <c r="E390" s="4">
        <v>374</v>
      </c>
      <c r="F390" s="4">
        <v>401</v>
      </c>
      <c r="G390" s="4">
        <v>380</v>
      </c>
      <c r="H390" s="4">
        <v>149.97</v>
      </c>
      <c r="I390" s="4">
        <v>142.12</v>
      </c>
      <c r="J390" s="4">
        <v>7.85</v>
      </c>
      <c r="K390" s="4">
        <v>7.15</v>
      </c>
      <c r="L390" s="4">
        <v>237</v>
      </c>
      <c r="M390" s="4" t="s">
        <v>37</v>
      </c>
      <c r="N390" s="4" t="s">
        <v>19</v>
      </c>
      <c r="O390" s="4" t="s">
        <v>62</v>
      </c>
      <c r="P390" s="4" t="s">
        <v>73</v>
      </c>
    </row>
    <row r="391" spans="1:16" x14ac:dyDescent="0.3">
      <c r="A391" s="4">
        <v>2024</v>
      </c>
      <c r="B391" s="4" t="s">
        <v>49</v>
      </c>
      <c r="C391" s="4" t="s">
        <v>26</v>
      </c>
      <c r="D391" s="4" t="s">
        <v>27</v>
      </c>
      <c r="E391" s="4">
        <v>196</v>
      </c>
      <c r="F391" s="4">
        <v>337</v>
      </c>
      <c r="G391" s="4">
        <v>70</v>
      </c>
      <c r="H391" s="4">
        <v>66.05</v>
      </c>
      <c r="I391" s="4">
        <v>13.72</v>
      </c>
      <c r="J391" s="4">
        <v>52.33</v>
      </c>
      <c r="K391" s="4">
        <v>10.66</v>
      </c>
      <c r="L391" s="4">
        <v>129</v>
      </c>
      <c r="M391" s="4" t="s">
        <v>18</v>
      </c>
      <c r="N391" s="4" t="s">
        <v>24</v>
      </c>
      <c r="O391" s="4" t="s">
        <v>63</v>
      </c>
      <c r="P391" s="4" t="s">
        <v>74</v>
      </c>
    </row>
    <row r="392" spans="1:16" x14ac:dyDescent="0.3">
      <c r="A392" s="4">
        <v>2025</v>
      </c>
      <c r="B392" s="4" t="s">
        <v>41</v>
      </c>
      <c r="C392" s="4" t="s">
        <v>35</v>
      </c>
      <c r="D392" s="4" t="s">
        <v>43</v>
      </c>
      <c r="E392" s="4">
        <v>302</v>
      </c>
      <c r="F392" s="4">
        <v>274</v>
      </c>
      <c r="G392" s="4">
        <v>132</v>
      </c>
      <c r="H392" s="4">
        <v>82.75</v>
      </c>
      <c r="I392" s="4">
        <v>39.86</v>
      </c>
      <c r="J392" s="4">
        <v>42.88</v>
      </c>
      <c r="K392" s="4">
        <v>23.38</v>
      </c>
      <c r="L392" s="4">
        <v>192</v>
      </c>
      <c r="M392" s="4" t="s">
        <v>18</v>
      </c>
      <c r="N392" s="4" t="s">
        <v>38</v>
      </c>
      <c r="O392" s="4" t="s">
        <v>44</v>
      </c>
      <c r="P392" s="4" t="s">
        <v>71</v>
      </c>
    </row>
    <row r="393" spans="1:16" x14ac:dyDescent="0.3">
      <c r="A393" s="4">
        <v>2025</v>
      </c>
      <c r="B393" s="4" t="s">
        <v>57</v>
      </c>
      <c r="C393" s="4" t="s">
        <v>16</v>
      </c>
      <c r="D393" s="4" t="s">
        <v>56</v>
      </c>
      <c r="E393" s="4">
        <v>112</v>
      </c>
      <c r="F393" s="4">
        <v>309</v>
      </c>
      <c r="G393" s="4">
        <v>281</v>
      </c>
      <c r="H393" s="4">
        <v>34.61</v>
      </c>
      <c r="I393" s="4">
        <v>31.47</v>
      </c>
      <c r="J393" s="4">
        <v>3.14</v>
      </c>
      <c r="K393" s="4">
        <v>13.11</v>
      </c>
      <c r="L393" s="4">
        <v>280</v>
      </c>
      <c r="M393" s="4" t="s">
        <v>37</v>
      </c>
      <c r="N393" s="4" t="s">
        <v>31</v>
      </c>
      <c r="O393" s="4" t="s">
        <v>42</v>
      </c>
      <c r="P393" s="4" t="s">
        <v>75</v>
      </c>
    </row>
    <row r="394" spans="1:16" x14ac:dyDescent="0.3">
      <c r="A394" s="4">
        <v>2023</v>
      </c>
      <c r="B394" s="4" t="s">
        <v>47</v>
      </c>
      <c r="C394" s="4" t="s">
        <v>22</v>
      </c>
      <c r="D394" s="4" t="s">
        <v>55</v>
      </c>
      <c r="E394" s="4">
        <v>181</v>
      </c>
      <c r="F394" s="4">
        <v>120</v>
      </c>
      <c r="G394" s="4">
        <v>90</v>
      </c>
      <c r="H394" s="4">
        <v>21.72</v>
      </c>
      <c r="I394" s="4">
        <v>16.29</v>
      </c>
      <c r="J394" s="4">
        <v>5.43</v>
      </c>
      <c r="K394" s="4">
        <v>10.039999999999999</v>
      </c>
      <c r="L394" s="4">
        <v>61</v>
      </c>
      <c r="M394" s="4" t="s">
        <v>18</v>
      </c>
      <c r="N394" s="4" t="s">
        <v>24</v>
      </c>
      <c r="O394" s="4" t="s">
        <v>63</v>
      </c>
      <c r="P394" s="4" t="s">
        <v>74</v>
      </c>
    </row>
    <row r="395" spans="1:16" x14ac:dyDescent="0.3">
      <c r="A395" s="4">
        <v>2024</v>
      </c>
      <c r="B395" s="4" t="s">
        <v>32</v>
      </c>
      <c r="C395" s="4" t="s">
        <v>33</v>
      </c>
      <c r="D395" s="4" t="s">
        <v>54</v>
      </c>
      <c r="E395" s="4">
        <v>372</v>
      </c>
      <c r="F395" s="4">
        <v>184</v>
      </c>
      <c r="G395" s="4">
        <v>155</v>
      </c>
      <c r="H395" s="4">
        <v>68.45</v>
      </c>
      <c r="I395" s="4">
        <v>57.66</v>
      </c>
      <c r="J395" s="4">
        <v>10.79</v>
      </c>
      <c r="K395" s="4">
        <v>14.41</v>
      </c>
      <c r="L395" s="4">
        <v>68</v>
      </c>
      <c r="M395" s="4" t="s">
        <v>28</v>
      </c>
      <c r="N395" s="4" t="s">
        <v>24</v>
      </c>
      <c r="O395" s="4" t="s">
        <v>63</v>
      </c>
      <c r="P395" s="4" t="s">
        <v>73</v>
      </c>
    </row>
    <row r="396" spans="1:16" x14ac:dyDescent="0.3">
      <c r="A396" s="4">
        <v>2024</v>
      </c>
      <c r="B396" s="4" t="s">
        <v>51</v>
      </c>
      <c r="C396" s="4" t="s">
        <v>16</v>
      </c>
      <c r="D396" s="4" t="s">
        <v>30</v>
      </c>
      <c r="E396" s="4">
        <v>180</v>
      </c>
      <c r="F396" s="4">
        <v>51</v>
      </c>
      <c r="G396" s="4">
        <v>40</v>
      </c>
      <c r="H396" s="4">
        <v>9.18</v>
      </c>
      <c r="I396" s="4">
        <v>7.2</v>
      </c>
      <c r="J396" s="4">
        <v>1.98</v>
      </c>
      <c r="K396" s="4">
        <v>1.33</v>
      </c>
      <c r="L396" s="4">
        <v>289</v>
      </c>
      <c r="M396" s="4" t="s">
        <v>37</v>
      </c>
      <c r="N396" s="4" t="s">
        <v>31</v>
      </c>
      <c r="O396" s="4" t="s">
        <v>42</v>
      </c>
      <c r="P396" s="4" t="s">
        <v>75</v>
      </c>
    </row>
    <row r="397" spans="1:16" x14ac:dyDescent="0.3">
      <c r="A397" s="4">
        <v>2024</v>
      </c>
      <c r="B397" s="4" t="s">
        <v>29</v>
      </c>
      <c r="C397" s="4" t="s">
        <v>33</v>
      </c>
      <c r="D397" s="4" t="s">
        <v>48</v>
      </c>
      <c r="E397" s="4">
        <v>347</v>
      </c>
      <c r="F397" s="4">
        <v>240</v>
      </c>
      <c r="G397" s="4">
        <v>179</v>
      </c>
      <c r="H397" s="4">
        <v>83.28</v>
      </c>
      <c r="I397" s="4">
        <v>62.11</v>
      </c>
      <c r="J397" s="4">
        <v>21.17</v>
      </c>
      <c r="K397" s="4">
        <v>15.34</v>
      </c>
      <c r="L397" s="4">
        <v>291</v>
      </c>
      <c r="M397" s="4" t="s">
        <v>18</v>
      </c>
      <c r="N397" s="4" t="s">
        <v>38</v>
      </c>
      <c r="O397" s="4" t="s">
        <v>44</v>
      </c>
      <c r="P397" s="4" t="s">
        <v>76</v>
      </c>
    </row>
    <row r="398" spans="1:16" x14ac:dyDescent="0.3">
      <c r="A398" s="4">
        <v>2025</v>
      </c>
      <c r="B398" s="4" t="s">
        <v>51</v>
      </c>
      <c r="C398" s="4" t="s">
        <v>16</v>
      </c>
      <c r="D398" s="4" t="s">
        <v>30</v>
      </c>
      <c r="E398" s="4">
        <v>225</v>
      </c>
      <c r="F398" s="4">
        <v>188</v>
      </c>
      <c r="G398" s="4">
        <v>137</v>
      </c>
      <c r="H398" s="4">
        <v>42.3</v>
      </c>
      <c r="I398" s="4">
        <v>30.82</v>
      </c>
      <c r="J398" s="4">
        <v>11.47</v>
      </c>
      <c r="K398" s="4">
        <v>-8.82</v>
      </c>
      <c r="L398" s="4">
        <v>260</v>
      </c>
      <c r="M398" s="4" t="s">
        <v>18</v>
      </c>
      <c r="N398" s="4" t="s">
        <v>38</v>
      </c>
      <c r="O398" s="4" t="s">
        <v>44</v>
      </c>
      <c r="P398" s="4" t="s">
        <v>73</v>
      </c>
    </row>
    <row r="399" spans="1:16" x14ac:dyDescent="0.3">
      <c r="A399" s="4">
        <v>2024</v>
      </c>
      <c r="B399" s="4" t="s">
        <v>49</v>
      </c>
      <c r="C399" s="4" t="s">
        <v>16</v>
      </c>
      <c r="D399" s="4" t="s">
        <v>17</v>
      </c>
      <c r="E399" s="4">
        <v>101</v>
      </c>
      <c r="F399" s="4">
        <v>390</v>
      </c>
      <c r="G399" s="4">
        <v>312</v>
      </c>
      <c r="H399" s="4">
        <v>39.39</v>
      </c>
      <c r="I399" s="4">
        <v>31.51</v>
      </c>
      <c r="J399" s="4">
        <v>7.88</v>
      </c>
      <c r="K399" s="4">
        <v>1.53</v>
      </c>
      <c r="L399" s="4">
        <v>162</v>
      </c>
      <c r="M399" s="4" t="s">
        <v>37</v>
      </c>
      <c r="N399" s="4" t="s">
        <v>19</v>
      </c>
      <c r="O399" s="4" t="s">
        <v>62</v>
      </c>
      <c r="P399" s="4" t="s">
        <v>74</v>
      </c>
    </row>
    <row r="400" spans="1:16" x14ac:dyDescent="0.3">
      <c r="A400" s="4">
        <v>2023</v>
      </c>
      <c r="B400" s="4" t="s">
        <v>51</v>
      </c>
      <c r="C400" s="4" t="s">
        <v>33</v>
      </c>
      <c r="D400" s="4" t="s">
        <v>50</v>
      </c>
      <c r="E400" s="4">
        <v>234</v>
      </c>
      <c r="F400" s="4">
        <v>276</v>
      </c>
      <c r="G400" s="4">
        <v>182</v>
      </c>
      <c r="H400" s="4">
        <v>64.58</v>
      </c>
      <c r="I400" s="4">
        <v>42.59</v>
      </c>
      <c r="J400" s="4">
        <v>22</v>
      </c>
      <c r="K400" s="4">
        <v>12.52</v>
      </c>
      <c r="L400" s="4">
        <v>34</v>
      </c>
      <c r="M400" s="4" t="s">
        <v>37</v>
      </c>
      <c r="N400" s="4" t="s">
        <v>38</v>
      </c>
      <c r="O400" s="4" t="s">
        <v>44</v>
      </c>
      <c r="P400" s="4" t="s">
        <v>71</v>
      </c>
    </row>
    <row r="401" spans="1:16" x14ac:dyDescent="0.3">
      <c r="A401" s="4">
        <v>2025</v>
      </c>
      <c r="B401" s="4" t="s">
        <v>45</v>
      </c>
      <c r="C401" s="4" t="s">
        <v>16</v>
      </c>
      <c r="D401" s="4" t="s">
        <v>17</v>
      </c>
      <c r="E401" s="4">
        <v>78</v>
      </c>
      <c r="F401" s="4">
        <v>285</v>
      </c>
      <c r="G401" s="4">
        <v>82</v>
      </c>
      <c r="H401" s="4">
        <v>22.23</v>
      </c>
      <c r="I401" s="4">
        <v>6.4</v>
      </c>
      <c r="J401" s="4">
        <v>15.83</v>
      </c>
      <c r="K401" s="4">
        <v>22.88</v>
      </c>
      <c r="L401" s="4">
        <v>220</v>
      </c>
      <c r="M401" s="4" t="s">
        <v>18</v>
      </c>
      <c r="N401" s="4" t="s">
        <v>38</v>
      </c>
      <c r="O401" s="4" t="s">
        <v>44</v>
      </c>
      <c r="P401" s="4" t="s">
        <v>74</v>
      </c>
    </row>
    <row r="402" spans="1:16" x14ac:dyDescent="0.3">
      <c r="A402" s="4">
        <v>2024</v>
      </c>
      <c r="B402" s="4" t="s">
        <v>41</v>
      </c>
      <c r="C402" s="4" t="s">
        <v>26</v>
      </c>
      <c r="D402" s="4" t="s">
        <v>58</v>
      </c>
      <c r="E402" s="4">
        <v>156</v>
      </c>
      <c r="F402" s="4">
        <v>381</v>
      </c>
      <c r="G402" s="4">
        <v>215</v>
      </c>
      <c r="H402" s="4">
        <v>59.44</v>
      </c>
      <c r="I402" s="4">
        <v>33.54</v>
      </c>
      <c r="J402" s="4">
        <v>25.9</v>
      </c>
      <c r="K402" s="4">
        <v>22.81</v>
      </c>
      <c r="L402" s="4">
        <v>108</v>
      </c>
      <c r="M402" s="4" t="s">
        <v>28</v>
      </c>
      <c r="N402" s="4" t="s">
        <v>38</v>
      </c>
      <c r="O402" s="4" t="s">
        <v>44</v>
      </c>
      <c r="P402" s="4" t="s">
        <v>73</v>
      </c>
    </row>
    <row r="403" spans="1:16" x14ac:dyDescent="0.3">
      <c r="A403" s="4">
        <v>2024</v>
      </c>
      <c r="B403" s="4" t="s">
        <v>51</v>
      </c>
      <c r="C403" s="4" t="s">
        <v>33</v>
      </c>
      <c r="D403" s="4" t="s">
        <v>50</v>
      </c>
      <c r="E403" s="4">
        <v>396</v>
      </c>
      <c r="F403" s="4">
        <v>78</v>
      </c>
      <c r="G403" s="4">
        <v>36</v>
      </c>
      <c r="H403" s="4">
        <v>30.89</v>
      </c>
      <c r="I403" s="4">
        <v>14.26</v>
      </c>
      <c r="J403" s="4">
        <v>16.63</v>
      </c>
      <c r="K403" s="4">
        <v>-3.56</v>
      </c>
      <c r="L403" s="4">
        <v>149</v>
      </c>
      <c r="M403" s="4" t="s">
        <v>18</v>
      </c>
      <c r="N403" s="4" t="s">
        <v>38</v>
      </c>
      <c r="O403" s="4" t="s">
        <v>44</v>
      </c>
      <c r="P403" s="4" t="s">
        <v>72</v>
      </c>
    </row>
    <row r="404" spans="1:16" x14ac:dyDescent="0.3">
      <c r="A404" s="4">
        <v>2025</v>
      </c>
      <c r="B404" s="4" t="s">
        <v>57</v>
      </c>
      <c r="C404" s="4" t="s">
        <v>26</v>
      </c>
      <c r="D404" s="4" t="s">
        <v>52</v>
      </c>
      <c r="E404" s="4">
        <v>397</v>
      </c>
      <c r="F404" s="4">
        <v>334</v>
      </c>
      <c r="G404" s="4">
        <v>90</v>
      </c>
      <c r="H404" s="4">
        <v>132.6</v>
      </c>
      <c r="I404" s="4">
        <v>35.729999999999997</v>
      </c>
      <c r="J404" s="4">
        <v>96.87</v>
      </c>
      <c r="K404" s="4">
        <v>0.19</v>
      </c>
      <c r="L404" s="4">
        <v>242</v>
      </c>
      <c r="M404" s="4" t="s">
        <v>18</v>
      </c>
      <c r="N404" s="4" t="s">
        <v>19</v>
      </c>
      <c r="O404" s="4" t="s">
        <v>62</v>
      </c>
      <c r="P404" s="4" t="s">
        <v>72</v>
      </c>
    </row>
    <row r="405" spans="1:16" x14ac:dyDescent="0.3">
      <c r="A405" s="4">
        <v>2023</v>
      </c>
      <c r="B405" s="4" t="s">
        <v>46</v>
      </c>
      <c r="C405" s="4" t="s">
        <v>26</v>
      </c>
      <c r="D405" s="4" t="s">
        <v>58</v>
      </c>
      <c r="E405" s="4">
        <v>392</v>
      </c>
      <c r="F405" s="4">
        <v>52</v>
      </c>
      <c r="G405" s="4">
        <v>33</v>
      </c>
      <c r="H405" s="4">
        <v>20.38</v>
      </c>
      <c r="I405" s="4">
        <v>12.94</v>
      </c>
      <c r="J405" s="4">
        <v>7.45</v>
      </c>
      <c r="K405" s="4">
        <v>2.48</v>
      </c>
      <c r="L405" s="4">
        <v>114</v>
      </c>
      <c r="M405" s="4" t="s">
        <v>37</v>
      </c>
      <c r="N405" s="4" t="s">
        <v>31</v>
      </c>
      <c r="O405" s="4" t="s">
        <v>42</v>
      </c>
      <c r="P405" s="4" t="s">
        <v>75</v>
      </c>
    </row>
    <row r="406" spans="1:16" x14ac:dyDescent="0.3">
      <c r="A406" s="4">
        <v>2025</v>
      </c>
      <c r="B406" s="4" t="s">
        <v>57</v>
      </c>
      <c r="C406" s="4" t="s">
        <v>26</v>
      </c>
      <c r="D406" s="4" t="s">
        <v>27</v>
      </c>
      <c r="E406" s="4">
        <v>219</v>
      </c>
      <c r="F406" s="4">
        <v>221</v>
      </c>
      <c r="G406" s="4">
        <v>145</v>
      </c>
      <c r="H406" s="4">
        <v>48.4</v>
      </c>
      <c r="I406" s="4">
        <v>31.75</v>
      </c>
      <c r="J406" s="4">
        <v>16.64</v>
      </c>
      <c r="K406" s="4">
        <v>8.91</v>
      </c>
      <c r="L406" s="4">
        <v>39</v>
      </c>
      <c r="M406" s="4" t="s">
        <v>18</v>
      </c>
      <c r="N406" s="4" t="s">
        <v>19</v>
      </c>
      <c r="O406" s="4" t="s">
        <v>62</v>
      </c>
      <c r="P406" s="4" t="s">
        <v>75</v>
      </c>
    </row>
    <row r="407" spans="1:16" x14ac:dyDescent="0.3">
      <c r="A407" s="4">
        <v>2024</v>
      </c>
      <c r="B407" s="4" t="s">
        <v>45</v>
      </c>
      <c r="C407" s="4" t="s">
        <v>22</v>
      </c>
      <c r="D407" s="4" t="s">
        <v>53</v>
      </c>
      <c r="E407" s="4">
        <v>163</v>
      </c>
      <c r="F407" s="4">
        <v>232</v>
      </c>
      <c r="G407" s="4">
        <v>98</v>
      </c>
      <c r="H407" s="4">
        <v>37.82</v>
      </c>
      <c r="I407" s="4">
        <v>15.97</v>
      </c>
      <c r="J407" s="4">
        <v>21.84</v>
      </c>
      <c r="K407" s="4">
        <v>-5.72</v>
      </c>
      <c r="L407" s="4">
        <v>238</v>
      </c>
      <c r="M407" s="4" t="s">
        <v>37</v>
      </c>
      <c r="N407" s="4" t="s">
        <v>19</v>
      </c>
      <c r="O407" s="4" t="s">
        <v>62</v>
      </c>
      <c r="P407" s="4" t="s">
        <v>74</v>
      </c>
    </row>
    <row r="408" spans="1:16" x14ac:dyDescent="0.3">
      <c r="A408" s="4">
        <v>2023</v>
      </c>
      <c r="B408" s="4" t="s">
        <v>51</v>
      </c>
      <c r="C408" s="4" t="s">
        <v>16</v>
      </c>
      <c r="D408" s="4" t="s">
        <v>56</v>
      </c>
      <c r="E408" s="4">
        <v>129</v>
      </c>
      <c r="F408" s="4">
        <v>196</v>
      </c>
      <c r="G408" s="4">
        <v>133</v>
      </c>
      <c r="H408" s="4">
        <v>25.28</v>
      </c>
      <c r="I408" s="4">
        <v>17.16</v>
      </c>
      <c r="J408" s="4">
        <v>8.1300000000000008</v>
      </c>
      <c r="K408" s="4">
        <v>17.61</v>
      </c>
      <c r="L408" s="4">
        <v>296</v>
      </c>
      <c r="M408" s="4" t="s">
        <v>37</v>
      </c>
      <c r="N408" s="4" t="s">
        <v>24</v>
      </c>
      <c r="O408" s="4" t="s">
        <v>63</v>
      </c>
      <c r="P408" s="4" t="s">
        <v>75</v>
      </c>
    </row>
    <row r="409" spans="1:16" x14ac:dyDescent="0.3">
      <c r="A409" s="4">
        <v>2023</v>
      </c>
      <c r="B409" s="4" t="s">
        <v>15</v>
      </c>
      <c r="C409" s="4" t="s">
        <v>22</v>
      </c>
      <c r="D409" s="4" t="s">
        <v>59</v>
      </c>
      <c r="E409" s="4">
        <v>131</v>
      </c>
      <c r="F409" s="4">
        <v>111</v>
      </c>
      <c r="G409" s="4">
        <v>65</v>
      </c>
      <c r="H409" s="4">
        <v>14.54</v>
      </c>
      <c r="I409" s="4">
        <v>8.52</v>
      </c>
      <c r="J409" s="4">
        <v>6.03</v>
      </c>
      <c r="K409" s="4">
        <v>21.94</v>
      </c>
      <c r="L409" s="4">
        <v>58</v>
      </c>
      <c r="M409" s="4" t="s">
        <v>37</v>
      </c>
      <c r="N409" s="4" t="s">
        <v>38</v>
      </c>
      <c r="O409" s="4" t="s">
        <v>44</v>
      </c>
      <c r="P409" s="4" t="s">
        <v>75</v>
      </c>
    </row>
    <row r="410" spans="1:16" x14ac:dyDescent="0.3">
      <c r="A410" s="4">
        <v>2023</v>
      </c>
      <c r="B410" s="4" t="s">
        <v>29</v>
      </c>
      <c r="C410" s="4" t="s">
        <v>35</v>
      </c>
      <c r="D410" s="4" t="s">
        <v>36</v>
      </c>
      <c r="E410" s="4">
        <v>315</v>
      </c>
      <c r="F410" s="4">
        <v>114</v>
      </c>
      <c r="G410" s="4">
        <v>58</v>
      </c>
      <c r="H410" s="4">
        <v>35.909999999999997</v>
      </c>
      <c r="I410" s="4">
        <v>18.27</v>
      </c>
      <c r="J410" s="4">
        <v>17.64</v>
      </c>
      <c r="K410" s="4">
        <v>10.5</v>
      </c>
      <c r="L410" s="4">
        <v>134</v>
      </c>
      <c r="M410" s="4" t="s">
        <v>37</v>
      </c>
      <c r="N410" s="4" t="s">
        <v>24</v>
      </c>
      <c r="O410" s="4" t="s">
        <v>63</v>
      </c>
      <c r="P410" s="4" t="s">
        <v>74</v>
      </c>
    </row>
    <row r="411" spans="1:16" x14ac:dyDescent="0.3">
      <c r="A411" s="4">
        <v>2024</v>
      </c>
      <c r="B411" s="4" t="s">
        <v>51</v>
      </c>
      <c r="C411" s="4" t="s">
        <v>33</v>
      </c>
      <c r="D411" s="4" t="s">
        <v>48</v>
      </c>
      <c r="E411" s="4">
        <v>459</v>
      </c>
      <c r="F411" s="4">
        <v>100</v>
      </c>
      <c r="G411" s="4">
        <v>82</v>
      </c>
      <c r="H411" s="4">
        <v>45.9</v>
      </c>
      <c r="I411" s="4">
        <v>37.64</v>
      </c>
      <c r="J411" s="4">
        <v>8.26</v>
      </c>
      <c r="K411" s="4">
        <v>-1.79</v>
      </c>
      <c r="L411" s="4">
        <v>48</v>
      </c>
      <c r="M411" s="4" t="s">
        <v>28</v>
      </c>
      <c r="N411" s="4" t="s">
        <v>38</v>
      </c>
      <c r="O411" s="4" t="s">
        <v>44</v>
      </c>
      <c r="P411" s="4" t="s">
        <v>75</v>
      </c>
    </row>
    <row r="412" spans="1:16" x14ac:dyDescent="0.3">
      <c r="A412" s="4">
        <v>2024</v>
      </c>
      <c r="B412" s="4" t="s">
        <v>51</v>
      </c>
      <c r="C412" s="4" t="s">
        <v>16</v>
      </c>
      <c r="D412" s="4" t="s">
        <v>17</v>
      </c>
      <c r="E412" s="4">
        <v>434</v>
      </c>
      <c r="F412" s="4">
        <v>201</v>
      </c>
      <c r="G412" s="4">
        <v>59</v>
      </c>
      <c r="H412" s="4">
        <v>87.23</v>
      </c>
      <c r="I412" s="4">
        <v>25.61</v>
      </c>
      <c r="J412" s="4">
        <v>61.63</v>
      </c>
      <c r="K412" s="4">
        <v>2.14</v>
      </c>
      <c r="L412" s="4">
        <v>75</v>
      </c>
      <c r="M412" s="4" t="s">
        <v>37</v>
      </c>
      <c r="N412" s="4" t="s">
        <v>31</v>
      </c>
      <c r="O412" s="4" t="s">
        <v>42</v>
      </c>
      <c r="P412" s="4" t="s">
        <v>74</v>
      </c>
    </row>
    <row r="413" spans="1:16" x14ac:dyDescent="0.3">
      <c r="A413" s="4">
        <v>2025</v>
      </c>
      <c r="B413" s="4" t="s">
        <v>47</v>
      </c>
      <c r="C413" s="4" t="s">
        <v>16</v>
      </c>
      <c r="D413" s="4" t="s">
        <v>17</v>
      </c>
      <c r="E413" s="4">
        <v>125</v>
      </c>
      <c r="F413" s="4">
        <v>396</v>
      </c>
      <c r="G413" s="4">
        <v>139</v>
      </c>
      <c r="H413" s="4">
        <v>49.5</v>
      </c>
      <c r="I413" s="4">
        <v>17.38</v>
      </c>
      <c r="J413" s="4">
        <v>32.119999999999997</v>
      </c>
      <c r="K413" s="4">
        <v>1.76</v>
      </c>
      <c r="L413" s="4">
        <v>157</v>
      </c>
      <c r="M413" s="4" t="s">
        <v>18</v>
      </c>
      <c r="N413" s="4" t="s">
        <v>19</v>
      </c>
      <c r="O413" s="4" t="s">
        <v>62</v>
      </c>
      <c r="P413" s="4" t="s">
        <v>74</v>
      </c>
    </row>
    <row r="414" spans="1:16" x14ac:dyDescent="0.3">
      <c r="A414" s="4">
        <v>2025</v>
      </c>
      <c r="B414" s="4" t="s">
        <v>51</v>
      </c>
      <c r="C414" s="4" t="s">
        <v>35</v>
      </c>
      <c r="D414" s="4" t="s">
        <v>40</v>
      </c>
      <c r="E414" s="4">
        <v>121</v>
      </c>
      <c r="F414" s="4">
        <v>204</v>
      </c>
      <c r="G414" s="4">
        <v>137</v>
      </c>
      <c r="H414" s="4">
        <v>24.68</v>
      </c>
      <c r="I414" s="4">
        <v>16.579999999999998</v>
      </c>
      <c r="J414" s="4">
        <v>8.11</v>
      </c>
      <c r="K414" s="4">
        <v>-9.82</v>
      </c>
      <c r="L414" s="4">
        <v>210</v>
      </c>
      <c r="M414" s="4" t="s">
        <v>18</v>
      </c>
      <c r="N414" s="4" t="s">
        <v>19</v>
      </c>
      <c r="O414" s="4" t="s">
        <v>62</v>
      </c>
      <c r="P414" s="4" t="s">
        <v>71</v>
      </c>
    </row>
    <row r="415" spans="1:16" x14ac:dyDescent="0.3">
      <c r="A415" s="4">
        <v>2024</v>
      </c>
      <c r="B415" s="4" t="s">
        <v>47</v>
      </c>
      <c r="C415" s="4" t="s">
        <v>22</v>
      </c>
      <c r="D415" s="4" t="s">
        <v>53</v>
      </c>
      <c r="E415" s="4">
        <v>57</v>
      </c>
      <c r="F415" s="4">
        <v>164</v>
      </c>
      <c r="G415" s="4">
        <v>53</v>
      </c>
      <c r="H415" s="4">
        <v>9.35</v>
      </c>
      <c r="I415" s="4">
        <v>3.02</v>
      </c>
      <c r="J415" s="4">
        <v>6.33</v>
      </c>
      <c r="K415" s="4">
        <v>18.84</v>
      </c>
      <c r="L415" s="4">
        <v>151</v>
      </c>
      <c r="M415" s="4" t="s">
        <v>28</v>
      </c>
      <c r="N415" s="4" t="s">
        <v>24</v>
      </c>
      <c r="O415" s="4" t="s">
        <v>63</v>
      </c>
      <c r="P415" s="4" t="s">
        <v>75</v>
      </c>
    </row>
    <row r="416" spans="1:16" x14ac:dyDescent="0.3">
      <c r="A416" s="4">
        <v>2024</v>
      </c>
      <c r="B416" s="4" t="s">
        <v>49</v>
      </c>
      <c r="C416" s="4" t="s">
        <v>33</v>
      </c>
      <c r="D416" s="4" t="s">
        <v>48</v>
      </c>
      <c r="E416" s="4">
        <v>414</v>
      </c>
      <c r="F416" s="4">
        <v>78</v>
      </c>
      <c r="G416" s="4">
        <v>36</v>
      </c>
      <c r="H416" s="4">
        <v>32.29</v>
      </c>
      <c r="I416" s="4">
        <v>14.9</v>
      </c>
      <c r="J416" s="4">
        <v>17.39</v>
      </c>
      <c r="K416" s="4">
        <v>16.12</v>
      </c>
      <c r="L416" s="4">
        <v>44</v>
      </c>
      <c r="M416" s="4" t="s">
        <v>37</v>
      </c>
      <c r="N416" s="4" t="s">
        <v>19</v>
      </c>
      <c r="O416" s="4" t="s">
        <v>62</v>
      </c>
      <c r="P416" s="4" t="s">
        <v>74</v>
      </c>
    </row>
    <row r="417" spans="1:16" x14ac:dyDescent="0.3">
      <c r="A417" s="4">
        <v>2023</v>
      </c>
      <c r="B417" s="4" t="s">
        <v>51</v>
      </c>
      <c r="C417" s="4" t="s">
        <v>35</v>
      </c>
      <c r="D417" s="4" t="s">
        <v>43</v>
      </c>
      <c r="E417" s="4">
        <v>250</v>
      </c>
      <c r="F417" s="4">
        <v>120</v>
      </c>
      <c r="G417" s="4">
        <v>73</v>
      </c>
      <c r="H417" s="4">
        <v>30</v>
      </c>
      <c r="I417" s="4">
        <v>18.25</v>
      </c>
      <c r="J417" s="4">
        <v>11.75</v>
      </c>
      <c r="K417" s="4">
        <v>9.8800000000000008</v>
      </c>
      <c r="L417" s="4">
        <v>180</v>
      </c>
      <c r="M417" s="4" t="s">
        <v>18</v>
      </c>
      <c r="N417" s="4" t="s">
        <v>38</v>
      </c>
      <c r="O417" s="4" t="s">
        <v>44</v>
      </c>
      <c r="P417" s="4" t="s">
        <v>73</v>
      </c>
    </row>
    <row r="418" spans="1:16" x14ac:dyDescent="0.3">
      <c r="A418" s="4">
        <v>2023</v>
      </c>
      <c r="B418" s="4" t="s">
        <v>47</v>
      </c>
      <c r="C418" s="4" t="s">
        <v>22</v>
      </c>
      <c r="D418" s="4" t="s">
        <v>55</v>
      </c>
      <c r="E418" s="4">
        <v>348</v>
      </c>
      <c r="F418" s="4">
        <v>353</v>
      </c>
      <c r="G418" s="4">
        <v>163</v>
      </c>
      <c r="H418" s="4">
        <v>122.84</v>
      </c>
      <c r="I418" s="4">
        <v>56.72</v>
      </c>
      <c r="J418" s="4">
        <v>66.12</v>
      </c>
      <c r="K418" s="4">
        <v>1.07</v>
      </c>
      <c r="L418" s="4">
        <v>200</v>
      </c>
      <c r="M418" s="4" t="s">
        <v>28</v>
      </c>
      <c r="N418" s="4" t="s">
        <v>38</v>
      </c>
      <c r="O418" s="4" t="s">
        <v>44</v>
      </c>
      <c r="P418" s="4" t="s">
        <v>71</v>
      </c>
    </row>
    <row r="419" spans="1:16" x14ac:dyDescent="0.3">
      <c r="A419" s="4">
        <v>2025</v>
      </c>
      <c r="B419" s="4" t="s">
        <v>46</v>
      </c>
      <c r="C419" s="4" t="s">
        <v>22</v>
      </c>
      <c r="D419" s="4" t="s">
        <v>23</v>
      </c>
      <c r="E419" s="4">
        <v>143</v>
      </c>
      <c r="F419" s="4">
        <v>250</v>
      </c>
      <c r="G419" s="4">
        <v>156</v>
      </c>
      <c r="H419" s="4">
        <v>35.75</v>
      </c>
      <c r="I419" s="4">
        <v>22.31</v>
      </c>
      <c r="J419" s="4">
        <v>13.44</v>
      </c>
      <c r="K419" s="4">
        <v>-0.15</v>
      </c>
      <c r="L419" s="4">
        <v>270</v>
      </c>
      <c r="M419" s="4" t="s">
        <v>37</v>
      </c>
      <c r="N419" s="4" t="s">
        <v>31</v>
      </c>
      <c r="O419" s="4" t="s">
        <v>42</v>
      </c>
      <c r="P419" s="4" t="s">
        <v>73</v>
      </c>
    </row>
    <row r="420" spans="1:16" x14ac:dyDescent="0.3">
      <c r="A420" s="4">
        <v>2024</v>
      </c>
      <c r="B420" s="4" t="s">
        <v>21</v>
      </c>
      <c r="C420" s="4" t="s">
        <v>22</v>
      </c>
      <c r="D420" s="4" t="s">
        <v>53</v>
      </c>
      <c r="E420" s="4">
        <v>315</v>
      </c>
      <c r="F420" s="4">
        <v>352</v>
      </c>
      <c r="G420" s="4">
        <v>154</v>
      </c>
      <c r="H420" s="4">
        <v>110.88</v>
      </c>
      <c r="I420" s="4">
        <v>48.51</v>
      </c>
      <c r="J420" s="4">
        <v>62.37</v>
      </c>
      <c r="K420" s="4">
        <v>6.25</v>
      </c>
      <c r="L420" s="4">
        <v>38</v>
      </c>
      <c r="M420" s="4" t="s">
        <v>28</v>
      </c>
      <c r="N420" s="4" t="s">
        <v>38</v>
      </c>
      <c r="O420" s="4" t="s">
        <v>44</v>
      </c>
      <c r="P420" s="4" t="s">
        <v>74</v>
      </c>
    </row>
    <row r="421" spans="1:16" x14ac:dyDescent="0.3">
      <c r="A421" s="4">
        <v>2023</v>
      </c>
      <c r="B421" s="4" t="s">
        <v>47</v>
      </c>
      <c r="C421" s="4" t="s">
        <v>16</v>
      </c>
      <c r="D421" s="4" t="s">
        <v>17</v>
      </c>
      <c r="E421" s="4">
        <v>212</v>
      </c>
      <c r="F421" s="4">
        <v>131</v>
      </c>
      <c r="G421" s="4">
        <v>111</v>
      </c>
      <c r="H421" s="4">
        <v>27.77</v>
      </c>
      <c r="I421" s="4">
        <v>23.53</v>
      </c>
      <c r="J421" s="4">
        <v>4.24</v>
      </c>
      <c r="K421" s="4">
        <v>4.6100000000000003</v>
      </c>
      <c r="L421" s="4">
        <v>24</v>
      </c>
      <c r="M421" s="4" t="s">
        <v>28</v>
      </c>
      <c r="N421" s="4" t="s">
        <v>24</v>
      </c>
      <c r="O421" s="4" t="s">
        <v>63</v>
      </c>
      <c r="P421" s="4" t="s">
        <v>71</v>
      </c>
    </row>
    <row r="422" spans="1:16" x14ac:dyDescent="0.3">
      <c r="A422" s="4">
        <v>2025</v>
      </c>
      <c r="B422" s="4" t="s">
        <v>41</v>
      </c>
      <c r="C422" s="4" t="s">
        <v>26</v>
      </c>
      <c r="D422" s="4" t="s">
        <v>52</v>
      </c>
      <c r="E422" s="4">
        <v>288</v>
      </c>
      <c r="F422" s="4">
        <v>350</v>
      </c>
      <c r="G422" s="4">
        <v>111</v>
      </c>
      <c r="H422" s="4">
        <v>100.8</v>
      </c>
      <c r="I422" s="4">
        <v>31.97</v>
      </c>
      <c r="J422" s="4">
        <v>68.83</v>
      </c>
      <c r="K422" s="4">
        <v>12.38</v>
      </c>
      <c r="L422" s="4">
        <v>242</v>
      </c>
      <c r="M422" s="4" t="s">
        <v>18</v>
      </c>
      <c r="N422" s="4" t="s">
        <v>31</v>
      </c>
      <c r="O422" s="4" t="s">
        <v>42</v>
      </c>
      <c r="P422" s="4" t="s">
        <v>72</v>
      </c>
    </row>
    <row r="423" spans="1:16" x14ac:dyDescent="0.3">
      <c r="A423" s="4">
        <v>2024</v>
      </c>
      <c r="B423" s="4" t="s">
        <v>15</v>
      </c>
      <c r="C423" s="4" t="s">
        <v>16</v>
      </c>
      <c r="D423" s="4" t="s">
        <v>30</v>
      </c>
      <c r="E423" s="4">
        <v>481</v>
      </c>
      <c r="F423" s="4">
        <v>68</v>
      </c>
      <c r="G423" s="4">
        <v>58</v>
      </c>
      <c r="H423" s="4">
        <v>32.71</v>
      </c>
      <c r="I423" s="4">
        <v>27.9</v>
      </c>
      <c r="J423" s="4">
        <v>4.8099999999999996</v>
      </c>
      <c r="K423" s="4">
        <v>-6.53</v>
      </c>
      <c r="L423" s="4">
        <v>210</v>
      </c>
      <c r="M423" s="4" t="s">
        <v>18</v>
      </c>
      <c r="N423" s="4" t="s">
        <v>19</v>
      </c>
      <c r="O423" s="4" t="s">
        <v>62</v>
      </c>
      <c r="P423" s="4" t="s">
        <v>74</v>
      </c>
    </row>
    <row r="424" spans="1:16" x14ac:dyDescent="0.3">
      <c r="A424" s="4">
        <v>2023</v>
      </c>
      <c r="B424" s="4" t="s">
        <v>29</v>
      </c>
      <c r="C424" s="4" t="s">
        <v>35</v>
      </c>
      <c r="D424" s="4" t="s">
        <v>40</v>
      </c>
      <c r="E424" s="4">
        <v>471</v>
      </c>
      <c r="F424" s="4">
        <v>330</v>
      </c>
      <c r="G424" s="4">
        <v>87</v>
      </c>
      <c r="H424" s="4">
        <v>155.43</v>
      </c>
      <c r="I424" s="4">
        <v>40.98</v>
      </c>
      <c r="J424" s="4">
        <v>114.45</v>
      </c>
      <c r="K424" s="4">
        <v>-0.1</v>
      </c>
      <c r="L424" s="4">
        <v>63</v>
      </c>
      <c r="M424" s="4" t="s">
        <v>37</v>
      </c>
      <c r="N424" s="4" t="s">
        <v>31</v>
      </c>
      <c r="O424" s="4" t="s">
        <v>42</v>
      </c>
      <c r="P424" s="4" t="s">
        <v>75</v>
      </c>
    </row>
    <row r="425" spans="1:16" x14ac:dyDescent="0.3">
      <c r="A425" s="4">
        <v>2025</v>
      </c>
      <c r="B425" s="4" t="s">
        <v>49</v>
      </c>
      <c r="C425" s="4" t="s">
        <v>26</v>
      </c>
      <c r="D425" s="4" t="s">
        <v>52</v>
      </c>
      <c r="E425" s="4">
        <v>425</v>
      </c>
      <c r="F425" s="4">
        <v>235</v>
      </c>
      <c r="G425" s="4">
        <v>124</v>
      </c>
      <c r="H425" s="4">
        <v>99.88</v>
      </c>
      <c r="I425" s="4">
        <v>52.7</v>
      </c>
      <c r="J425" s="4">
        <v>47.17</v>
      </c>
      <c r="K425" s="4">
        <v>-5.0599999999999996</v>
      </c>
      <c r="L425" s="4">
        <v>119</v>
      </c>
      <c r="M425" s="4" t="s">
        <v>37</v>
      </c>
      <c r="N425" s="4" t="s">
        <v>24</v>
      </c>
      <c r="O425" s="4" t="s">
        <v>63</v>
      </c>
      <c r="P425" s="4" t="s">
        <v>75</v>
      </c>
    </row>
    <row r="426" spans="1:16" x14ac:dyDescent="0.3">
      <c r="A426" s="4">
        <v>2025</v>
      </c>
      <c r="B426" s="4" t="s">
        <v>57</v>
      </c>
      <c r="C426" s="4" t="s">
        <v>33</v>
      </c>
      <c r="D426" s="4" t="s">
        <v>34</v>
      </c>
      <c r="E426" s="4">
        <v>477</v>
      </c>
      <c r="F426" s="4">
        <v>58</v>
      </c>
      <c r="G426" s="4">
        <v>44</v>
      </c>
      <c r="H426" s="4">
        <v>27.67</v>
      </c>
      <c r="I426" s="4">
        <v>20.99</v>
      </c>
      <c r="J426" s="4">
        <v>6.68</v>
      </c>
      <c r="K426" s="4">
        <v>21.17</v>
      </c>
      <c r="L426" s="4">
        <v>239</v>
      </c>
      <c r="M426" s="4" t="s">
        <v>37</v>
      </c>
      <c r="N426" s="4" t="s">
        <v>19</v>
      </c>
      <c r="O426" s="4" t="s">
        <v>62</v>
      </c>
      <c r="P426" s="4" t="s">
        <v>76</v>
      </c>
    </row>
    <row r="427" spans="1:16" x14ac:dyDescent="0.3">
      <c r="A427" s="4">
        <v>2023</v>
      </c>
      <c r="B427" s="4" t="s">
        <v>49</v>
      </c>
      <c r="C427" s="4" t="s">
        <v>33</v>
      </c>
      <c r="D427" s="4" t="s">
        <v>34</v>
      </c>
      <c r="E427" s="4">
        <v>71</v>
      </c>
      <c r="F427" s="4">
        <v>198</v>
      </c>
      <c r="G427" s="4">
        <v>100</v>
      </c>
      <c r="H427" s="4">
        <v>14.06</v>
      </c>
      <c r="I427" s="4">
        <v>7.1</v>
      </c>
      <c r="J427" s="4">
        <v>6.96</v>
      </c>
      <c r="K427" s="4">
        <v>-4.8</v>
      </c>
      <c r="L427" s="4">
        <v>173</v>
      </c>
      <c r="M427" s="4" t="s">
        <v>28</v>
      </c>
      <c r="N427" s="4" t="s">
        <v>38</v>
      </c>
      <c r="O427" s="4" t="s">
        <v>44</v>
      </c>
      <c r="P427" s="4" t="s">
        <v>74</v>
      </c>
    </row>
    <row r="428" spans="1:16" x14ac:dyDescent="0.3">
      <c r="A428" s="4">
        <v>2024</v>
      </c>
      <c r="B428" s="4" t="s">
        <v>41</v>
      </c>
      <c r="C428" s="4" t="s">
        <v>26</v>
      </c>
      <c r="D428" s="4" t="s">
        <v>52</v>
      </c>
      <c r="E428" s="4">
        <v>79</v>
      </c>
      <c r="F428" s="4">
        <v>236</v>
      </c>
      <c r="G428" s="4">
        <v>115</v>
      </c>
      <c r="H428" s="4">
        <v>18.64</v>
      </c>
      <c r="I428" s="4">
        <v>9.09</v>
      </c>
      <c r="J428" s="4">
        <v>9.56</v>
      </c>
      <c r="K428" s="4">
        <v>-5.2</v>
      </c>
      <c r="L428" s="4">
        <v>57</v>
      </c>
      <c r="M428" s="4" t="s">
        <v>18</v>
      </c>
      <c r="N428" s="4" t="s">
        <v>24</v>
      </c>
      <c r="O428" s="4" t="s">
        <v>63</v>
      </c>
      <c r="P428" s="4" t="s">
        <v>72</v>
      </c>
    </row>
    <row r="429" spans="1:16" x14ac:dyDescent="0.3">
      <c r="A429" s="4">
        <v>2023</v>
      </c>
      <c r="B429" s="4" t="s">
        <v>39</v>
      </c>
      <c r="C429" s="4" t="s">
        <v>35</v>
      </c>
      <c r="D429" s="4" t="s">
        <v>43</v>
      </c>
      <c r="E429" s="4">
        <v>322</v>
      </c>
      <c r="F429" s="4">
        <v>171</v>
      </c>
      <c r="G429" s="4">
        <v>65</v>
      </c>
      <c r="H429" s="4">
        <v>55.06</v>
      </c>
      <c r="I429" s="4">
        <v>20.93</v>
      </c>
      <c r="J429" s="4">
        <v>34.130000000000003</v>
      </c>
      <c r="K429" s="4">
        <v>-0.37</v>
      </c>
      <c r="L429" s="4">
        <v>79</v>
      </c>
      <c r="M429" s="4" t="s">
        <v>28</v>
      </c>
      <c r="N429" s="4" t="s">
        <v>19</v>
      </c>
      <c r="O429" s="4" t="s">
        <v>62</v>
      </c>
      <c r="P429" s="4" t="s">
        <v>76</v>
      </c>
    </row>
    <row r="430" spans="1:16" x14ac:dyDescent="0.3">
      <c r="A430" s="4">
        <v>2024</v>
      </c>
      <c r="B430" s="4" t="s">
        <v>21</v>
      </c>
      <c r="C430" s="4" t="s">
        <v>16</v>
      </c>
      <c r="D430" s="4" t="s">
        <v>30</v>
      </c>
      <c r="E430" s="4">
        <v>82</v>
      </c>
      <c r="F430" s="4">
        <v>295</v>
      </c>
      <c r="G430" s="4">
        <v>227</v>
      </c>
      <c r="H430" s="4">
        <v>24.19</v>
      </c>
      <c r="I430" s="4">
        <v>18.61</v>
      </c>
      <c r="J430" s="4">
        <v>5.58</v>
      </c>
      <c r="K430" s="4">
        <v>23.03</v>
      </c>
      <c r="L430" s="4">
        <v>28</v>
      </c>
      <c r="M430" s="4" t="s">
        <v>37</v>
      </c>
      <c r="N430" s="4" t="s">
        <v>38</v>
      </c>
      <c r="O430" s="4" t="s">
        <v>44</v>
      </c>
      <c r="P430" s="4" t="s">
        <v>75</v>
      </c>
    </row>
    <row r="431" spans="1:16" x14ac:dyDescent="0.3">
      <c r="A431" s="4">
        <v>2025</v>
      </c>
      <c r="B431" s="4" t="s">
        <v>57</v>
      </c>
      <c r="C431" s="4" t="s">
        <v>35</v>
      </c>
      <c r="D431" s="4" t="s">
        <v>40</v>
      </c>
      <c r="E431" s="4">
        <v>477</v>
      </c>
      <c r="F431" s="4">
        <v>205</v>
      </c>
      <c r="G431" s="4">
        <v>143</v>
      </c>
      <c r="H431" s="4">
        <v>97.78</v>
      </c>
      <c r="I431" s="4">
        <v>68.209999999999994</v>
      </c>
      <c r="J431" s="4">
        <v>29.57</v>
      </c>
      <c r="K431" s="4">
        <v>15.01</v>
      </c>
      <c r="L431" s="4">
        <v>163</v>
      </c>
      <c r="M431" s="4" t="s">
        <v>18</v>
      </c>
      <c r="N431" s="4" t="s">
        <v>19</v>
      </c>
      <c r="O431" s="4" t="s">
        <v>62</v>
      </c>
      <c r="P431" s="4" t="s">
        <v>71</v>
      </c>
    </row>
    <row r="432" spans="1:16" x14ac:dyDescent="0.3">
      <c r="A432" s="4">
        <v>2025</v>
      </c>
      <c r="B432" s="4" t="s">
        <v>41</v>
      </c>
      <c r="C432" s="4" t="s">
        <v>33</v>
      </c>
      <c r="D432" s="4" t="s">
        <v>48</v>
      </c>
      <c r="E432" s="4">
        <v>346</v>
      </c>
      <c r="F432" s="4">
        <v>426</v>
      </c>
      <c r="G432" s="4">
        <v>145</v>
      </c>
      <c r="H432" s="4">
        <v>147.4</v>
      </c>
      <c r="I432" s="4">
        <v>50.17</v>
      </c>
      <c r="J432" s="4">
        <v>97.23</v>
      </c>
      <c r="K432" s="4">
        <v>-5.12</v>
      </c>
      <c r="L432" s="4">
        <v>213</v>
      </c>
      <c r="M432" s="4" t="s">
        <v>18</v>
      </c>
      <c r="N432" s="4" t="s">
        <v>38</v>
      </c>
      <c r="O432" s="4" t="s">
        <v>44</v>
      </c>
      <c r="P432" s="4" t="s">
        <v>71</v>
      </c>
    </row>
    <row r="433" spans="1:16" x14ac:dyDescent="0.3">
      <c r="A433" s="4">
        <v>2025</v>
      </c>
      <c r="B433" s="4" t="s">
        <v>49</v>
      </c>
      <c r="C433" s="4" t="s">
        <v>35</v>
      </c>
      <c r="D433" s="4" t="s">
        <v>43</v>
      </c>
      <c r="E433" s="4">
        <v>311</v>
      </c>
      <c r="F433" s="4">
        <v>108</v>
      </c>
      <c r="G433" s="4">
        <v>45</v>
      </c>
      <c r="H433" s="4">
        <v>33.590000000000003</v>
      </c>
      <c r="I433" s="4">
        <v>13.99</v>
      </c>
      <c r="J433" s="4">
        <v>19.59</v>
      </c>
      <c r="K433" s="4">
        <v>9.74</v>
      </c>
      <c r="L433" s="4">
        <v>268</v>
      </c>
      <c r="M433" s="4" t="s">
        <v>28</v>
      </c>
      <c r="N433" s="4" t="s">
        <v>38</v>
      </c>
      <c r="O433" s="4" t="s">
        <v>44</v>
      </c>
      <c r="P433" s="4" t="s">
        <v>71</v>
      </c>
    </row>
    <row r="434" spans="1:16" x14ac:dyDescent="0.3">
      <c r="A434" s="4">
        <v>2025</v>
      </c>
      <c r="B434" s="4" t="s">
        <v>45</v>
      </c>
      <c r="C434" s="4" t="s">
        <v>26</v>
      </c>
      <c r="D434" s="4" t="s">
        <v>58</v>
      </c>
      <c r="E434" s="4">
        <v>50</v>
      </c>
      <c r="F434" s="4">
        <v>193</v>
      </c>
      <c r="G434" s="4">
        <v>168</v>
      </c>
      <c r="H434" s="4">
        <v>9.65</v>
      </c>
      <c r="I434" s="4">
        <v>8.4</v>
      </c>
      <c r="J434" s="4">
        <v>1.25</v>
      </c>
      <c r="K434" s="4">
        <v>-5.26</v>
      </c>
      <c r="L434" s="4">
        <v>233</v>
      </c>
      <c r="M434" s="4" t="s">
        <v>18</v>
      </c>
      <c r="N434" s="4" t="s">
        <v>19</v>
      </c>
      <c r="O434" s="4" t="s">
        <v>62</v>
      </c>
      <c r="P434" s="4" t="s">
        <v>72</v>
      </c>
    </row>
    <row r="435" spans="1:16" x14ac:dyDescent="0.3">
      <c r="A435" s="4">
        <v>2025</v>
      </c>
      <c r="B435" s="4" t="s">
        <v>15</v>
      </c>
      <c r="C435" s="4" t="s">
        <v>22</v>
      </c>
      <c r="D435" s="4" t="s">
        <v>23</v>
      </c>
      <c r="E435" s="4">
        <v>157</v>
      </c>
      <c r="F435" s="4">
        <v>500</v>
      </c>
      <c r="G435" s="4">
        <v>211</v>
      </c>
      <c r="H435" s="4">
        <v>78.5</v>
      </c>
      <c r="I435" s="4">
        <v>33.130000000000003</v>
      </c>
      <c r="J435" s="4">
        <v>45.37</v>
      </c>
      <c r="K435" s="4">
        <v>-6.17</v>
      </c>
      <c r="L435" s="4">
        <v>232</v>
      </c>
      <c r="M435" s="4" t="s">
        <v>37</v>
      </c>
      <c r="N435" s="4" t="s">
        <v>19</v>
      </c>
      <c r="O435" s="4" t="s">
        <v>62</v>
      </c>
      <c r="P435" s="4" t="s">
        <v>76</v>
      </c>
    </row>
    <row r="436" spans="1:16" x14ac:dyDescent="0.3">
      <c r="A436" s="4">
        <v>2024</v>
      </c>
      <c r="B436" s="4" t="s">
        <v>15</v>
      </c>
      <c r="C436" s="4" t="s">
        <v>33</v>
      </c>
      <c r="D436" s="4" t="s">
        <v>34</v>
      </c>
      <c r="E436" s="4">
        <v>278</v>
      </c>
      <c r="F436" s="4">
        <v>434</v>
      </c>
      <c r="G436" s="4">
        <v>103</v>
      </c>
      <c r="H436" s="4">
        <v>120.65</v>
      </c>
      <c r="I436" s="4">
        <v>28.63</v>
      </c>
      <c r="J436" s="4">
        <v>92.02</v>
      </c>
      <c r="K436" s="4">
        <v>4.0199999999999996</v>
      </c>
      <c r="L436" s="4">
        <v>205</v>
      </c>
      <c r="M436" s="4" t="s">
        <v>28</v>
      </c>
      <c r="N436" s="4" t="s">
        <v>19</v>
      </c>
      <c r="O436" s="4" t="s">
        <v>62</v>
      </c>
      <c r="P436" s="4" t="s">
        <v>74</v>
      </c>
    </row>
    <row r="437" spans="1:16" x14ac:dyDescent="0.3">
      <c r="A437" s="4">
        <v>2023</v>
      </c>
      <c r="B437" s="4" t="s">
        <v>21</v>
      </c>
      <c r="C437" s="4" t="s">
        <v>16</v>
      </c>
      <c r="D437" s="4" t="s">
        <v>56</v>
      </c>
      <c r="E437" s="4">
        <v>309</v>
      </c>
      <c r="F437" s="4">
        <v>350</v>
      </c>
      <c r="G437" s="4">
        <v>86</v>
      </c>
      <c r="H437" s="4">
        <v>108.15</v>
      </c>
      <c r="I437" s="4">
        <v>26.57</v>
      </c>
      <c r="J437" s="4">
        <v>81.58</v>
      </c>
      <c r="K437" s="4">
        <v>-2.31</v>
      </c>
      <c r="L437" s="4">
        <v>258</v>
      </c>
      <c r="M437" s="4" t="s">
        <v>37</v>
      </c>
      <c r="N437" s="4" t="s">
        <v>19</v>
      </c>
      <c r="O437" s="4" t="s">
        <v>62</v>
      </c>
      <c r="P437" s="4" t="s">
        <v>76</v>
      </c>
    </row>
    <row r="438" spans="1:16" x14ac:dyDescent="0.3">
      <c r="A438" s="4">
        <v>2024</v>
      </c>
      <c r="B438" s="4" t="s">
        <v>21</v>
      </c>
      <c r="C438" s="4" t="s">
        <v>33</v>
      </c>
      <c r="D438" s="4" t="s">
        <v>54</v>
      </c>
      <c r="E438" s="4">
        <v>97</v>
      </c>
      <c r="F438" s="4">
        <v>394</v>
      </c>
      <c r="G438" s="4">
        <v>261</v>
      </c>
      <c r="H438" s="4">
        <v>38.22</v>
      </c>
      <c r="I438" s="4">
        <v>25.32</v>
      </c>
      <c r="J438" s="4">
        <v>12.9</v>
      </c>
      <c r="K438" s="4">
        <v>-4.1100000000000003</v>
      </c>
      <c r="L438" s="4">
        <v>37</v>
      </c>
      <c r="M438" s="4" t="s">
        <v>28</v>
      </c>
      <c r="N438" s="4" t="s">
        <v>19</v>
      </c>
      <c r="O438" s="4" t="s">
        <v>62</v>
      </c>
      <c r="P438" s="4" t="s">
        <v>71</v>
      </c>
    </row>
    <row r="439" spans="1:16" x14ac:dyDescent="0.3">
      <c r="A439" s="4">
        <v>2024</v>
      </c>
      <c r="B439" s="4" t="s">
        <v>39</v>
      </c>
      <c r="C439" s="4" t="s">
        <v>22</v>
      </c>
      <c r="D439" s="4" t="s">
        <v>23</v>
      </c>
      <c r="E439" s="4">
        <v>325</v>
      </c>
      <c r="F439" s="4">
        <v>170</v>
      </c>
      <c r="G439" s="4">
        <v>93</v>
      </c>
      <c r="H439" s="4">
        <v>55.25</v>
      </c>
      <c r="I439" s="4">
        <v>30.23</v>
      </c>
      <c r="J439" s="4">
        <v>25.02</v>
      </c>
      <c r="K439" s="4">
        <v>17.350000000000001</v>
      </c>
      <c r="L439" s="4">
        <v>167</v>
      </c>
      <c r="M439" s="4" t="s">
        <v>37</v>
      </c>
      <c r="N439" s="4" t="s">
        <v>31</v>
      </c>
      <c r="O439" s="4" t="s">
        <v>42</v>
      </c>
      <c r="P439" s="4" t="s">
        <v>74</v>
      </c>
    </row>
    <row r="440" spans="1:16" x14ac:dyDescent="0.3">
      <c r="A440" s="4">
        <v>2024</v>
      </c>
      <c r="B440" s="4" t="s">
        <v>57</v>
      </c>
      <c r="C440" s="4" t="s">
        <v>33</v>
      </c>
      <c r="D440" s="4" t="s">
        <v>54</v>
      </c>
      <c r="E440" s="4">
        <v>365</v>
      </c>
      <c r="F440" s="4">
        <v>179</v>
      </c>
      <c r="G440" s="4">
        <v>106</v>
      </c>
      <c r="H440" s="4">
        <v>65.33</v>
      </c>
      <c r="I440" s="4">
        <v>38.69</v>
      </c>
      <c r="J440" s="4">
        <v>26.64</v>
      </c>
      <c r="K440" s="4">
        <v>13.65</v>
      </c>
      <c r="L440" s="4">
        <v>31</v>
      </c>
      <c r="M440" s="4" t="s">
        <v>18</v>
      </c>
      <c r="N440" s="4" t="s">
        <v>31</v>
      </c>
      <c r="O440" s="4" t="s">
        <v>42</v>
      </c>
      <c r="P440" s="4" t="s">
        <v>75</v>
      </c>
    </row>
    <row r="441" spans="1:16" x14ac:dyDescent="0.3">
      <c r="A441" s="4">
        <v>2025</v>
      </c>
      <c r="B441" s="4" t="s">
        <v>45</v>
      </c>
      <c r="C441" s="4" t="s">
        <v>35</v>
      </c>
      <c r="D441" s="4" t="s">
        <v>43</v>
      </c>
      <c r="E441" s="4">
        <v>240</v>
      </c>
      <c r="F441" s="4">
        <v>265</v>
      </c>
      <c r="G441" s="4">
        <v>205</v>
      </c>
      <c r="H441" s="4">
        <v>63.6</v>
      </c>
      <c r="I441" s="4">
        <v>49.2</v>
      </c>
      <c r="J441" s="4">
        <v>14.4</v>
      </c>
      <c r="K441" s="4">
        <v>23.7</v>
      </c>
      <c r="L441" s="4">
        <v>78</v>
      </c>
      <c r="M441" s="4" t="s">
        <v>28</v>
      </c>
      <c r="N441" s="4" t="s">
        <v>24</v>
      </c>
      <c r="O441" s="4" t="s">
        <v>63</v>
      </c>
      <c r="P441" s="4" t="s">
        <v>71</v>
      </c>
    </row>
    <row r="442" spans="1:16" x14ac:dyDescent="0.3">
      <c r="A442" s="4">
        <v>2025</v>
      </c>
      <c r="B442" s="4" t="s">
        <v>57</v>
      </c>
      <c r="C442" s="4" t="s">
        <v>22</v>
      </c>
      <c r="D442" s="4" t="s">
        <v>23</v>
      </c>
      <c r="E442" s="4">
        <v>426</v>
      </c>
      <c r="F442" s="4">
        <v>396</v>
      </c>
      <c r="G442" s="4">
        <v>47</v>
      </c>
      <c r="H442" s="4">
        <v>168.7</v>
      </c>
      <c r="I442" s="4">
        <v>20.02</v>
      </c>
      <c r="J442" s="4">
        <v>148.66999999999999</v>
      </c>
      <c r="K442" s="4">
        <v>13.09</v>
      </c>
      <c r="L442" s="4">
        <v>201</v>
      </c>
      <c r="M442" s="4" t="s">
        <v>18</v>
      </c>
      <c r="N442" s="4" t="s">
        <v>19</v>
      </c>
      <c r="O442" s="4" t="s">
        <v>62</v>
      </c>
      <c r="P442" s="4" t="s">
        <v>74</v>
      </c>
    </row>
    <row r="443" spans="1:16" x14ac:dyDescent="0.3">
      <c r="A443" s="4">
        <v>2023</v>
      </c>
      <c r="B443" s="4" t="s">
        <v>29</v>
      </c>
      <c r="C443" s="4" t="s">
        <v>22</v>
      </c>
      <c r="D443" s="4" t="s">
        <v>55</v>
      </c>
      <c r="E443" s="4">
        <v>366</v>
      </c>
      <c r="F443" s="4">
        <v>228</v>
      </c>
      <c r="G443" s="4">
        <v>166</v>
      </c>
      <c r="H443" s="4">
        <v>83.45</v>
      </c>
      <c r="I443" s="4">
        <v>60.76</v>
      </c>
      <c r="J443" s="4">
        <v>22.69</v>
      </c>
      <c r="K443" s="4">
        <v>5.36</v>
      </c>
      <c r="L443" s="4">
        <v>176</v>
      </c>
      <c r="M443" s="4" t="s">
        <v>18</v>
      </c>
      <c r="N443" s="4" t="s">
        <v>19</v>
      </c>
      <c r="O443" s="4" t="s">
        <v>62</v>
      </c>
      <c r="P443" s="4" t="s">
        <v>76</v>
      </c>
    </row>
    <row r="444" spans="1:16" x14ac:dyDescent="0.3">
      <c r="A444" s="4">
        <v>2025</v>
      </c>
      <c r="B444" s="4" t="s">
        <v>47</v>
      </c>
      <c r="C444" s="4" t="s">
        <v>33</v>
      </c>
      <c r="D444" s="4" t="s">
        <v>50</v>
      </c>
      <c r="E444" s="4">
        <v>411</v>
      </c>
      <c r="F444" s="4">
        <v>249</v>
      </c>
      <c r="G444" s="4">
        <v>123</v>
      </c>
      <c r="H444" s="4">
        <v>102.34</v>
      </c>
      <c r="I444" s="4">
        <v>50.55</v>
      </c>
      <c r="J444" s="4">
        <v>51.79</v>
      </c>
      <c r="K444" s="4">
        <v>7.42</v>
      </c>
      <c r="L444" s="4">
        <v>150</v>
      </c>
      <c r="M444" s="4" t="s">
        <v>18</v>
      </c>
      <c r="N444" s="4" t="s">
        <v>31</v>
      </c>
      <c r="O444" s="4" t="s">
        <v>42</v>
      </c>
      <c r="P444" s="4" t="s">
        <v>76</v>
      </c>
    </row>
    <row r="445" spans="1:16" x14ac:dyDescent="0.3">
      <c r="A445" s="4">
        <v>2025</v>
      </c>
      <c r="B445" s="4" t="s">
        <v>57</v>
      </c>
      <c r="C445" s="4" t="s">
        <v>26</v>
      </c>
      <c r="D445" s="4" t="s">
        <v>27</v>
      </c>
      <c r="E445" s="4">
        <v>336</v>
      </c>
      <c r="F445" s="4">
        <v>149</v>
      </c>
      <c r="G445" s="4">
        <v>36</v>
      </c>
      <c r="H445" s="4">
        <v>50.06</v>
      </c>
      <c r="I445" s="4">
        <v>12.1</v>
      </c>
      <c r="J445" s="4">
        <v>37.97</v>
      </c>
      <c r="K445" s="4">
        <v>20.88</v>
      </c>
      <c r="L445" s="4">
        <v>225</v>
      </c>
      <c r="M445" s="4" t="s">
        <v>37</v>
      </c>
      <c r="N445" s="4" t="s">
        <v>19</v>
      </c>
      <c r="O445" s="4" t="s">
        <v>62</v>
      </c>
      <c r="P445" s="4" t="s">
        <v>71</v>
      </c>
    </row>
    <row r="446" spans="1:16" x14ac:dyDescent="0.3">
      <c r="A446" s="4">
        <v>2023</v>
      </c>
      <c r="B446" s="4" t="s">
        <v>51</v>
      </c>
      <c r="C446" s="4" t="s">
        <v>33</v>
      </c>
      <c r="D446" s="4" t="s">
        <v>54</v>
      </c>
      <c r="E446" s="4">
        <v>425</v>
      </c>
      <c r="F446" s="4">
        <v>294</v>
      </c>
      <c r="G446" s="4">
        <v>35</v>
      </c>
      <c r="H446" s="4">
        <v>124.95</v>
      </c>
      <c r="I446" s="4">
        <v>14.88</v>
      </c>
      <c r="J446" s="4">
        <v>110.08</v>
      </c>
      <c r="K446" s="4">
        <v>-4.63</v>
      </c>
      <c r="L446" s="4">
        <v>102</v>
      </c>
      <c r="M446" s="4" t="s">
        <v>28</v>
      </c>
      <c r="N446" s="4" t="s">
        <v>19</v>
      </c>
      <c r="O446" s="4" t="s">
        <v>62</v>
      </c>
      <c r="P446" s="4" t="s">
        <v>75</v>
      </c>
    </row>
    <row r="447" spans="1:16" x14ac:dyDescent="0.3">
      <c r="A447" s="4">
        <v>2024</v>
      </c>
      <c r="B447" s="4" t="s">
        <v>32</v>
      </c>
      <c r="C447" s="4" t="s">
        <v>22</v>
      </c>
      <c r="D447" s="4" t="s">
        <v>59</v>
      </c>
      <c r="E447" s="4">
        <v>138</v>
      </c>
      <c r="F447" s="4">
        <v>300</v>
      </c>
      <c r="G447" s="4">
        <v>261</v>
      </c>
      <c r="H447" s="4">
        <v>41.4</v>
      </c>
      <c r="I447" s="4">
        <v>36.020000000000003</v>
      </c>
      <c r="J447" s="4">
        <v>5.38</v>
      </c>
      <c r="K447" s="4">
        <v>17.059999999999999</v>
      </c>
      <c r="L447" s="4">
        <v>44</v>
      </c>
      <c r="M447" s="4" t="s">
        <v>37</v>
      </c>
      <c r="N447" s="4" t="s">
        <v>19</v>
      </c>
      <c r="O447" s="4" t="s">
        <v>62</v>
      </c>
      <c r="P447" s="4" t="s">
        <v>72</v>
      </c>
    </row>
    <row r="448" spans="1:16" x14ac:dyDescent="0.3">
      <c r="A448" s="4">
        <v>2025</v>
      </c>
      <c r="B448" s="4" t="s">
        <v>41</v>
      </c>
      <c r="C448" s="4" t="s">
        <v>26</v>
      </c>
      <c r="D448" s="4" t="s">
        <v>58</v>
      </c>
      <c r="E448" s="4">
        <v>319</v>
      </c>
      <c r="F448" s="4">
        <v>231</v>
      </c>
      <c r="G448" s="4">
        <v>99</v>
      </c>
      <c r="H448" s="4">
        <v>73.69</v>
      </c>
      <c r="I448" s="4">
        <v>31.58</v>
      </c>
      <c r="J448" s="4">
        <v>42.11</v>
      </c>
      <c r="K448" s="4">
        <v>-7.68</v>
      </c>
      <c r="L448" s="4">
        <v>118</v>
      </c>
      <c r="M448" s="4" t="s">
        <v>18</v>
      </c>
      <c r="N448" s="4" t="s">
        <v>19</v>
      </c>
      <c r="O448" s="4" t="s">
        <v>62</v>
      </c>
      <c r="P448" s="4" t="s">
        <v>75</v>
      </c>
    </row>
    <row r="449" spans="1:16" x14ac:dyDescent="0.3">
      <c r="A449" s="4">
        <v>2025</v>
      </c>
      <c r="B449" s="4" t="s">
        <v>39</v>
      </c>
      <c r="C449" s="4" t="s">
        <v>33</v>
      </c>
      <c r="D449" s="4" t="s">
        <v>48</v>
      </c>
      <c r="E449" s="4">
        <v>271</v>
      </c>
      <c r="F449" s="4">
        <v>387</v>
      </c>
      <c r="G449" s="4">
        <v>45</v>
      </c>
      <c r="H449" s="4">
        <v>104.88</v>
      </c>
      <c r="I449" s="4">
        <v>12.2</v>
      </c>
      <c r="J449" s="4">
        <v>92.68</v>
      </c>
      <c r="K449" s="4">
        <v>1.18</v>
      </c>
      <c r="L449" s="4">
        <v>92</v>
      </c>
      <c r="M449" s="4" t="s">
        <v>28</v>
      </c>
      <c r="N449" s="4" t="s">
        <v>24</v>
      </c>
      <c r="O449" s="4" t="s">
        <v>63</v>
      </c>
      <c r="P449" s="4" t="s">
        <v>75</v>
      </c>
    </row>
    <row r="450" spans="1:16" x14ac:dyDescent="0.3">
      <c r="A450" s="4">
        <v>2025</v>
      </c>
      <c r="B450" s="4" t="s">
        <v>41</v>
      </c>
      <c r="C450" s="4" t="s">
        <v>22</v>
      </c>
      <c r="D450" s="4" t="s">
        <v>59</v>
      </c>
      <c r="E450" s="4">
        <v>207</v>
      </c>
      <c r="F450" s="4">
        <v>178</v>
      </c>
      <c r="G450" s="4">
        <v>78</v>
      </c>
      <c r="H450" s="4">
        <v>36.85</v>
      </c>
      <c r="I450" s="4">
        <v>16.149999999999999</v>
      </c>
      <c r="J450" s="4">
        <v>20.7</v>
      </c>
      <c r="K450" s="4">
        <v>-6.22</v>
      </c>
      <c r="L450" s="4">
        <v>171</v>
      </c>
      <c r="M450" s="4" t="s">
        <v>37</v>
      </c>
      <c r="N450" s="4" t="s">
        <v>24</v>
      </c>
      <c r="O450" s="4" t="s">
        <v>63</v>
      </c>
      <c r="P450" s="4" t="s">
        <v>76</v>
      </c>
    </row>
    <row r="451" spans="1:16" x14ac:dyDescent="0.3">
      <c r="A451" s="4">
        <v>2025</v>
      </c>
      <c r="B451" s="4" t="s">
        <v>47</v>
      </c>
      <c r="C451" s="4" t="s">
        <v>33</v>
      </c>
      <c r="D451" s="4" t="s">
        <v>34</v>
      </c>
      <c r="E451" s="4">
        <v>227</v>
      </c>
      <c r="F451" s="4">
        <v>402</v>
      </c>
      <c r="G451" s="4">
        <v>146</v>
      </c>
      <c r="H451" s="4">
        <v>91.25</v>
      </c>
      <c r="I451" s="4">
        <v>33.14</v>
      </c>
      <c r="J451" s="4">
        <v>58.11</v>
      </c>
      <c r="K451" s="4">
        <v>-1.68</v>
      </c>
      <c r="L451" s="4">
        <v>107</v>
      </c>
      <c r="M451" s="4" t="s">
        <v>37</v>
      </c>
      <c r="N451" s="4" t="s">
        <v>24</v>
      </c>
      <c r="O451" s="4" t="s">
        <v>63</v>
      </c>
      <c r="P451" s="4" t="s">
        <v>76</v>
      </c>
    </row>
    <row r="452" spans="1:16" x14ac:dyDescent="0.3">
      <c r="A452" s="4">
        <v>2024</v>
      </c>
      <c r="B452" s="4" t="s">
        <v>15</v>
      </c>
      <c r="C452" s="4" t="s">
        <v>35</v>
      </c>
      <c r="D452" s="4" t="s">
        <v>36</v>
      </c>
      <c r="E452" s="4">
        <v>229</v>
      </c>
      <c r="F452" s="4">
        <v>465</v>
      </c>
      <c r="G452" s="4">
        <v>259</v>
      </c>
      <c r="H452" s="4">
        <v>106.48</v>
      </c>
      <c r="I452" s="4">
        <v>59.31</v>
      </c>
      <c r="J452" s="4">
        <v>47.17</v>
      </c>
      <c r="K452" s="4">
        <v>7.85</v>
      </c>
      <c r="L452" s="4">
        <v>57</v>
      </c>
      <c r="M452" s="4" t="s">
        <v>37</v>
      </c>
      <c r="N452" s="4" t="s">
        <v>24</v>
      </c>
      <c r="O452" s="4" t="s">
        <v>63</v>
      </c>
      <c r="P452" s="4" t="s">
        <v>74</v>
      </c>
    </row>
    <row r="453" spans="1:16" x14ac:dyDescent="0.3">
      <c r="A453" s="4">
        <v>2023</v>
      </c>
      <c r="B453" s="4" t="s">
        <v>46</v>
      </c>
      <c r="C453" s="4" t="s">
        <v>22</v>
      </c>
      <c r="D453" s="4" t="s">
        <v>53</v>
      </c>
      <c r="E453" s="4">
        <v>189</v>
      </c>
      <c r="F453" s="4">
        <v>294</v>
      </c>
      <c r="G453" s="4">
        <v>167</v>
      </c>
      <c r="H453" s="4">
        <v>55.57</v>
      </c>
      <c r="I453" s="4">
        <v>31.56</v>
      </c>
      <c r="J453" s="4">
        <v>24</v>
      </c>
      <c r="K453" s="4">
        <v>17.09</v>
      </c>
      <c r="L453" s="4">
        <v>101</v>
      </c>
      <c r="M453" s="4" t="s">
        <v>37</v>
      </c>
      <c r="N453" s="4" t="s">
        <v>24</v>
      </c>
      <c r="O453" s="4" t="s">
        <v>63</v>
      </c>
      <c r="P453" s="4" t="s">
        <v>74</v>
      </c>
    </row>
    <row r="454" spans="1:16" x14ac:dyDescent="0.3">
      <c r="A454" s="4">
        <v>2024</v>
      </c>
      <c r="B454" s="4" t="s">
        <v>41</v>
      </c>
      <c r="C454" s="4" t="s">
        <v>33</v>
      </c>
      <c r="D454" s="4" t="s">
        <v>54</v>
      </c>
      <c r="E454" s="4">
        <v>153</v>
      </c>
      <c r="F454" s="4">
        <v>393</v>
      </c>
      <c r="G454" s="4">
        <v>278</v>
      </c>
      <c r="H454" s="4">
        <v>60.13</v>
      </c>
      <c r="I454" s="4">
        <v>42.53</v>
      </c>
      <c r="J454" s="4">
        <v>17.59</v>
      </c>
      <c r="K454" s="4">
        <v>3.4</v>
      </c>
      <c r="L454" s="4">
        <v>278</v>
      </c>
      <c r="M454" s="4" t="s">
        <v>37</v>
      </c>
      <c r="N454" s="4" t="s">
        <v>24</v>
      </c>
      <c r="O454" s="4" t="s">
        <v>63</v>
      </c>
      <c r="P454" s="4" t="s">
        <v>76</v>
      </c>
    </row>
    <row r="455" spans="1:16" x14ac:dyDescent="0.3">
      <c r="A455" s="4">
        <v>2025</v>
      </c>
      <c r="B455" s="4" t="s">
        <v>41</v>
      </c>
      <c r="C455" s="4" t="s">
        <v>33</v>
      </c>
      <c r="D455" s="4" t="s">
        <v>34</v>
      </c>
      <c r="E455" s="4">
        <v>470</v>
      </c>
      <c r="F455" s="4">
        <v>297</v>
      </c>
      <c r="G455" s="4">
        <v>105</v>
      </c>
      <c r="H455" s="4">
        <v>139.59</v>
      </c>
      <c r="I455" s="4">
        <v>49.35</v>
      </c>
      <c r="J455" s="4">
        <v>90.24</v>
      </c>
      <c r="K455" s="4">
        <v>-1.17</v>
      </c>
      <c r="L455" s="4">
        <v>191</v>
      </c>
      <c r="M455" s="4" t="s">
        <v>37</v>
      </c>
      <c r="N455" s="4" t="s">
        <v>31</v>
      </c>
      <c r="O455" s="4" t="s">
        <v>42</v>
      </c>
      <c r="P455" s="4" t="s">
        <v>73</v>
      </c>
    </row>
    <row r="456" spans="1:16" x14ac:dyDescent="0.3">
      <c r="A456" s="4">
        <v>2024</v>
      </c>
      <c r="B456" s="4" t="s">
        <v>47</v>
      </c>
      <c r="C456" s="4" t="s">
        <v>22</v>
      </c>
      <c r="D456" s="4" t="s">
        <v>55</v>
      </c>
      <c r="E456" s="4">
        <v>366</v>
      </c>
      <c r="F456" s="4">
        <v>471</v>
      </c>
      <c r="G456" s="4">
        <v>172</v>
      </c>
      <c r="H456" s="4">
        <v>172.39</v>
      </c>
      <c r="I456" s="4">
        <v>62.95</v>
      </c>
      <c r="J456" s="4">
        <v>109.43</v>
      </c>
      <c r="K456" s="4">
        <v>6.73</v>
      </c>
      <c r="L456" s="4">
        <v>279</v>
      </c>
      <c r="M456" s="4" t="s">
        <v>37</v>
      </c>
      <c r="N456" s="4" t="s">
        <v>24</v>
      </c>
      <c r="O456" s="4" t="s">
        <v>63</v>
      </c>
      <c r="P456" s="4" t="s">
        <v>76</v>
      </c>
    </row>
    <row r="457" spans="1:16" x14ac:dyDescent="0.3">
      <c r="A457" s="4">
        <v>2025</v>
      </c>
      <c r="B457" s="4" t="s">
        <v>39</v>
      </c>
      <c r="C457" s="4" t="s">
        <v>22</v>
      </c>
      <c r="D457" s="4" t="s">
        <v>59</v>
      </c>
      <c r="E457" s="4">
        <v>301</v>
      </c>
      <c r="F457" s="4">
        <v>223</v>
      </c>
      <c r="G457" s="4">
        <v>188</v>
      </c>
      <c r="H457" s="4">
        <v>67.12</v>
      </c>
      <c r="I457" s="4">
        <v>56.59</v>
      </c>
      <c r="J457" s="4">
        <v>10.54</v>
      </c>
      <c r="K457" s="4">
        <v>0.89</v>
      </c>
      <c r="L457" s="4">
        <v>200</v>
      </c>
      <c r="M457" s="4" t="s">
        <v>28</v>
      </c>
      <c r="N457" s="4" t="s">
        <v>24</v>
      </c>
      <c r="O457" s="4" t="s">
        <v>63</v>
      </c>
      <c r="P457" s="4" t="s">
        <v>75</v>
      </c>
    </row>
    <row r="458" spans="1:16" x14ac:dyDescent="0.3">
      <c r="A458" s="4">
        <v>2025</v>
      </c>
      <c r="B458" s="4" t="s">
        <v>32</v>
      </c>
      <c r="C458" s="4" t="s">
        <v>22</v>
      </c>
      <c r="D458" s="4" t="s">
        <v>23</v>
      </c>
      <c r="E458" s="4">
        <v>86</v>
      </c>
      <c r="F458" s="4">
        <v>188</v>
      </c>
      <c r="G458" s="4">
        <v>97</v>
      </c>
      <c r="H458" s="4">
        <v>16.170000000000002</v>
      </c>
      <c r="I458" s="4">
        <v>8.34</v>
      </c>
      <c r="J458" s="4">
        <v>7.83</v>
      </c>
      <c r="K458" s="4">
        <v>-3</v>
      </c>
      <c r="L458" s="4">
        <v>93</v>
      </c>
      <c r="M458" s="4" t="s">
        <v>18</v>
      </c>
      <c r="N458" s="4" t="s">
        <v>24</v>
      </c>
      <c r="O458" s="4" t="s">
        <v>63</v>
      </c>
      <c r="P458" s="4" t="s">
        <v>75</v>
      </c>
    </row>
    <row r="459" spans="1:16" x14ac:dyDescent="0.3">
      <c r="A459" s="4">
        <v>2023</v>
      </c>
      <c r="B459" s="4" t="s">
        <v>41</v>
      </c>
      <c r="C459" s="4" t="s">
        <v>35</v>
      </c>
      <c r="D459" s="4" t="s">
        <v>43</v>
      </c>
      <c r="E459" s="4">
        <v>347</v>
      </c>
      <c r="F459" s="4">
        <v>208</v>
      </c>
      <c r="G459" s="4">
        <v>60</v>
      </c>
      <c r="H459" s="4">
        <v>72.180000000000007</v>
      </c>
      <c r="I459" s="4">
        <v>20.82</v>
      </c>
      <c r="J459" s="4">
        <v>51.36</v>
      </c>
      <c r="K459" s="4">
        <v>7.41</v>
      </c>
      <c r="L459" s="4">
        <v>103</v>
      </c>
      <c r="M459" s="4" t="s">
        <v>37</v>
      </c>
      <c r="N459" s="4" t="s">
        <v>31</v>
      </c>
      <c r="O459" s="4" t="s">
        <v>42</v>
      </c>
      <c r="P459" s="4" t="s">
        <v>73</v>
      </c>
    </row>
    <row r="460" spans="1:16" x14ac:dyDescent="0.3">
      <c r="A460" s="4">
        <v>2025</v>
      </c>
      <c r="B460" s="4" t="s">
        <v>49</v>
      </c>
      <c r="C460" s="4" t="s">
        <v>26</v>
      </c>
      <c r="D460" s="4" t="s">
        <v>27</v>
      </c>
      <c r="E460" s="4">
        <v>143</v>
      </c>
      <c r="F460" s="4">
        <v>158</v>
      </c>
      <c r="G460" s="4">
        <v>86</v>
      </c>
      <c r="H460" s="4">
        <v>22.59</v>
      </c>
      <c r="I460" s="4">
        <v>12.3</v>
      </c>
      <c r="J460" s="4">
        <v>10.3</v>
      </c>
      <c r="K460" s="4">
        <v>-3.35</v>
      </c>
      <c r="L460" s="4">
        <v>60</v>
      </c>
      <c r="M460" s="4" t="s">
        <v>28</v>
      </c>
      <c r="N460" s="4" t="s">
        <v>24</v>
      </c>
      <c r="O460" s="4" t="s">
        <v>63</v>
      </c>
      <c r="P460" s="4" t="s">
        <v>72</v>
      </c>
    </row>
    <row r="461" spans="1:16" x14ac:dyDescent="0.3">
      <c r="A461" s="4">
        <v>2024</v>
      </c>
      <c r="B461" s="4" t="s">
        <v>15</v>
      </c>
      <c r="C461" s="4" t="s">
        <v>16</v>
      </c>
      <c r="D461" s="4" t="s">
        <v>30</v>
      </c>
      <c r="E461" s="4">
        <v>389</v>
      </c>
      <c r="F461" s="4">
        <v>148</v>
      </c>
      <c r="G461" s="4">
        <v>99</v>
      </c>
      <c r="H461" s="4">
        <v>57.57</v>
      </c>
      <c r="I461" s="4">
        <v>38.51</v>
      </c>
      <c r="J461" s="4">
        <v>19.059999999999999</v>
      </c>
      <c r="K461" s="4">
        <v>-6.31</v>
      </c>
      <c r="L461" s="4">
        <v>32</v>
      </c>
      <c r="M461" s="4" t="s">
        <v>18</v>
      </c>
      <c r="N461" s="4" t="s">
        <v>19</v>
      </c>
      <c r="O461" s="4" t="s">
        <v>62</v>
      </c>
      <c r="P461" s="4" t="s">
        <v>71</v>
      </c>
    </row>
    <row r="462" spans="1:16" x14ac:dyDescent="0.3">
      <c r="A462" s="4">
        <v>2025</v>
      </c>
      <c r="B462" s="4" t="s">
        <v>41</v>
      </c>
      <c r="C462" s="4" t="s">
        <v>16</v>
      </c>
      <c r="D462" s="4" t="s">
        <v>56</v>
      </c>
      <c r="E462" s="4">
        <v>147</v>
      </c>
      <c r="F462" s="4">
        <v>108</v>
      </c>
      <c r="G462" s="4">
        <v>80</v>
      </c>
      <c r="H462" s="4">
        <v>15.88</v>
      </c>
      <c r="I462" s="4">
        <v>11.76</v>
      </c>
      <c r="J462" s="4">
        <v>4.12</v>
      </c>
      <c r="K462" s="4">
        <v>-4.26</v>
      </c>
      <c r="L462" s="4">
        <v>51</v>
      </c>
      <c r="M462" s="4" t="s">
        <v>28</v>
      </c>
      <c r="N462" s="4" t="s">
        <v>19</v>
      </c>
      <c r="O462" s="4" t="s">
        <v>62</v>
      </c>
      <c r="P462" s="4" t="s">
        <v>74</v>
      </c>
    </row>
    <row r="463" spans="1:16" x14ac:dyDescent="0.3">
      <c r="A463" s="4">
        <v>2023</v>
      </c>
      <c r="B463" s="4" t="s">
        <v>57</v>
      </c>
      <c r="C463" s="4" t="s">
        <v>26</v>
      </c>
      <c r="D463" s="4" t="s">
        <v>58</v>
      </c>
      <c r="E463" s="4">
        <v>405</v>
      </c>
      <c r="F463" s="4">
        <v>116</v>
      </c>
      <c r="G463" s="4">
        <v>48</v>
      </c>
      <c r="H463" s="4">
        <v>46.98</v>
      </c>
      <c r="I463" s="4">
        <v>19.440000000000001</v>
      </c>
      <c r="J463" s="4">
        <v>27.54</v>
      </c>
      <c r="K463" s="4">
        <v>0.92</v>
      </c>
      <c r="L463" s="4">
        <v>209</v>
      </c>
      <c r="M463" s="4" t="s">
        <v>28</v>
      </c>
      <c r="N463" s="4" t="s">
        <v>24</v>
      </c>
      <c r="O463" s="4" t="s">
        <v>63</v>
      </c>
      <c r="P463" s="4" t="s">
        <v>75</v>
      </c>
    </row>
    <row r="464" spans="1:16" x14ac:dyDescent="0.3">
      <c r="A464" s="4">
        <v>2025</v>
      </c>
      <c r="B464" s="4" t="s">
        <v>29</v>
      </c>
      <c r="C464" s="4" t="s">
        <v>26</v>
      </c>
      <c r="D464" s="4" t="s">
        <v>58</v>
      </c>
      <c r="E464" s="4">
        <v>500</v>
      </c>
      <c r="F464" s="4">
        <v>212</v>
      </c>
      <c r="G464" s="4">
        <v>175</v>
      </c>
      <c r="H464" s="4">
        <v>106</v>
      </c>
      <c r="I464" s="4">
        <v>87.5</v>
      </c>
      <c r="J464" s="4">
        <v>18.5</v>
      </c>
      <c r="K464" s="4">
        <v>1.46</v>
      </c>
      <c r="L464" s="4">
        <v>249</v>
      </c>
      <c r="M464" s="4" t="s">
        <v>28</v>
      </c>
      <c r="N464" s="4" t="s">
        <v>19</v>
      </c>
      <c r="O464" s="4" t="s">
        <v>62</v>
      </c>
      <c r="P464" s="4" t="s">
        <v>73</v>
      </c>
    </row>
    <row r="465" spans="1:16" x14ac:dyDescent="0.3">
      <c r="A465" s="4">
        <v>2023</v>
      </c>
      <c r="B465" s="4" t="s">
        <v>57</v>
      </c>
      <c r="C465" s="4" t="s">
        <v>16</v>
      </c>
      <c r="D465" s="4" t="s">
        <v>30</v>
      </c>
      <c r="E465" s="4">
        <v>67</v>
      </c>
      <c r="F465" s="4">
        <v>274</v>
      </c>
      <c r="G465" s="4">
        <v>194</v>
      </c>
      <c r="H465" s="4">
        <v>18.36</v>
      </c>
      <c r="I465" s="4">
        <v>13</v>
      </c>
      <c r="J465" s="4">
        <v>5.36</v>
      </c>
      <c r="K465" s="4">
        <v>-4.07</v>
      </c>
      <c r="L465" s="4">
        <v>170</v>
      </c>
      <c r="M465" s="4" t="s">
        <v>37</v>
      </c>
      <c r="N465" s="4" t="s">
        <v>24</v>
      </c>
      <c r="O465" s="4" t="s">
        <v>63</v>
      </c>
      <c r="P465" s="4" t="s">
        <v>76</v>
      </c>
    </row>
    <row r="466" spans="1:16" x14ac:dyDescent="0.3">
      <c r="A466" s="4">
        <v>2023</v>
      </c>
      <c r="B466" s="4" t="s">
        <v>57</v>
      </c>
      <c r="C466" s="4" t="s">
        <v>35</v>
      </c>
      <c r="D466" s="4" t="s">
        <v>40</v>
      </c>
      <c r="E466" s="4">
        <v>499</v>
      </c>
      <c r="F466" s="4">
        <v>200</v>
      </c>
      <c r="G466" s="4">
        <v>82</v>
      </c>
      <c r="H466" s="4">
        <v>99.8</v>
      </c>
      <c r="I466" s="4">
        <v>40.92</v>
      </c>
      <c r="J466" s="4">
        <v>58.88</v>
      </c>
      <c r="K466" s="4">
        <v>19.97</v>
      </c>
      <c r="L466" s="4">
        <v>212</v>
      </c>
      <c r="M466" s="4" t="s">
        <v>18</v>
      </c>
      <c r="N466" s="4" t="s">
        <v>31</v>
      </c>
      <c r="O466" s="4" t="s">
        <v>42</v>
      </c>
      <c r="P466" s="4" t="s">
        <v>74</v>
      </c>
    </row>
    <row r="467" spans="1:16" x14ac:dyDescent="0.3">
      <c r="A467" s="4">
        <v>2024</v>
      </c>
      <c r="B467" s="4" t="s">
        <v>39</v>
      </c>
      <c r="C467" s="4" t="s">
        <v>33</v>
      </c>
      <c r="D467" s="4" t="s">
        <v>50</v>
      </c>
      <c r="E467" s="4">
        <v>376</v>
      </c>
      <c r="F467" s="4">
        <v>171</v>
      </c>
      <c r="G467" s="4">
        <v>84</v>
      </c>
      <c r="H467" s="4">
        <v>64.3</v>
      </c>
      <c r="I467" s="4">
        <v>31.58</v>
      </c>
      <c r="J467" s="4">
        <v>32.71</v>
      </c>
      <c r="K467" s="4">
        <v>15.26</v>
      </c>
      <c r="L467" s="4">
        <v>111</v>
      </c>
      <c r="M467" s="4" t="s">
        <v>18</v>
      </c>
      <c r="N467" s="4" t="s">
        <v>38</v>
      </c>
      <c r="O467" s="4" t="s">
        <v>44</v>
      </c>
      <c r="P467" s="4" t="s">
        <v>72</v>
      </c>
    </row>
    <row r="468" spans="1:16" x14ac:dyDescent="0.3">
      <c r="A468" s="4">
        <v>2024</v>
      </c>
      <c r="B468" s="4" t="s">
        <v>46</v>
      </c>
      <c r="C468" s="4" t="s">
        <v>16</v>
      </c>
      <c r="D468" s="4" t="s">
        <v>30</v>
      </c>
      <c r="E468" s="4">
        <v>159</v>
      </c>
      <c r="F468" s="4">
        <v>333</v>
      </c>
      <c r="G468" s="4">
        <v>208</v>
      </c>
      <c r="H468" s="4">
        <v>52.95</v>
      </c>
      <c r="I468" s="4">
        <v>33.07</v>
      </c>
      <c r="J468" s="4">
        <v>19.88</v>
      </c>
      <c r="K468" s="4">
        <v>-5.83</v>
      </c>
      <c r="L468" s="4">
        <v>93</v>
      </c>
      <c r="M468" s="4" t="s">
        <v>18</v>
      </c>
      <c r="N468" s="4" t="s">
        <v>19</v>
      </c>
      <c r="O468" s="4" t="s">
        <v>62</v>
      </c>
      <c r="P468" s="4" t="s">
        <v>71</v>
      </c>
    </row>
    <row r="469" spans="1:16" x14ac:dyDescent="0.3">
      <c r="A469" s="4">
        <v>2023</v>
      </c>
      <c r="B469" s="4" t="s">
        <v>39</v>
      </c>
      <c r="C469" s="4" t="s">
        <v>33</v>
      </c>
      <c r="D469" s="4" t="s">
        <v>54</v>
      </c>
      <c r="E469" s="4">
        <v>208</v>
      </c>
      <c r="F469" s="4">
        <v>386</v>
      </c>
      <c r="G469" s="4">
        <v>64</v>
      </c>
      <c r="H469" s="4">
        <v>80.290000000000006</v>
      </c>
      <c r="I469" s="4">
        <v>13.31</v>
      </c>
      <c r="J469" s="4">
        <v>66.98</v>
      </c>
      <c r="K469" s="4">
        <v>2.16</v>
      </c>
      <c r="L469" s="4">
        <v>100</v>
      </c>
      <c r="M469" s="4" t="s">
        <v>37</v>
      </c>
      <c r="N469" s="4" t="s">
        <v>19</v>
      </c>
      <c r="O469" s="4" t="s">
        <v>62</v>
      </c>
      <c r="P469" s="4" t="s">
        <v>72</v>
      </c>
    </row>
    <row r="470" spans="1:16" x14ac:dyDescent="0.3">
      <c r="A470" s="4">
        <v>2025</v>
      </c>
      <c r="B470" s="4" t="s">
        <v>51</v>
      </c>
      <c r="C470" s="4" t="s">
        <v>35</v>
      </c>
      <c r="D470" s="4" t="s">
        <v>36</v>
      </c>
      <c r="E470" s="4">
        <v>317</v>
      </c>
      <c r="F470" s="4">
        <v>489</v>
      </c>
      <c r="G470" s="4">
        <v>173</v>
      </c>
      <c r="H470" s="4">
        <v>155.01</v>
      </c>
      <c r="I470" s="4">
        <v>54.84</v>
      </c>
      <c r="J470" s="4">
        <v>100.17</v>
      </c>
      <c r="K470" s="4">
        <v>20.86</v>
      </c>
      <c r="L470" s="4">
        <v>52</v>
      </c>
      <c r="M470" s="4" t="s">
        <v>18</v>
      </c>
      <c r="N470" s="4" t="s">
        <v>31</v>
      </c>
      <c r="O470" s="4" t="s">
        <v>42</v>
      </c>
      <c r="P470" s="4" t="s">
        <v>71</v>
      </c>
    </row>
    <row r="471" spans="1:16" x14ac:dyDescent="0.3">
      <c r="A471" s="4">
        <v>2023</v>
      </c>
      <c r="B471" s="4" t="s">
        <v>51</v>
      </c>
      <c r="C471" s="4" t="s">
        <v>16</v>
      </c>
      <c r="D471" s="4" t="s">
        <v>56</v>
      </c>
      <c r="E471" s="4">
        <v>84</v>
      </c>
      <c r="F471" s="4">
        <v>398</v>
      </c>
      <c r="G471" s="4">
        <v>299</v>
      </c>
      <c r="H471" s="4">
        <v>33.43</v>
      </c>
      <c r="I471" s="4">
        <v>25.12</v>
      </c>
      <c r="J471" s="4">
        <v>8.32</v>
      </c>
      <c r="K471" s="4">
        <v>19.010000000000002</v>
      </c>
      <c r="L471" s="4">
        <v>297</v>
      </c>
      <c r="M471" s="4" t="s">
        <v>37</v>
      </c>
      <c r="N471" s="4" t="s">
        <v>19</v>
      </c>
      <c r="O471" s="4" t="s">
        <v>62</v>
      </c>
      <c r="P471" s="4" t="s">
        <v>74</v>
      </c>
    </row>
    <row r="472" spans="1:16" x14ac:dyDescent="0.3">
      <c r="A472" s="4">
        <v>2023</v>
      </c>
      <c r="B472" s="4" t="s">
        <v>47</v>
      </c>
      <c r="C472" s="4" t="s">
        <v>22</v>
      </c>
      <c r="D472" s="4" t="s">
        <v>23</v>
      </c>
      <c r="E472" s="4">
        <v>472</v>
      </c>
      <c r="F472" s="4">
        <v>393</v>
      </c>
      <c r="G472" s="4">
        <v>265</v>
      </c>
      <c r="H472" s="4">
        <v>185.5</v>
      </c>
      <c r="I472" s="4">
        <v>125.08</v>
      </c>
      <c r="J472" s="4">
        <v>60.42</v>
      </c>
      <c r="K472" s="4">
        <v>1.24</v>
      </c>
      <c r="L472" s="4">
        <v>178</v>
      </c>
      <c r="M472" s="4" t="s">
        <v>18</v>
      </c>
      <c r="N472" s="4" t="s">
        <v>19</v>
      </c>
      <c r="O472" s="4" t="s">
        <v>62</v>
      </c>
      <c r="P472" s="4" t="s">
        <v>74</v>
      </c>
    </row>
    <row r="473" spans="1:16" x14ac:dyDescent="0.3">
      <c r="A473" s="4">
        <v>2023</v>
      </c>
      <c r="B473" s="4" t="s">
        <v>32</v>
      </c>
      <c r="C473" s="4" t="s">
        <v>16</v>
      </c>
      <c r="D473" s="4" t="s">
        <v>17</v>
      </c>
      <c r="E473" s="4">
        <v>201</v>
      </c>
      <c r="F473" s="4">
        <v>475</v>
      </c>
      <c r="G473" s="4">
        <v>335</v>
      </c>
      <c r="H473" s="4">
        <v>95.47</v>
      </c>
      <c r="I473" s="4">
        <v>67.33</v>
      </c>
      <c r="J473" s="4">
        <v>28.14</v>
      </c>
      <c r="K473" s="4">
        <v>20.73</v>
      </c>
      <c r="L473" s="4">
        <v>106</v>
      </c>
      <c r="M473" s="4" t="s">
        <v>37</v>
      </c>
      <c r="N473" s="4" t="s">
        <v>38</v>
      </c>
      <c r="O473" s="4" t="s">
        <v>44</v>
      </c>
      <c r="P473" s="4" t="s">
        <v>76</v>
      </c>
    </row>
    <row r="474" spans="1:16" x14ac:dyDescent="0.3">
      <c r="A474" s="4">
        <v>2025</v>
      </c>
      <c r="B474" s="4" t="s">
        <v>39</v>
      </c>
      <c r="C474" s="4" t="s">
        <v>26</v>
      </c>
      <c r="D474" s="4" t="s">
        <v>27</v>
      </c>
      <c r="E474" s="4">
        <v>104</v>
      </c>
      <c r="F474" s="4">
        <v>266</v>
      </c>
      <c r="G474" s="4">
        <v>128</v>
      </c>
      <c r="H474" s="4">
        <v>27.66</v>
      </c>
      <c r="I474" s="4">
        <v>13.31</v>
      </c>
      <c r="J474" s="4">
        <v>14.35</v>
      </c>
      <c r="K474" s="4">
        <v>22.23</v>
      </c>
      <c r="L474" s="4">
        <v>124</v>
      </c>
      <c r="M474" s="4" t="s">
        <v>37</v>
      </c>
      <c r="N474" s="4" t="s">
        <v>24</v>
      </c>
      <c r="O474" s="4" t="s">
        <v>63</v>
      </c>
      <c r="P474" s="4" t="s">
        <v>73</v>
      </c>
    </row>
    <row r="475" spans="1:16" x14ac:dyDescent="0.3">
      <c r="A475" s="4">
        <v>2023</v>
      </c>
      <c r="B475" s="4" t="s">
        <v>29</v>
      </c>
      <c r="C475" s="4" t="s">
        <v>22</v>
      </c>
      <c r="D475" s="4" t="s">
        <v>55</v>
      </c>
      <c r="E475" s="4">
        <v>414</v>
      </c>
      <c r="F475" s="4">
        <v>374</v>
      </c>
      <c r="G475" s="4">
        <v>359</v>
      </c>
      <c r="H475" s="4">
        <v>154.84</v>
      </c>
      <c r="I475" s="4">
        <v>148.63</v>
      </c>
      <c r="J475" s="4">
        <v>6.21</v>
      </c>
      <c r="K475" s="4">
        <v>-5.76</v>
      </c>
      <c r="L475" s="4">
        <v>130</v>
      </c>
      <c r="M475" s="4" t="s">
        <v>18</v>
      </c>
      <c r="N475" s="4" t="s">
        <v>24</v>
      </c>
      <c r="O475" s="4" t="s">
        <v>63</v>
      </c>
      <c r="P475" s="4" t="s">
        <v>75</v>
      </c>
    </row>
    <row r="476" spans="1:16" x14ac:dyDescent="0.3">
      <c r="A476" s="4">
        <v>2023</v>
      </c>
      <c r="B476" s="4" t="s">
        <v>21</v>
      </c>
      <c r="C476" s="4" t="s">
        <v>33</v>
      </c>
      <c r="D476" s="4" t="s">
        <v>34</v>
      </c>
      <c r="E476" s="4">
        <v>94</v>
      </c>
      <c r="F476" s="4">
        <v>490</v>
      </c>
      <c r="G476" s="4">
        <v>185</v>
      </c>
      <c r="H476" s="4">
        <v>46.06</v>
      </c>
      <c r="I476" s="4">
        <v>17.39</v>
      </c>
      <c r="J476" s="4">
        <v>28.67</v>
      </c>
      <c r="K476" s="4">
        <v>1.92</v>
      </c>
      <c r="L476" s="4">
        <v>162</v>
      </c>
      <c r="M476" s="4" t="s">
        <v>28</v>
      </c>
      <c r="N476" s="4" t="s">
        <v>19</v>
      </c>
      <c r="O476" s="4" t="s">
        <v>62</v>
      </c>
      <c r="P476" s="4" t="s">
        <v>72</v>
      </c>
    </row>
    <row r="477" spans="1:16" x14ac:dyDescent="0.3">
      <c r="A477" s="4">
        <v>2023</v>
      </c>
      <c r="B477" s="4" t="s">
        <v>49</v>
      </c>
      <c r="C477" s="4" t="s">
        <v>33</v>
      </c>
      <c r="D477" s="4" t="s">
        <v>54</v>
      </c>
      <c r="E477" s="4">
        <v>235</v>
      </c>
      <c r="F477" s="4">
        <v>250</v>
      </c>
      <c r="G477" s="4">
        <v>114</v>
      </c>
      <c r="H477" s="4">
        <v>58.75</v>
      </c>
      <c r="I477" s="4">
        <v>26.79</v>
      </c>
      <c r="J477" s="4">
        <v>31.96</v>
      </c>
      <c r="K477" s="4">
        <v>9.83</v>
      </c>
      <c r="L477" s="4">
        <v>55</v>
      </c>
      <c r="M477" s="4" t="s">
        <v>28</v>
      </c>
      <c r="N477" s="4" t="s">
        <v>38</v>
      </c>
      <c r="O477" s="4" t="s">
        <v>44</v>
      </c>
      <c r="P477" s="4" t="s">
        <v>72</v>
      </c>
    </row>
    <row r="478" spans="1:16" x14ac:dyDescent="0.3">
      <c r="A478" s="4">
        <v>2024</v>
      </c>
      <c r="B478" s="4" t="s">
        <v>29</v>
      </c>
      <c r="C478" s="4" t="s">
        <v>16</v>
      </c>
      <c r="D478" s="4" t="s">
        <v>56</v>
      </c>
      <c r="E478" s="4">
        <v>378</v>
      </c>
      <c r="F478" s="4">
        <v>153</v>
      </c>
      <c r="G478" s="4">
        <v>116</v>
      </c>
      <c r="H478" s="4">
        <v>57.83</v>
      </c>
      <c r="I478" s="4">
        <v>43.85</v>
      </c>
      <c r="J478" s="4">
        <v>13.99</v>
      </c>
      <c r="K478" s="4">
        <v>-1.69</v>
      </c>
      <c r="L478" s="4">
        <v>291</v>
      </c>
      <c r="M478" s="4" t="s">
        <v>18</v>
      </c>
      <c r="N478" s="4" t="s">
        <v>19</v>
      </c>
      <c r="O478" s="4" t="s">
        <v>62</v>
      </c>
      <c r="P478" s="4" t="s">
        <v>73</v>
      </c>
    </row>
    <row r="479" spans="1:16" x14ac:dyDescent="0.3">
      <c r="A479" s="4">
        <v>2023</v>
      </c>
      <c r="B479" s="4" t="s">
        <v>57</v>
      </c>
      <c r="C479" s="4" t="s">
        <v>26</v>
      </c>
      <c r="D479" s="4" t="s">
        <v>52</v>
      </c>
      <c r="E479" s="4">
        <v>239</v>
      </c>
      <c r="F479" s="4">
        <v>309</v>
      </c>
      <c r="G479" s="4">
        <v>281</v>
      </c>
      <c r="H479" s="4">
        <v>73.849999999999994</v>
      </c>
      <c r="I479" s="4">
        <v>67.16</v>
      </c>
      <c r="J479" s="4">
        <v>6.69</v>
      </c>
      <c r="K479" s="4">
        <v>3.53</v>
      </c>
      <c r="L479" s="4">
        <v>61</v>
      </c>
      <c r="M479" s="4" t="s">
        <v>18</v>
      </c>
      <c r="N479" s="4" t="s">
        <v>31</v>
      </c>
      <c r="O479" s="4" t="s">
        <v>42</v>
      </c>
      <c r="P479" s="4" t="s">
        <v>73</v>
      </c>
    </row>
    <row r="480" spans="1:16" x14ac:dyDescent="0.3">
      <c r="A480" s="4">
        <v>2023</v>
      </c>
      <c r="B480" s="4" t="s">
        <v>21</v>
      </c>
      <c r="C480" s="4" t="s">
        <v>22</v>
      </c>
      <c r="D480" s="4" t="s">
        <v>53</v>
      </c>
      <c r="E480" s="4">
        <v>83</v>
      </c>
      <c r="F480" s="4">
        <v>390</v>
      </c>
      <c r="G480" s="4">
        <v>167</v>
      </c>
      <c r="H480" s="4">
        <v>32.369999999999997</v>
      </c>
      <c r="I480" s="4">
        <v>13.86</v>
      </c>
      <c r="J480" s="4">
        <v>18.510000000000002</v>
      </c>
      <c r="K480" s="4">
        <v>5.5</v>
      </c>
      <c r="L480" s="4">
        <v>73</v>
      </c>
      <c r="M480" s="4" t="s">
        <v>18</v>
      </c>
      <c r="N480" s="4" t="s">
        <v>38</v>
      </c>
      <c r="O480" s="4" t="s">
        <v>44</v>
      </c>
      <c r="P480" s="4" t="s">
        <v>74</v>
      </c>
    </row>
    <row r="481" spans="1:16" x14ac:dyDescent="0.3">
      <c r="A481" s="4">
        <v>2025</v>
      </c>
      <c r="B481" s="4" t="s">
        <v>47</v>
      </c>
      <c r="C481" s="4" t="s">
        <v>33</v>
      </c>
      <c r="D481" s="4" t="s">
        <v>34</v>
      </c>
      <c r="E481" s="4">
        <v>261</v>
      </c>
      <c r="F481" s="4">
        <v>336</v>
      </c>
      <c r="G481" s="4">
        <v>210</v>
      </c>
      <c r="H481" s="4">
        <v>87.7</v>
      </c>
      <c r="I481" s="4">
        <v>54.81</v>
      </c>
      <c r="J481" s="4">
        <v>32.89</v>
      </c>
      <c r="K481" s="4">
        <v>24.93</v>
      </c>
      <c r="L481" s="4">
        <v>192</v>
      </c>
      <c r="M481" s="4" t="s">
        <v>28</v>
      </c>
      <c r="N481" s="4" t="s">
        <v>24</v>
      </c>
      <c r="O481" s="4" t="s">
        <v>63</v>
      </c>
      <c r="P481" s="4" t="s">
        <v>73</v>
      </c>
    </row>
    <row r="482" spans="1:16" x14ac:dyDescent="0.3">
      <c r="A482" s="4">
        <v>2023</v>
      </c>
      <c r="B482" s="4" t="s">
        <v>47</v>
      </c>
      <c r="C482" s="4" t="s">
        <v>16</v>
      </c>
      <c r="D482" s="4" t="s">
        <v>56</v>
      </c>
      <c r="E482" s="4">
        <v>140</v>
      </c>
      <c r="F482" s="4">
        <v>173</v>
      </c>
      <c r="G482" s="4">
        <v>160</v>
      </c>
      <c r="H482" s="4">
        <v>24.22</v>
      </c>
      <c r="I482" s="4">
        <v>22.4</v>
      </c>
      <c r="J482" s="4">
        <v>1.82</v>
      </c>
      <c r="K482" s="4">
        <v>7.68</v>
      </c>
      <c r="L482" s="4">
        <v>266</v>
      </c>
      <c r="M482" s="4" t="s">
        <v>18</v>
      </c>
      <c r="N482" s="4" t="s">
        <v>31</v>
      </c>
      <c r="O482" s="4" t="s">
        <v>42</v>
      </c>
      <c r="P482" s="4" t="s">
        <v>71</v>
      </c>
    </row>
    <row r="483" spans="1:16" x14ac:dyDescent="0.3">
      <c r="A483" s="4">
        <v>2023</v>
      </c>
      <c r="B483" s="4" t="s">
        <v>45</v>
      </c>
      <c r="C483" s="4" t="s">
        <v>33</v>
      </c>
      <c r="D483" s="4" t="s">
        <v>48</v>
      </c>
      <c r="E483" s="4">
        <v>325</v>
      </c>
      <c r="F483" s="4">
        <v>427</v>
      </c>
      <c r="G483" s="4">
        <v>295</v>
      </c>
      <c r="H483" s="4">
        <v>138.78</v>
      </c>
      <c r="I483" s="4">
        <v>95.88</v>
      </c>
      <c r="J483" s="4">
        <v>42.9</v>
      </c>
      <c r="K483" s="4">
        <v>6.33</v>
      </c>
      <c r="L483" s="4">
        <v>114</v>
      </c>
      <c r="M483" s="4" t="s">
        <v>37</v>
      </c>
      <c r="N483" s="4" t="s">
        <v>31</v>
      </c>
      <c r="O483" s="4" t="s">
        <v>42</v>
      </c>
      <c r="P483" s="4" t="s">
        <v>74</v>
      </c>
    </row>
    <row r="484" spans="1:16" x14ac:dyDescent="0.3">
      <c r="A484" s="4">
        <v>2023</v>
      </c>
      <c r="B484" s="4" t="s">
        <v>57</v>
      </c>
      <c r="C484" s="4" t="s">
        <v>26</v>
      </c>
      <c r="D484" s="4" t="s">
        <v>58</v>
      </c>
      <c r="E484" s="4">
        <v>82</v>
      </c>
      <c r="F484" s="4">
        <v>359</v>
      </c>
      <c r="G484" s="4">
        <v>188</v>
      </c>
      <c r="H484" s="4">
        <v>29.44</v>
      </c>
      <c r="I484" s="4">
        <v>15.42</v>
      </c>
      <c r="J484" s="4">
        <v>14.02</v>
      </c>
      <c r="K484" s="4">
        <v>18.04</v>
      </c>
      <c r="L484" s="4">
        <v>235</v>
      </c>
      <c r="M484" s="4" t="s">
        <v>18</v>
      </c>
      <c r="N484" s="4" t="s">
        <v>31</v>
      </c>
      <c r="O484" s="4" t="s">
        <v>42</v>
      </c>
      <c r="P484" s="4" t="s">
        <v>75</v>
      </c>
    </row>
    <row r="485" spans="1:16" x14ac:dyDescent="0.3">
      <c r="A485" s="4">
        <v>2023</v>
      </c>
      <c r="B485" s="4" t="s">
        <v>29</v>
      </c>
      <c r="C485" s="4" t="s">
        <v>22</v>
      </c>
      <c r="D485" s="4" t="s">
        <v>23</v>
      </c>
      <c r="E485" s="4">
        <v>308</v>
      </c>
      <c r="F485" s="4">
        <v>418</v>
      </c>
      <c r="G485" s="4">
        <v>94</v>
      </c>
      <c r="H485" s="4">
        <v>128.74</v>
      </c>
      <c r="I485" s="4">
        <v>28.95</v>
      </c>
      <c r="J485" s="4">
        <v>99.79</v>
      </c>
      <c r="K485" s="4">
        <v>-8.4700000000000006</v>
      </c>
      <c r="L485" s="4">
        <v>220</v>
      </c>
      <c r="M485" s="4" t="s">
        <v>28</v>
      </c>
      <c r="N485" s="4" t="s">
        <v>38</v>
      </c>
      <c r="O485" s="4" t="s">
        <v>44</v>
      </c>
      <c r="P485" s="4" t="s">
        <v>75</v>
      </c>
    </row>
    <row r="486" spans="1:16" x14ac:dyDescent="0.3">
      <c r="A486" s="4">
        <v>2025</v>
      </c>
      <c r="B486" s="4" t="s">
        <v>21</v>
      </c>
      <c r="C486" s="4" t="s">
        <v>35</v>
      </c>
      <c r="D486" s="4" t="s">
        <v>40</v>
      </c>
      <c r="E486" s="4">
        <v>483</v>
      </c>
      <c r="F486" s="4">
        <v>98</v>
      </c>
      <c r="G486" s="4">
        <v>64</v>
      </c>
      <c r="H486" s="4">
        <v>47.33</v>
      </c>
      <c r="I486" s="4">
        <v>30.91</v>
      </c>
      <c r="J486" s="4">
        <v>16.420000000000002</v>
      </c>
      <c r="K486" s="4">
        <v>4.7699999999999996</v>
      </c>
      <c r="L486" s="4">
        <v>34</v>
      </c>
      <c r="M486" s="4" t="s">
        <v>18</v>
      </c>
      <c r="N486" s="4" t="s">
        <v>24</v>
      </c>
      <c r="O486" s="4" t="s">
        <v>63</v>
      </c>
      <c r="P486" s="4" t="s">
        <v>76</v>
      </c>
    </row>
    <row r="487" spans="1:16" x14ac:dyDescent="0.3">
      <c r="A487" s="4">
        <v>2023</v>
      </c>
      <c r="B487" s="4" t="s">
        <v>51</v>
      </c>
      <c r="C487" s="4" t="s">
        <v>35</v>
      </c>
      <c r="D487" s="4" t="s">
        <v>36</v>
      </c>
      <c r="E487" s="4">
        <v>479</v>
      </c>
      <c r="F487" s="4">
        <v>57</v>
      </c>
      <c r="G487" s="4">
        <v>34</v>
      </c>
      <c r="H487" s="4">
        <v>27.3</v>
      </c>
      <c r="I487" s="4">
        <v>16.29</v>
      </c>
      <c r="J487" s="4">
        <v>11.02</v>
      </c>
      <c r="K487" s="4">
        <v>2.2400000000000002</v>
      </c>
      <c r="L487" s="4">
        <v>265</v>
      </c>
      <c r="M487" s="4" t="s">
        <v>28</v>
      </c>
      <c r="N487" s="4" t="s">
        <v>31</v>
      </c>
      <c r="O487" s="4" t="s">
        <v>42</v>
      </c>
      <c r="P487" s="4" t="s">
        <v>71</v>
      </c>
    </row>
    <row r="488" spans="1:16" x14ac:dyDescent="0.3">
      <c r="A488" s="4">
        <v>2024</v>
      </c>
      <c r="B488" s="4" t="s">
        <v>21</v>
      </c>
      <c r="C488" s="4" t="s">
        <v>33</v>
      </c>
      <c r="D488" s="4" t="s">
        <v>34</v>
      </c>
      <c r="E488" s="4">
        <v>149</v>
      </c>
      <c r="F488" s="4">
        <v>422</v>
      </c>
      <c r="G488" s="4">
        <v>172</v>
      </c>
      <c r="H488" s="4">
        <v>62.88</v>
      </c>
      <c r="I488" s="4">
        <v>25.63</v>
      </c>
      <c r="J488" s="4">
        <v>37.25</v>
      </c>
      <c r="K488" s="4">
        <v>19.45</v>
      </c>
      <c r="L488" s="4">
        <v>83</v>
      </c>
      <c r="M488" s="4" t="s">
        <v>18</v>
      </c>
      <c r="N488" s="4" t="s">
        <v>38</v>
      </c>
      <c r="O488" s="4" t="s">
        <v>44</v>
      </c>
      <c r="P488" s="4" t="s">
        <v>76</v>
      </c>
    </row>
    <row r="489" spans="1:16" x14ac:dyDescent="0.3">
      <c r="A489" s="4">
        <v>2024</v>
      </c>
      <c r="B489" s="4" t="s">
        <v>21</v>
      </c>
      <c r="C489" s="4" t="s">
        <v>26</v>
      </c>
      <c r="D489" s="4" t="s">
        <v>27</v>
      </c>
      <c r="E489" s="4">
        <v>230</v>
      </c>
      <c r="F489" s="4">
        <v>481</v>
      </c>
      <c r="G489" s="4">
        <v>199</v>
      </c>
      <c r="H489" s="4">
        <v>110.63</v>
      </c>
      <c r="I489" s="4">
        <v>45.77</v>
      </c>
      <c r="J489" s="4">
        <v>64.86</v>
      </c>
      <c r="K489" s="4">
        <v>-6.19</v>
      </c>
      <c r="L489" s="4">
        <v>21</v>
      </c>
      <c r="M489" s="4" t="s">
        <v>28</v>
      </c>
      <c r="N489" s="4" t="s">
        <v>38</v>
      </c>
      <c r="O489" s="4" t="s">
        <v>44</v>
      </c>
      <c r="P489" s="4" t="s">
        <v>72</v>
      </c>
    </row>
    <row r="490" spans="1:16" x14ac:dyDescent="0.3">
      <c r="A490" s="4">
        <v>2024</v>
      </c>
      <c r="B490" s="4" t="s">
        <v>51</v>
      </c>
      <c r="C490" s="4" t="s">
        <v>33</v>
      </c>
      <c r="D490" s="4" t="s">
        <v>34</v>
      </c>
      <c r="E490" s="4">
        <v>362</v>
      </c>
      <c r="F490" s="4">
        <v>452</v>
      </c>
      <c r="G490" s="4">
        <v>167</v>
      </c>
      <c r="H490" s="4">
        <v>163.62</v>
      </c>
      <c r="I490" s="4">
        <v>60.45</v>
      </c>
      <c r="J490" s="4">
        <v>103.17</v>
      </c>
      <c r="K490" s="4">
        <v>14.8</v>
      </c>
      <c r="L490" s="4">
        <v>190</v>
      </c>
      <c r="M490" s="4" t="s">
        <v>18</v>
      </c>
      <c r="N490" s="4" t="s">
        <v>24</v>
      </c>
      <c r="O490" s="4" t="s">
        <v>63</v>
      </c>
      <c r="P490" s="4" t="s">
        <v>71</v>
      </c>
    </row>
    <row r="491" spans="1:16" x14ac:dyDescent="0.3">
      <c r="A491" s="4">
        <v>2024</v>
      </c>
      <c r="B491" s="4" t="s">
        <v>15</v>
      </c>
      <c r="C491" s="4" t="s">
        <v>33</v>
      </c>
      <c r="D491" s="4" t="s">
        <v>54</v>
      </c>
      <c r="E491" s="4">
        <v>155</v>
      </c>
      <c r="F491" s="4">
        <v>243</v>
      </c>
      <c r="G491" s="4">
        <v>81</v>
      </c>
      <c r="H491" s="4">
        <v>37.659999999999997</v>
      </c>
      <c r="I491" s="4">
        <v>12.55</v>
      </c>
      <c r="J491" s="4">
        <v>25.11</v>
      </c>
      <c r="K491" s="4">
        <v>9.51</v>
      </c>
      <c r="L491" s="4">
        <v>209</v>
      </c>
      <c r="M491" s="4" t="s">
        <v>37</v>
      </c>
      <c r="N491" s="4" t="s">
        <v>19</v>
      </c>
      <c r="O491" s="4" t="s">
        <v>62</v>
      </c>
      <c r="P491" s="4" t="s">
        <v>72</v>
      </c>
    </row>
    <row r="492" spans="1:16" x14ac:dyDescent="0.3">
      <c r="A492" s="4">
        <v>2024</v>
      </c>
      <c r="B492" s="4" t="s">
        <v>29</v>
      </c>
      <c r="C492" s="4" t="s">
        <v>33</v>
      </c>
      <c r="D492" s="4" t="s">
        <v>48</v>
      </c>
      <c r="E492" s="4">
        <v>71</v>
      </c>
      <c r="F492" s="4">
        <v>437</v>
      </c>
      <c r="G492" s="4">
        <v>106</v>
      </c>
      <c r="H492" s="4">
        <v>31.03</v>
      </c>
      <c r="I492" s="4">
        <v>7.53</v>
      </c>
      <c r="J492" s="4">
        <v>23.5</v>
      </c>
      <c r="K492" s="4">
        <v>18.98</v>
      </c>
      <c r="L492" s="4">
        <v>160</v>
      </c>
      <c r="M492" s="4" t="s">
        <v>37</v>
      </c>
      <c r="N492" s="4" t="s">
        <v>19</v>
      </c>
      <c r="O492" s="4" t="s">
        <v>62</v>
      </c>
      <c r="P492" s="4" t="s">
        <v>76</v>
      </c>
    </row>
    <row r="493" spans="1:16" x14ac:dyDescent="0.3">
      <c r="A493" s="4">
        <v>2023</v>
      </c>
      <c r="B493" s="4" t="s">
        <v>47</v>
      </c>
      <c r="C493" s="4" t="s">
        <v>26</v>
      </c>
      <c r="D493" s="4" t="s">
        <v>52</v>
      </c>
      <c r="E493" s="4">
        <v>331</v>
      </c>
      <c r="F493" s="4">
        <v>499</v>
      </c>
      <c r="G493" s="4">
        <v>413</v>
      </c>
      <c r="H493" s="4">
        <v>165.17</v>
      </c>
      <c r="I493" s="4">
        <v>136.69999999999999</v>
      </c>
      <c r="J493" s="4">
        <v>28.47</v>
      </c>
      <c r="K493" s="4">
        <v>17.190000000000001</v>
      </c>
      <c r="L493" s="4">
        <v>45</v>
      </c>
      <c r="M493" s="4" t="s">
        <v>28</v>
      </c>
      <c r="N493" s="4" t="s">
        <v>24</v>
      </c>
      <c r="O493" s="4" t="s">
        <v>63</v>
      </c>
      <c r="P493" s="4" t="s">
        <v>75</v>
      </c>
    </row>
    <row r="494" spans="1:16" x14ac:dyDescent="0.3">
      <c r="A494" s="4">
        <v>2024</v>
      </c>
      <c r="B494" s="4" t="s">
        <v>57</v>
      </c>
      <c r="C494" s="4" t="s">
        <v>26</v>
      </c>
      <c r="D494" s="4" t="s">
        <v>52</v>
      </c>
      <c r="E494" s="4">
        <v>269</v>
      </c>
      <c r="F494" s="4">
        <v>155</v>
      </c>
      <c r="G494" s="4">
        <v>31</v>
      </c>
      <c r="H494" s="4">
        <v>41.7</v>
      </c>
      <c r="I494" s="4">
        <v>8.34</v>
      </c>
      <c r="J494" s="4">
        <v>33.36</v>
      </c>
      <c r="K494" s="4">
        <v>23.11</v>
      </c>
      <c r="L494" s="4">
        <v>220</v>
      </c>
      <c r="M494" s="4" t="s">
        <v>28</v>
      </c>
      <c r="N494" s="4" t="s">
        <v>24</v>
      </c>
      <c r="O494" s="4" t="s">
        <v>63</v>
      </c>
      <c r="P494" s="4" t="s">
        <v>71</v>
      </c>
    </row>
    <row r="495" spans="1:16" x14ac:dyDescent="0.3">
      <c r="A495" s="4">
        <v>2023</v>
      </c>
      <c r="B495" s="4" t="s">
        <v>39</v>
      </c>
      <c r="C495" s="4" t="s">
        <v>26</v>
      </c>
      <c r="D495" s="4" t="s">
        <v>27</v>
      </c>
      <c r="E495" s="4">
        <v>463</v>
      </c>
      <c r="F495" s="4">
        <v>336</v>
      </c>
      <c r="G495" s="4">
        <v>119</v>
      </c>
      <c r="H495" s="4">
        <v>155.57</v>
      </c>
      <c r="I495" s="4">
        <v>55.1</v>
      </c>
      <c r="J495" s="4">
        <v>100.47</v>
      </c>
      <c r="K495" s="4">
        <v>0.89</v>
      </c>
      <c r="L495" s="4">
        <v>142</v>
      </c>
      <c r="M495" s="4" t="s">
        <v>37</v>
      </c>
      <c r="N495" s="4" t="s">
        <v>31</v>
      </c>
      <c r="O495" s="4" t="s">
        <v>42</v>
      </c>
      <c r="P495" s="4" t="s">
        <v>76</v>
      </c>
    </row>
    <row r="496" spans="1:16" x14ac:dyDescent="0.3">
      <c r="A496" s="4">
        <v>2023</v>
      </c>
      <c r="B496" s="4" t="s">
        <v>41</v>
      </c>
      <c r="C496" s="4" t="s">
        <v>22</v>
      </c>
      <c r="D496" s="4" t="s">
        <v>53</v>
      </c>
      <c r="E496" s="4">
        <v>209</v>
      </c>
      <c r="F496" s="4">
        <v>452</v>
      </c>
      <c r="G496" s="4">
        <v>134</v>
      </c>
      <c r="H496" s="4">
        <v>94.47</v>
      </c>
      <c r="I496" s="4">
        <v>28.01</v>
      </c>
      <c r="J496" s="4">
        <v>66.459999999999994</v>
      </c>
      <c r="K496" s="4">
        <v>0.16</v>
      </c>
      <c r="L496" s="4">
        <v>262</v>
      </c>
      <c r="M496" s="4" t="s">
        <v>28</v>
      </c>
      <c r="N496" s="4" t="s">
        <v>24</v>
      </c>
      <c r="O496" s="4" t="s">
        <v>63</v>
      </c>
      <c r="P496" s="4" t="s">
        <v>76</v>
      </c>
    </row>
    <row r="497" spans="1:16" x14ac:dyDescent="0.3">
      <c r="A497" s="4">
        <v>2024</v>
      </c>
      <c r="B497" s="4" t="s">
        <v>51</v>
      </c>
      <c r="C497" s="4" t="s">
        <v>22</v>
      </c>
      <c r="D497" s="4" t="s">
        <v>53</v>
      </c>
      <c r="E497" s="4">
        <v>253</v>
      </c>
      <c r="F497" s="4">
        <v>217</v>
      </c>
      <c r="G497" s="4">
        <v>132</v>
      </c>
      <c r="H497" s="4">
        <v>54.9</v>
      </c>
      <c r="I497" s="4">
        <v>33.4</v>
      </c>
      <c r="J497" s="4">
        <v>21.51</v>
      </c>
      <c r="K497" s="4">
        <v>1.06</v>
      </c>
      <c r="L497" s="4">
        <v>85</v>
      </c>
      <c r="M497" s="4" t="s">
        <v>37</v>
      </c>
      <c r="N497" s="4" t="s">
        <v>31</v>
      </c>
      <c r="O497" s="4" t="s">
        <v>42</v>
      </c>
      <c r="P497" s="4" t="s">
        <v>75</v>
      </c>
    </row>
    <row r="498" spans="1:16" x14ac:dyDescent="0.3">
      <c r="A498" s="4">
        <v>2023</v>
      </c>
      <c r="B498" s="4" t="s">
        <v>45</v>
      </c>
      <c r="C498" s="4" t="s">
        <v>33</v>
      </c>
      <c r="D498" s="4" t="s">
        <v>54</v>
      </c>
      <c r="E498" s="4">
        <v>132</v>
      </c>
      <c r="F498" s="4">
        <v>464</v>
      </c>
      <c r="G498" s="4">
        <v>398</v>
      </c>
      <c r="H498" s="4">
        <v>61.25</v>
      </c>
      <c r="I498" s="4">
        <v>52.54</v>
      </c>
      <c r="J498" s="4">
        <v>8.7100000000000009</v>
      </c>
      <c r="K498" s="4">
        <v>5.96</v>
      </c>
      <c r="L498" s="4">
        <v>54</v>
      </c>
      <c r="M498" s="4" t="s">
        <v>37</v>
      </c>
      <c r="N498" s="4" t="s">
        <v>38</v>
      </c>
      <c r="O498" s="4" t="s">
        <v>44</v>
      </c>
      <c r="P498" s="4" t="s">
        <v>71</v>
      </c>
    </row>
    <row r="499" spans="1:16" x14ac:dyDescent="0.3">
      <c r="A499" s="4">
        <v>2023</v>
      </c>
      <c r="B499" s="4" t="s">
        <v>46</v>
      </c>
      <c r="C499" s="4" t="s">
        <v>33</v>
      </c>
      <c r="D499" s="4" t="s">
        <v>54</v>
      </c>
      <c r="E499" s="4">
        <v>132</v>
      </c>
      <c r="F499" s="4">
        <v>188</v>
      </c>
      <c r="G499" s="4">
        <v>66</v>
      </c>
      <c r="H499" s="4">
        <v>24.82</v>
      </c>
      <c r="I499" s="4">
        <v>8.7100000000000009</v>
      </c>
      <c r="J499" s="4">
        <v>16.100000000000001</v>
      </c>
      <c r="K499" s="4">
        <v>13.88</v>
      </c>
      <c r="L499" s="4">
        <v>273</v>
      </c>
      <c r="M499" s="4" t="s">
        <v>28</v>
      </c>
      <c r="N499" s="4" t="s">
        <v>19</v>
      </c>
      <c r="O499" s="4" t="s">
        <v>62</v>
      </c>
      <c r="P499" s="4" t="s">
        <v>72</v>
      </c>
    </row>
    <row r="500" spans="1:16" x14ac:dyDescent="0.3">
      <c r="A500" s="4">
        <v>2025</v>
      </c>
      <c r="B500" s="4" t="s">
        <v>32</v>
      </c>
      <c r="C500" s="4" t="s">
        <v>35</v>
      </c>
      <c r="D500" s="4" t="s">
        <v>43</v>
      </c>
      <c r="E500" s="4">
        <v>206</v>
      </c>
      <c r="F500" s="4">
        <v>458</v>
      </c>
      <c r="G500" s="4">
        <v>199</v>
      </c>
      <c r="H500" s="4">
        <v>94.35</v>
      </c>
      <c r="I500" s="4">
        <v>40.99</v>
      </c>
      <c r="J500" s="4">
        <v>53.35</v>
      </c>
      <c r="K500" s="4">
        <v>3.91</v>
      </c>
      <c r="L500" s="4">
        <v>145</v>
      </c>
      <c r="M500" s="4" t="s">
        <v>37</v>
      </c>
      <c r="N500" s="4" t="s">
        <v>31</v>
      </c>
      <c r="O500" s="4" t="s">
        <v>42</v>
      </c>
      <c r="P500" s="4" t="s">
        <v>73</v>
      </c>
    </row>
    <row r="501" spans="1:16" x14ac:dyDescent="0.3">
      <c r="A501" s="4">
        <v>2023</v>
      </c>
      <c r="B501" s="4" t="s">
        <v>41</v>
      </c>
      <c r="C501" s="4" t="s">
        <v>33</v>
      </c>
      <c r="D501" s="4" t="s">
        <v>54</v>
      </c>
      <c r="E501" s="4">
        <v>388</v>
      </c>
      <c r="F501" s="4">
        <v>439</v>
      </c>
      <c r="G501" s="4">
        <v>198</v>
      </c>
      <c r="H501" s="4">
        <v>170.33</v>
      </c>
      <c r="I501" s="4">
        <v>76.819999999999993</v>
      </c>
      <c r="J501" s="4">
        <v>93.51</v>
      </c>
      <c r="K501" s="4">
        <v>1.93</v>
      </c>
      <c r="L501" s="4">
        <v>27</v>
      </c>
      <c r="M501" s="4" t="s">
        <v>28</v>
      </c>
      <c r="N501" s="4" t="s">
        <v>38</v>
      </c>
      <c r="O501" s="4" t="s">
        <v>44</v>
      </c>
      <c r="P501" s="4" t="s">
        <v>71</v>
      </c>
    </row>
    <row r="502" spans="1:16" x14ac:dyDescent="0.3">
      <c r="A502" s="4">
        <v>2024</v>
      </c>
      <c r="B502" s="4" t="s">
        <v>45</v>
      </c>
      <c r="C502" s="4" t="s">
        <v>22</v>
      </c>
      <c r="D502" s="4" t="s">
        <v>53</v>
      </c>
      <c r="E502" s="4">
        <v>201</v>
      </c>
      <c r="F502" s="4">
        <v>163</v>
      </c>
      <c r="G502" s="4">
        <v>56</v>
      </c>
      <c r="H502" s="4">
        <v>32.76</v>
      </c>
      <c r="I502" s="4">
        <v>11.26</v>
      </c>
      <c r="J502" s="4">
        <v>21.51</v>
      </c>
      <c r="K502" s="4">
        <v>23.8</v>
      </c>
      <c r="L502" s="4">
        <v>258</v>
      </c>
      <c r="M502" s="4" t="s">
        <v>37</v>
      </c>
      <c r="N502" s="4" t="s">
        <v>24</v>
      </c>
      <c r="O502" s="4" t="s">
        <v>63</v>
      </c>
      <c r="P502" s="4" t="s">
        <v>72</v>
      </c>
    </row>
    <row r="503" spans="1:16" x14ac:dyDescent="0.3">
      <c r="A503" s="4">
        <v>2024</v>
      </c>
      <c r="B503" s="4" t="s">
        <v>45</v>
      </c>
      <c r="C503" s="4" t="s">
        <v>35</v>
      </c>
      <c r="D503" s="4" t="s">
        <v>43</v>
      </c>
      <c r="E503" s="4">
        <v>424</v>
      </c>
      <c r="F503" s="4">
        <v>469</v>
      </c>
      <c r="G503" s="4">
        <v>411</v>
      </c>
      <c r="H503" s="4">
        <v>198.86</v>
      </c>
      <c r="I503" s="4">
        <v>174.26</v>
      </c>
      <c r="J503" s="4">
        <v>24.59</v>
      </c>
      <c r="K503" s="4">
        <v>18.93</v>
      </c>
      <c r="L503" s="4">
        <v>218</v>
      </c>
      <c r="M503" s="4" t="s">
        <v>37</v>
      </c>
      <c r="N503" s="4" t="s">
        <v>31</v>
      </c>
      <c r="O503" s="4" t="s">
        <v>42</v>
      </c>
      <c r="P503" s="4" t="s">
        <v>72</v>
      </c>
    </row>
    <row r="504" spans="1:16" x14ac:dyDescent="0.3">
      <c r="A504" s="4">
        <v>2024</v>
      </c>
      <c r="B504" s="4" t="s">
        <v>47</v>
      </c>
      <c r="C504" s="4" t="s">
        <v>35</v>
      </c>
      <c r="D504" s="4" t="s">
        <v>40</v>
      </c>
      <c r="E504" s="4">
        <v>55</v>
      </c>
      <c r="F504" s="4">
        <v>473</v>
      </c>
      <c r="G504" s="4">
        <v>435</v>
      </c>
      <c r="H504" s="4">
        <v>26.02</v>
      </c>
      <c r="I504" s="4">
        <v>23.93</v>
      </c>
      <c r="J504" s="4">
        <v>2.09</v>
      </c>
      <c r="K504" s="4">
        <v>7.84</v>
      </c>
      <c r="L504" s="4">
        <v>282</v>
      </c>
      <c r="M504" s="4" t="s">
        <v>28</v>
      </c>
      <c r="N504" s="4" t="s">
        <v>19</v>
      </c>
      <c r="O504" s="4" t="s">
        <v>62</v>
      </c>
      <c r="P504" s="4" t="s">
        <v>76</v>
      </c>
    </row>
    <row r="505" spans="1:16" x14ac:dyDescent="0.3">
      <c r="A505" s="4">
        <v>2024</v>
      </c>
      <c r="B505" s="4" t="s">
        <v>41</v>
      </c>
      <c r="C505" s="4" t="s">
        <v>16</v>
      </c>
      <c r="D505" s="4" t="s">
        <v>30</v>
      </c>
      <c r="E505" s="4">
        <v>464</v>
      </c>
      <c r="F505" s="4">
        <v>176</v>
      </c>
      <c r="G505" s="4">
        <v>165</v>
      </c>
      <c r="H505" s="4">
        <v>81.66</v>
      </c>
      <c r="I505" s="4">
        <v>76.56</v>
      </c>
      <c r="J505" s="4">
        <v>5.0999999999999996</v>
      </c>
      <c r="K505" s="4">
        <v>-2.0499999999999998</v>
      </c>
      <c r="L505" s="4">
        <v>47</v>
      </c>
      <c r="M505" s="4" t="s">
        <v>18</v>
      </c>
      <c r="N505" s="4" t="s">
        <v>38</v>
      </c>
      <c r="O505" s="4" t="s">
        <v>44</v>
      </c>
      <c r="P505" s="4" t="s">
        <v>76</v>
      </c>
    </row>
    <row r="506" spans="1:16" x14ac:dyDescent="0.3">
      <c r="A506" s="4">
        <v>2024</v>
      </c>
      <c r="B506" s="4" t="s">
        <v>21</v>
      </c>
      <c r="C506" s="4" t="s">
        <v>26</v>
      </c>
      <c r="D506" s="4" t="s">
        <v>27</v>
      </c>
      <c r="E506" s="4">
        <v>439</v>
      </c>
      <c r="F506" s="4">
        <v>96</v>
      </c>
      <c r="G506" s="4">
        <v>77</v>
      </c>
      <c r="H506" s="4">
        <v>42.14</v>
      </c>
      <c r="I506" s="4">
        <v>33.799999999999997</v>
      </c>
      <c r="J506" s="4">
        <v>8.34</v>
      </c>
      <c r="K506" s="4">
        <v>18.03</v>
      </c>
      <c r="L506" s="4">
        <v>88</v>
      </c>
      <c r="M506" s="4" t="s">
        <v>18</v>
      </c>
      <c r="N506" s="4" t="s">
        <v>19</v>
      </c>
      <c r="O506" s="4" t="s">
        <v>62</v>
      </c>
      <c r="P506" s="4" t="s">
        <v>74</v>
      </c>
    </row>
    <row r="507" spans="1:16" x14ac:dyDescent="0.3">
      <c r="A507" s="4">
        <v>2024</v>
      </c>
      <c r="B507" s="4" t="s">
        <v>15</v>
      </c>
      <c r="C507" s="4" t="s">
        <v>35</v>
      </c>
      <c r="D507" s="4" t="s">
        <v>40</v>
      </c>
      <c r="E507" s="4">
        <v>163</v>
      </c>
      <c r="F507" s="4">
        <v>101</v>
      </c>
      <c r="G507" s="4">
        <v>46</v>
      </c>
      <c r="H507" s="4">
        <v>16.46</v>
      </c>
      <c r="I507" s="4">
        <v>7.5</v>
      </c>
      <c r="J507" s="4">
        <v>8.9600000000000009</v>
      </c>
      <c r="K507" s="4">
        <v>2.31</v>
      </c>
      <c r="L507" s="4">
        <v>48</v>
      </c>
      <c r="M507" s="4" t="s">
        <v>18</v>
      </c>
      <c r="N507" s="4" t="s">
        <v>31</v>
      </c>
      <c r="O507" s="4" t="s">
        <v>42</v>
      </c>
      <c r="P507" s="4" t="s">
        <v>75</v>
      </c>
    </row>
    <row r="508" spans="1:16" x14ac:dyDescent="0.3">
      <c r="A508" s="4">
        <v>2023</v>
      </c>
      <c r="B508" s="4" t="s">
        <v>51</v>
      </c>
      <c r="C508" s="4" t="s">
        <v>26</v>
      </c>
      <c r="D508" s="4" t="s">
        <v>58</v>
      </c>
      <c r="E508" s="4">
        <v>447</v>
      </c>
      <c r="F508" s="4">
        <v>190</v>
      </c>
      <c r="G508" s="4">
        <v>49</v>
      </c>
      <c r="H508" s="4">
        <v>84.93</v>
      </c>
      <c r="I508" s="4">
        <v>21.9</v>
      </c>
      <c r="J508" s="4">
        <v>63.03</v>
      </c>
      <c r="K508" s="4">
        <v>17.73</v>
      </c>
      <c r="L508" s="4">
        <v>165</v>
      </c>
      <c r="M508" s="4" t="s">
        <v>28</v>
      </c>
      <c r="N508" s="4" t="s">
        <v>38</v>
      </c>
      <c r="O508" s="4" t="s">
        <v>44</v>
      </c>
      <c r="P508" s="4" t="s">
        <v>75</v>
      </c>
    </row>
    <row r="509" spans="1:16" x14ac:dyDescent="0.3">
      <c r="A509" s="4">
        <v>2023</v>
      </c>
      <c r="B509" s="4" t="s">
        <v>21</v>
      </c>
      <c r="C509" s="4" t="s">
        <v>35</v>
      </c>
      <c r="D509" s="4" t="s">
        <v>40</v>
      </c>
      <c r="E509" s="4">
        <v>190</v>
      </c>
      <c r="F509" s="4">
        <v>311</v>
      </c>
      <c r="G509" s="4">
        <v>150</v>
      </c>
      <c r="H509" s="4">
        <v>59.09</v>
      </c>
      <c r="I509" s="4">
        <v>28.5</v>
      </c>
      <c r="J509" s="4">
        <v>30.59</v>
      </c>
      <c r="K509" s="4">
        <v>17.23</v>
      </c>
      <c r="L509" s="4">
        <v>138</v>
      </c>
      <c r="M509" s="4" t="s">
        <v>18</v>
      </c>
      <c r="N509" s="4" t="s">
        <v>19</v>
      </c>
      <c r="O509" s="4" t="s">
        <v>62</v>
      </c>
      <c r="P509" s="4" t="s">
        <v>75</v>
      </c>
    </row>
    <row r="510" spans="1:16" x14ac:dyDescent="0.3">
      <c r="A510" s="4">
        <v>2025</v>
      </c>
      <c r="B510" s="4" t="s">
        <v>51</v>
      </c>
      <c r="C510" s="4" t="s">
        <v>22</v>
      </c>
      <c r="D510" s="4" t="s">
        <v>53</v>
      </c>
      <c r="E510" s="4">
        <v>164</v>
      </c>
      <c r="F510" s="4">
        <v>64</v>
      </c>
      <c r="G510" s="4">
        <v>54</v>
      </c>
      <c r="H510" s="4">
        <v>10.5</v>
      </c>
      <c r="I510" s="4">
        <v>8.86</v>
      </c>
      <c r="J510" s="4">
        <v>1.64</v>
      </c>
      <c r="K510" s="4">
        <v>23.61</v>
      </c>
      <c r="L510" s="4">
        <v>79</v>
      </c>
      <c r="M510" s="4" t="s">
        <v>37</v>
      </c>
      <c r="N510" s="4" t="s">
        <v>38</v>
      </c>
      <c r="O510" s="4" t="s">
        <v>44</v>
      </c>
      <c r="P510" s="4" t="s">
        <v>75</v>
      </c>
    </row>
    <row r="511" spans="1:16" x14ac:dyDescent="0.3">
      <c r="A511" s="4">
        <v>2025</v>
      </c>
      <c r="B511" s="4" t="s">
        <v>49</v>
      </c>
      <c r="C511" s="4" t="s">
        <v>33</v>
      </c>
      <c r="D511" s="4" t="s">
        <v>54</v>
      </c>
      <c r="E511" s="4">
        <v>385</v>
      </c>
      <c r="F511" s="4">
        <v>107</v>
      </c>
      <c r="G511" s="4">
        <v>52</v>
      </c>
      <c r="H511" s="4">
        <v>41.2</v>
      </c>
      <c r="I511" s="4">
        <v>20.02</v>
      </c>
      <c r="J511" s="4">
        <v>21.18</v>
      </c>
      <c r="K511" s="4">
        <v>16.350000000000001</v>
      </c>
      <c r="L511" s="4">
        <v>218</v>
      </c>
      <c r="M511" s="4" t="s">
        <v>37</v>
      </c>
      <c r="N511" s="4" t="s">
        <v>38</v>
      </c>
      <c r="O511" s="4" t="s">
        <v>44</v>
      </c>
      <c r="P511" s="4" t="s">
        <v>76</v>
      </c>
    </row>
    <row r="512" spans="1:16" x14ac:dyDescent="0.3">
      <c r="A512" s="4">
        <v>2025</v>
      </c>
      <c r="B512" s="4" t="s">
        <v>45</v>
      </c>
      <c r="C512" s="4" t="s">
        <v>33</v>
      </c>
      <c r="D512" s="4" t="s">
        <v>54</v>
      </c>
      <c r="E512" s="4">
        <v>289</v>
      </c>
      <c r="F512" s="4">
        <v>257</v>
      </c>
      <c r="G512" s="4">
        <v>167</v>
      </c>
      <c r="H512" s="4">
        <v>74.27</v>
      </c>
      <c r="I512" s="4">
        <v>48.26</v>
      </c>
      <c r="J512" s="4">
        <v>26.01</v>
      </c>
      <c r="K512" s="4">
        <v>12.66</v>
      </c>
      <c r="L512" s="4">
        <v>120</v>
      </c>
      <c r="M512" s="4" t="s">
        <v>18</v>
      </c>
      <c r="N512" s="4" t="s">
        <v>24</v>
      </c>
      <c r="O512" s="4" t="s">
        <v>63</v>
      </c>
      <c r="P512" s="4" t="s">
        <v>76</v>
      </c>
    </row>
    <row r="513" spans="1:16" x14ac:dyDescent="0.3">
      <c r="A513" s="4">
        <v>2024</v>
      </c>
      <c r="B513" s="4" t="s">
        <v>29</v>
      </c>
      <c r="C513" s="4" t="s">
        <v>33</v>
      </c>
      <c r="D513" s="4" t="s">
        <v>50</v>
      </c>
      <c r="E513" s="4">
        <v>295</v>
      </c>
      <c r="F513" s="4">
        <v>358</v>
      </c>
      <c r="G513" s="4">
        <v>166</v>
      </c>
      <c r="H513" s="4">
        <v>105.61</v>
      </c>
      <c r="I513" s="4">
        <v>48.97</v>
      </c>
      <c r="J513" s="4">
        <v>56.64</v>
      </c>
      <c r="K513" s="4">
        <v>-7.35</v>
      </c>
      <c r="L513" s="4">
        <v>97</v>
      </c>
      <c r="M513" s="4" t="s">
        <v>37</v>
      </c>
      <c r="N513" s="4" t="s">
        <v>24</v>
      </c>
      <c r="O513" s="4" t="s">
        <v>63</v>
      </c>
      <c r="P513" s="4" t="s">
        <v>72</v>
      </c>
    </row>
    <row r="514" spans="1:16" x14ac:dyDescent="0.3">
      <c r="A514" s="4">
        <v>2025</v>
      </c>
      <c r="B514" s="4" t="s">
        <v>15</v>
      </c>
      <c r="C514" s="4" t="s">
        <v>33</v>
      </c>
      <c r="D514" s="4" t="s">
        <v>34</v>
      </c>
      <c r="E514" s="4">
        <v>430</v>
      </c>
      <c r="F514" s="4">
        <v>93</v>
      </c>
      <c r="G514" s="4">
        <v>49</v>
      </c>
      <c r="H514" s="4">
        <v>39.99</v>
      </c>
      <c r="I514" s="4">
        <v>21.07</v>
      </c>
      <c r="J514" s="4">
        <v>18.920000000000002</v>
      </c>
      <c r="K514" s="4">
        <v>8.2799999999999994</v>
      </c>
      <c r="L514" s="4">
        <v>291</v>
      </c>
      <c r="M514" s="4" t="s">
        <v>28</v>
      </c>
      <c r="N514" s="4" t="s">
        <v>19</v>
      </c>
      <c r="O514" s="4" t="s">
        <v>62</v>
      </c>
      <c r="P514" s="4" t="s">
        <v>74</v>
      </c>
    </row>
    <row r="515" spans="1:16" x14ac:dyDescent="0.3">
      <c r="A515" s="4">
        <v>2023</v>
      </c>
      <c r="B515" s="4" t="s">
        <v>39</v>
      </c>
      <c r="C515" s="4" t="s">
        <v>16</v>
      </c>
      <c r="D515" s="4" t="s">
        <v>17</v>
      </c>
      <c r="E515" s="4">
        <v>252</v>
      </c>
      <c r="F515" s="4">
        <v>163</v>
      </c>
      <c r="G515" s="4">
        <v>130</v>
      </c>
      <c r="H515" s="4">
        <v>41.08</v>
      </c>
      <c r="I515" s="4">
        <v>32.76</v>
      </c>
      <c r="J515" s="4">
        <v>8.32</v>
      </c>
      <c r="K515" s="4">
        <v>-2.8</v>
      </c>
      <c r="L515" s="4">
        <v>77</v>
      </c>
      <c r="M515" s="4" t="s">
        <v>37</v>
      </c>
      <c r="N515" s="4" t="s">
        <v>19</v>
      </c>
      <c r="O515" s="4" t="s">
        <v>62</v>
      </c>
      <c r="P515" s="4" t="s">
        <v>72</v>
      </c>
    </row>
    <row r="516" spans="1:16" x14ac:dyDescent="0.3">
      <c r="A516" s="4">
        <v>2024</v>
      </c>
      <c r="B516" s="4" t="s">
        <v>45</v>
      </c>
      <c r="C516" s="4" t="s">
        <v>33</v>
      </c>
      <c r="D516" s="4" t="s">
        <v>54</v>
      </c>
      <c r="E516" s="4">
        <v>460</v>
      </c>
      <c r="F516" s="4">
        <v>162</v>
      </c>
      <c r="G516" s="4">
        <v>38</v>
      </c>
      <c r="H516" s="4">
        <v>74.52</v>
      </c>
      <c r="I516" s="4">
        <v>17.48</v>
      </c>
      <c r="J516" s="4">
        <v>57.04</v>
      </c>
      <c r="K516" s="4">
        <v>12.8</v>
      </c>
      <c r="L516" s="4">
        <v>250</v>
      </c>
      <c r="M516" s="4" t="s">
        <v>18</v>
      </c>
      <c r="N516" s="4" t="s">
        <v>38</v>
      </c>
      <c r="O516" s="4" t="s">
        <v>44</v>
      </c>
      <c r="P516" s="4" t="s">
        <v>71</v>
      </c>
    </row>
    <row r="517" spans="1:16" x14ac:dyDescent="0.3">
      <c r="A517" s="4">
        <v>2023</v>
      </c>
      <c r="B517" s="4" t="s">
        <v>46</v>
      </c>
      <c r="C517" s="4" t="s">
        <v>35</v>
      </c>
      <c r="D517" s="4" t="s">
        <v>40</v>
      </c>
      <c r="E517" s="4">
        <v>498</v>
      </c>
      <c r="F517" s="4">
        <v>210</v>
      </c>
      <c r="G517" s="4">
        <v>169</v>
      </c>
      <c r="H517" s="4">
        <v>104.58</v>
      </c>
      <c r="I517" s="4">
        <v>84.16</v>
      </c>
      <c r="J517" s="4">
        <v>20.420000000000002</v>
      </c>
      <c r="K517" s="4">
        <v>17.100000000000001</v>
      </c>
      <c r="L517" s="4">
        <v>178</v>
      </c>
      <c r="M517" s="4" t="s">
        <v>37</v>
      </c>
      <c r="N517" s="4" t="s">
        <v>38</v>
      </c>
      <c r="O517" s="4" t="s">
        <v>44</v>
      </c>
      <c r="P517" s="4" t="s">
        <v>73</v>
      </c>
    </row>
    <row r="518" spans="1:16" x14ac:dyDescent="0.3">
      <c r="A518" s="4">
        <v>2023</v>
      </c>
      <c r="B518" s="4" t="s">
        <v>32</v>
      </c>
      <c r="C518" s="4" t="s">
        <v>33</v>
      </c>
      <c r="D518" s="4" t="s">
        <v>34</v>
      </c>
      <c r="E518" s="4">
        <v>83</v>
      </c>
      <c r="F518" s="4">
        <v>361</v>
      </c>
      <c r="G518" s="4">
        <v>280</v>
      </c>
      <c r="H518" s="4">
        <v>29.96</v>
      </c>
      <c r="I518" s="4">
        <v>23.24</v>
      </c>
      <c r="J518" s="4">
        <v>6.72</v>
      </c>
      <c r="K518" s="4">
        <v>-5.68</v>
      </c>
      <c r="L518" s="4">
        <v>48</v>
      </c>
      <c r="M518" s="4" t="s">
        <v>28</v>
      </c>
      <c r="N518" s="4" t="s">
        <v>31</v>
      </c>
      <c r="O518" s="4" t="s">
        <v>42</v>
      </c>
      <c r="P518" s="4" t="s">
        <v>73</v>
      </c>
    </row>
    <row r="519" spans="1:16" x14ac:dyDescent="0.3">
      <c r="A519" s="4">
        <v>2025</v>
      </c>
      <c r="B519" s="4" t="s">
        <v>41</v>
      </c>
      <c r="C519" s="4" t="s">
        <v>35</v>
      </c>
      <c r="D519" s="4" t="s">
        <v>40</v>
      </c>
      <c r="E519" s="4">
        <v>464</v>
      </c>
      <c r="F519" s="4">
        <v>164</v>
      </c>
      <c r="G519" s="4">
        <v>57</v>
      </c>
      <c r="H519" s="4">
        <v>76.099999999999994</v>
      </c>
      <c r="I519" s="4">
        <v>26.45</v>
      </c>
      <c r="J519" s="4">
        <v>49.65</v>
      </c>
      <c r="K519" s="4">
        <v>11.61</v>
      </c>
      <c r="L519" s="4">
        <v>137</v>
      </c>
      <c r="M519" s="4" t="s">
        <v>18</v>
      </c>
      <c r="N519" s="4" t="s">
        <v>31</v>
      </c>
      <c r="O519" s="4" t="s">
        <v>42</v>
      </c>
      <c r="P519" s="4" t="s">
        <v>73</v>
      </c>
    </row>
    <row r="520" spans="1:16" x14ac:dyDescent="0.3">
      <c r="A520" s="4">
        <v>2025</v>
      </c>
      <c r="B520" s="4" t="s">
        <v>51</v>
      </c>
      <c r="C520" s="4" t="s">
        <v>26</v>
      </c>
      <c r="D520" s="4" t="s">
        <v>27</v>
      </c>
      <c r="E520" s="4">
        <v>169</v>
      </c>
      <c r="F520" s="4">
        <v>167</v>
      </c>
      <c r="G520" s="4">
        <v>93</v>
      </c>
      <c r="H520" s="4">
        <v>28.22</v>
      </c>
      <c r="I520" s="4">
        <v>15.72</v>
      </c>
      <c r="J520" s="4">
        <v>12.51</v>
      </c>
      <c r="K520" s="4">
        <v>9.41</v>
      </c>
      <c r="L520" s="4">
        <v>111</v>
      </c>
      <c r="M520" s="4" t="s">
        <v>28</v>
      </c>
      <c r="N520" s="4" t="s">
        <v>31</v>
      </c>
      <c r="O520" s="4" t="s">
        <v>42</v>
      </c>
      <c r="P520" s="4" t="s">
        <v>73</v>
      </c>
    </row>
    <row r="521" spans="1:16" x14ac:dyDescent="0.3">
      <c r="A521" s="4">
        <v>2024</v>
      </c>
      <c r="B521" s="4" t="s">
        <v>21</v>
      </c>
      <c r="C521" s="4" t="s">
        <v>16</v>
      </c>
      <c r="D521" s="4" t="s">
        <v>17</v>
      </c>
      <c r="E521" s="4">
        <v>116</v>
      </c>
      <c r="F521" s="4">
        <v>108</v>
      </c>
      <c r="G521" s="4">
        <v>66</v>
      </c>
      <c r="H521" s="4">
        <v>12.53</v>
      </c>
      <c r="I521" s="4">
        <v>7.66</v>
      </c>
      <c r="J521" s="4">
        <v>4.87</v>
      </c>
      <c r="K521" s="4">
        <v>-1.62</v>
      </c>
      <c r="L521" s="4">
        <v>295</v>
      </c>
      <c r="M521" s="4" t="s">
        <v>37</v>
      </c>
      <c r="N521" s="4" t="s">
        <v>31</v>
      </c>
      <c r="O521" s="4" t="s">
        <v>42</v>
      </c>
      <c r="P521" s="4" t="s">
        <v>76</v>
      </c>
    </row>
    <row r="522" spans="1:16" x14ac:dyDescent="0.3">
      <c r="A522" s="4">
        <v>2024</v>
      </c>
      <c r="B522" s="4" t="s">
        <v>46</v>
      </c>
      <c r="C522" s="4" t="s">
        <v>35</v>
      </c>
      <c r="D522" s="4" t="s">
        <v>43</v>
      </c>
      <c r="E522" s="4">
        <v>108</v>
      </c>
      <c r="F522" s="4">
        <v>382</v>
      </c>
      <c r="G522" s="4">
        <v>37</v>
      </c>
      <c r="H522" s="4">
        <v>41.26</v>
      </c>
      <c r="I522" s="4">
        <v>4</v>
      </c>
      <c r="J522" s="4">
        <v>37.26</v>
      </c>
      <c r="K522" s="4">
        <v>22.96</v>
      </c>
      <c r="L522" s="4">
        <v>219</v>
      </c>
      <c r="M522" s="4" t="s">
        <v>28</v>
      </c>
      <c r="N522" s="4" t="s">
        <v>19</v>
      </c>
      <c r="O522" s="4" t="s">
        <v>62</v>
      </c>
      <c r="P522" s="4" t="s">
        <v>75</v>
      </c>
    </row>
    <row r="523" spans="1:16" x14ac:dyDescent="0.3">
      <c r="A523" s="4">
        <v>2024</v>
      </c>
      <c r="B523" s="4" t="s">
        <v>21</v>
      </c>
      <c r="C523" s="4" t="s">
        <v>16</v>
      </c>
      <c r="D523" s="4" t="s">
        <v>30</v>
      </c>
      <c r="E523" s="4">
        <v>418</v>
      </c>
      <c r="F523" s="4">
        <v>196</v>
      </c>
      <c r="G523" s="4">
        <v>83</v>
      </c>
      <c r="H523" s="4">
        <v>81.93</v>
      </c>
      <c r="I523" s="4">
        <v>34.69</v>
      </c>
      <c r="J523" s="4">
        <v>47.23</v>
      </c>
      <c r="K523" s="4">
        <v>11.43</v>
      </c>
      <c r="L523" s="4">
        <v>38</v>
      </c>
      <c r="M523" s="4" t="s">
        <v>37</v>
      </c>
      <c r="N523" s="4" t="s">
        <v>31</v>
      </c>
      <c r="O523" s="4" t="s">
        <v>42</v>
      </c>
      <c r="P523" s="4" t="s">
        <v>76</v>
      </c>
    </row>
    <row r="524" spans="1:16" x14ac:dyDescent="0.3">
      <c r="A524" s="4">
        <v>2025</v>
      </c>
      <c r="B524" s="4" t="s">
        <v>41</v>
      </c>
      <c r="C524" s="4" t="s">
        <v>26</v>
      </c>
      <c r="D524" s="4" t="s">
        <v>52</v>
      </c>
      <c r="E524" s="4">
        <v>491</v>
      </c>
      <c r="F524" s="4">
        <v>77</v>
      </c>
      <c r="G524" s="4">
        <v>33</v>
      </c>
      <c r="H524" s="4">
        <v>37.81</v>
      </c>
      <c r="I524" s="4">
        <v>16.2</v>
      </c>
      <c r="J524" s="4">
        <v>21.6</v>
      </c>
      <c r="K524" s="4">
        <v>21.32</v>
      </c>
      <c r="L524" s="4">
        <v>82</v>
      </c>
      <c r="M524" s="4" t="s">
        <v>28</v>
      </c>
      <c r="N524" s="4" t="s">
        <v>38</v>
      </c>
      <c r="O524" s="4" t="s">
        <v>44</v>
      </c>
      <c r="P524" s="4" t="s">
        <v>71</v>
      </c>
    </row>
    <row r="525" spans="1:16" x14ac:dyDescent="0.3">
      <c r="A525" s="4">
        <v>2024</v>
      </c>
      <c r="B525" s="4" t="s">
        <v>32</v>
      </c>
      <c r="C525" s="4" t="s">
        <v>22</v>
      </c>
      <c r="D525" s="4" t="s">
        <v>23</v>
      </c>
      <c r="E525" s="4">
        <v>286</v>
      </c>
      <c r="F525" s="4">
        <v>379</v>
      </c>
      <c r="G525" s="4">
        <v>38</v>
      </c>
      <c r="H525" s="4">
        <v>108.39</v>
      </c>
      <c r="I525" s="4">
        <v>10.87</v>
      </c>
      <c r="J525" s="4">
        <v>97.53</v>
      </c>
      <c r="K525" s="4">
        <v>9.73</v>
      </c>
      <c r="L525" s="4">
        <v>229</v>
      </c>
      <c r="M525" s="4" t="s">
        <v>28</v>
      </c>
      <c r="N525" s="4" t="s">
        <v>19</v>
      </c>
      <c r="O525" s="4" t="s">
        <v>62</v>
      </c>
      <c r="P525" s="4" t="s">
        <v>71</v>
      </c>
    </row>
    <row r="526" spans="1:16" x14ac:dyDescent="0.3">
      <c r="A526" s="4">
        <v>2024</v>
      </c>
      <c r="B526" s="4" t="s">
        <v>21</v>
      </c>
      <c r="C526" s="4" t="s">
        <v>26</v>
      </c>
      <c r="D526" s="4" t="s">
        <v>52</v>
      </c>
      <c r="E526" s="4">
        <v>77</v>
      </c>
      <c r="F526" s="4">
        <v>97</v>
      </c>
      <c r="G526" s="4">
        <v>80</v>
      </c>
      <c r="H526" s="4">
        <v>7.47</v>
      </c>
      <c r="I526" s="4">
        <v>6.16</v>
      </c>
      <c r="J526" s="4">
        <v>1.31</v>
      </c>
      <c r="K526" s="4">
        <v>21.81</v>
      </c>
      <c r="L526" s="4">
        <v>297</v>
      </c>
      <c r="M526" s="4" t="s">
        <v>18</v>
      </c>
      <c r="N526" s="4" t="s">
        <v>38</v>
      </c>
      <c r="O526" s="4" t="s">
        <v>44</v>
      </c>
      <c r="P526" s="4" t="s">
        <v>71</v>
      </c>
    </row>
    <row r="527" spans="1:16" x14ac:dyDescent="0.3">
      <c r="A527" s="4">
        <v>2024</v>
      </c>
      <c r="B527" s="4" t="s">
        <v>47</v>
      </c>
      <c r="C527" s="4" t="s">
        <v>26</v>
      </c>
      <c r="D527" s="4" t="s">
        <v>58</v>
      </c>
      <c r="E527" s="4">
        <v>301</v>
      </c>
      <c r="F527" s="4">
        <v>254</v>
      </c>
      <c r="G527" s="4">
        <v>197</v>
      </c>
      <c r="H527" s="4">
        <v>76.45</v>
      </c>
      <c r="I527" s="4">
        <v>59.3</v>
      </c>
      <c r="J527" s="4">
        <v>17.16</v>
      </c>
      <c r="K527" s="4">
        <v>-3.52</v>
      </c>
      <c r="L527" s="4">
        <v>295</v>
      </c>
      <c r="M527" s="4" t="s">
        <v>28</v>
      </c>
      <c r="N527" s="4" t="s">
        <v>24</v>
      </c>
      <c r="O527" s="4" t="s">
        <v>63</v>
      </c>
      <c r="P527" s="4" t="s">
        <v>75</v>
      </c>
    </row>
    <row r="528" spans="1:16" x14ac:dyDescent="0.3">
      <c r="A528" s="4">
        <v>2024</v>
      </c>
      <c r="B528" s="4" t="s">
        <v>32</v>
      </c>
      <c r="C528" s="4" t="s">
        <v>26</v>
      </c>
      <c r="D528" s="4" t="s">
        <v>27</v>
      </c>
      <c r="E528" s="4">
        <v>349</v>
      </c>
      <c r="F528" s="4">
        <v>186</v>
      </c>
      <c r="G528" s="4">
        <v>114</v>
      </c>
      <c r="H528" s="4">
        <v>64.91</v>
      </c>
      <c r="I528" s="4">
        <v>39.79</v>
      </c>
      <c r="J528" s="4">
        <v>25.13</v>
      </c>
      <c r="K528" s="4">
        <v>-8.86</v>
      </c>
      <c r="L528" s="4">
        <v>273</v>
      </c>
      <c r="M528" s="4" t="s">
        <v>37</v>
      </c>
      <c r="N528" s="4" t="s">
        <v>31</v>
      </c>
      <c r="O528" s="4" t="s">
        <v>42</v>
      </c>
      <c r="P528" s="4" t="s">
        <v>74</v>
      </c>
    </row>
    <row r="529" spans="1:16" x14ac:dyDescent="0.3">
      <c r="A529" s="4">
        <v>2024</v>
      </c>
      <c r="B529" s="4" t="s">
        <v>46</v>
      </c>
      <c r="C529" s="4" t="s">
        <v>22</v>
      </c>
      <c r="D529" s="4" t="s">
        <v>55</v>
      </c>
      <c r="E529" s="4">
        <v>355</v>
      </c>
      <c r="F529" s="4">
        <v>456</v>
      </c>
      <c r="G529" s="4">
        <v>346</v>
      </c>
      <c r="H529" s="4">
        <v>161.88</v>
      </c>
      <c r="I529" s="4">
        <v>122.83</v>
      </c>
      <c r="J529" s="4">
        <v>39.049999999999997</v>
      </c>
      <c r="K529" s="4">
        <v>-3.86</v>
      </c>
      <c r="L529" s="4">
        <v>80</v>
      </c>
      <c r="M529" s="4" t="s">
        <v>28</v>
      </c>
      <c r="N529" s="4" t="s">
        <v>24</v>
      </c>
      <c r="O529" s="4" t="s">
        <v>63</v>
      </c>
      <c r="P529" s="4" t="s">
        <v>76</v>
      </c>
    </row>
    <row r="530" spans="1:16" x14ac:dyDescent="0.3">
      <c r="A530" s="4">
        <v>2023</v>
      </c>
      <c r="B530" s="4" t="s">
        <v>57</v>
      </c>
      <c r="C530" s="4" t="s">
        <v>33</v>
      </c>
      <c r="D530" s="4" t="s">
        <v>54</v>
      </c>
      <c r="E530" s="4">
        <v>173</v>
      </c>
      <c r="F530" s="4">
        <v>384</v>
      </c>
      <c r="G530" s="4">
        <v>126</v>
      </c>
      <c r="H530" s="4">
        <v>66.430000000000007</v>
      </c>
      <c r="I530" s="4">
        <v>21.8</v>
      </c>
      <c r="J530" s="4">
        <v>44.63</v>
      </c>
      <c r="K530" s="4">
        <v>15.29</v>
      </c>
      <c r="L530" s="4">
        <v>45</v>
      </c>
      <c r="M530" s="4" t="s">
        <v>18</v>
      </c>
      <c r="N530" s="4" t="s">
        <v>19</v>
      </c>
      <c r="O530" s="4" t="s">
        <v>62</v>
      </c>
      <c r="P530" s="4" t="s">
        <v>74</v>
      </c>
    </row>
    <row r="531" spans="1:16" x14ac:dyDescent="0.3">
      <c r="A531" s="4">
        <v>2025</v>
      </c>
      <c r="B531" s="4" t="s">
        <v>49</v>
      </c>
      <c r="C531" s="4" t="s">
        <v>35</v>
      </c>
      <c r="D531" s="4" t="s">
        <v>43</v>
      </c>
      <c r="E531" s="4">
        <v>160</v>
      </c>
      <c r="F531" s="4">
        <v>293</v>
      </c>
      <c r="G531" s="4">
        <v>210</v>
      </c>
      <c r="H531" s="4">
        <v>46.88</v>
      </c>
      <c r="I531" s="4">
        <v>33.6</v>
      </c>
      <c r="J531" s="4">
        <v>13.28</v>
      </c>
      <c r="K531" s="4">
        <v>18.86</v>
      </c>
      <c r="L531" s="4">
        <v>58</v>
      </c>
      <c r="M531" s="4" t="s">
        <v>28</v>
      </c>
      <c r="N531" s="4" t="s">
        <v>38</v>
      </c>
      <c r="O531" s="4" t="s">
        <v>44</v>
      </c>
      <c r="P531" s="4" t="s">
        <v>73</v>
      </c>
    </row>
    <row r="532" spans="1:16" x14ac:dyDescent="0.3">
      <c r="A532" s="4">
        <v>2023</v>
      </c>
      <c r="B532" s="4" t="s">
        <v>39</v>
      </c>
      <c r="C532" s="4" t="s">
        <v>26</v>
      </c>
      <c r="D532" s="4" t="s">
        <v>52</v>
      </c>
      <c r="E532" s="4">
        <v>91</v>
      </c>
      <c r="F532" s="4">
        <v>391</v>
      </c>
      <c r="G532" s="4">
        <v>57</v>
      </c>
      <c r="H532" s="4">
        <v>35.58</v>
      </c>
      <c r="I532" s="4">
        <v>5.19</v>
      </c>
      <c r="J532" s="4">
        <v>30.39</v>
      </c>
      <c r="K532" s="4">
        <v>2.88</v>
      </c>
      <c r="L532" s="4">
        <v>298</v>
      </c>
      <c r="M532" s="4" t="s">
        <v>28</v>
      </c>
      <c r="N532" s="4" t="s">
        <v>24</v>
      </c>
      <c r="O532" s="4" t="s">
        <v>63</v>
      </c>
      <c r="P532" s="4" t="s">
        <v>76</v>
      </c>
    </row>
    <row r="533" spans="1:16" x14ac:dyDescent="0.3">
      <c r="A533" s="4">
        <v>2025</v>
      </c>
      <c r="B533" s="4" t="s">
        <v>21</v>
      </c>
      <c r="C533" s="4" t="s">
        <v>16</v>
      </c>
      <c r="D533" s="4" t="s">
        <v>56</v>
      </c>
      <c r="E533" s="4">
        <v>363</v>
      </c>
      <c r="F533" s="4">
        <v>231</v>
      </c>
      <c r="G533" s="4">
        <v>181</v>
      </c>
      <c r="H533" s="4">
        <v>83.85</v>
      </c>
      <c r="I533" s="4">
        <v>65.7</v>
      </c>
      <c r="J533" s="4">
        <v>18.149999999999999</v>
      </c>
      <c r="K533" s="4">
        <v>0.23</v>
      </c>
      <c r="L533" s="4">
        <v>190</v>
      </c>
      <c r="M533" s="4" t="s">
        <v>37</v>
      </c>
      <c r="N533" s="4" t="s">
        <v>31</v>
      </c>
      <c r="O533" s="4" t="s">
        <v>42</v>
      </c>
      <c r="P533" s="4" t="s">
        <v>71</v>
      </c>
    </row>
    <row r="534" spans="1:16" x14ac:dyDescent="0.3">
      <c r="A534" s="4">
        <v>2023</v>
      </c>
      <c r="B534" s="4" t="s">
        <v>45</v>
      </c>
      <c r="C534" s="4" t="s">
        <v>16</v>
      </c>
      <c r="D534" s="4" t="s">
        <v>30</v>
      </c>
      <c r="E534" s="4">
        <v>366</v>
      </c>
      <c r="F534" s="4">
        <v>220</v>
      </c>
      <c r="G534" s="4">
        <v>114</v>
      </c>
      <c r="H534" s="4">
        <v>80.52</v>
      </c>
      <c r="I534" s="4">
        <v>41.72</v>
      </c>
      <c r="J534" s="4">
        <v>38.799999999999997</v>
      </c>
      <c r="K534" s="4">
        <v>7.29</v>
      </c>
      <c r="L534" s="4">
        <v>284</v>
      </c>
      <c r="M534" s="4" t="s">
        <v>18</v>
      </c>
      <c r="N534" s="4" t="s">
        <v>19</v>
      </c>
      <c r="O534" s="4" t="s">
        <v>62</v>
      </c>
      <c r="P534" s="4" t="s">
        <v>71</v>
      </c>
    </row>
    <row r="535" spans="1:16" x14ac:dyDescent="0.3">
      <c r="A535" s="4">
        <v>2024</v>
      </c>
      <c r="B535" s="4" t="s">
        <v>29</v>
      </c>
      <c r="C535" s="4" t="s">
        <v>35</v>
      </c>
      <c r="D535" s="4" t="s">
        <v>40</v>
      </c>
      <c r="E535" s="4">
        <v>116</v>
      </c>
      <c r="F535" s="4">
        <v>272</v>
      </c>
      <c r="G535" s="4">
        <v>138</v>
      </c>
      <c r="H535" s="4">
        <v>31.55</v>
      </c>
      <c r="I535" s="4">
        <v>16.010000000000002</v>
      </c>
      <c r="J535" s="4">
        <v>15.54</v>
      </c>
      <c r="K535" s="4">
        <v>21.52</v>
      </c>
      <c r="L535" s="4">
        <v>266</v>
      </c>
      <c r="M535" s="4" t="s">
        <v>28</v>
      </c>
      <c r="N535" s="4" t="s">
        <v>24</v>
      </c>
      <c r="O535" s="4" t="s">
        <v>63</v>
      </c>
      <c r="P535" s="4" t="s">
        <v>72</v>
      </c>
    </row>
    <row r="536" spans="1:16" x14ac:dyDescent="0.3">
      <c r="A536" s="4">
        <v>2025</v>
      </c>
      <c r="B536" s="4" t="s">
        <v>57</v>
      </c>
      <c r="C536" s="4" t="s">
        <v>26</v>
      </c>
      <c r="D536" s="4" t="s">
        <v>27</v>
      </c>
      <c r="E536" s="4">
        <v>345</v>
      </c>
      <c r="F536" s="4">
        <v>463</v>
      </c>
      <c r="G536" s="4">
        <v>134</v>
      </c>
      <c r="H536" s="4">
        <v>159.74</v>
      </c>
      <c r="I536" s="4">
        <v>46.23</v>
      </c>
      <c r="J536" s="4">
        <v>113.51</v>
      </c>
      <c r="K536" s="4">
        <v>2.35</v>
      </c>
      <c r="L536" s="4">
        <v>66</v>
      </c>
      <c r="M536" s="4" t="s">
        <v>37</v>
      </c>
      <c r="N536" s="4" t="s">
        <v>24</v>
      </c>
      <c r="O536" s="4" t="s">
        <v>63</v>
      </c>
      <c r="P536" s="4" t="s">
        <v>74</v>
      </c>
    </row>
    <row r="537" spans="1:16" x14ac:dyDescent="0.3">
      <c r="A537" s="4">
        <v>2025</v>
      </c>
      <c r="B537" s="4" t="s">
        <v>15</v>
      </c>
      <c r="C537" s="4" t="s">
        <v>33</v>
      </c>
      <c r="D537" s="4" t="s">
        <v>50</v>
      </c>
      <c r="E537" s="4">
        <v>195</v>
      </c>
      <c r="F537" s="4">
        <v>428</v>
      </c>
      <c r="G537" s="4">
        <v>245</v>
      </c>
      <c r="H537" s="4">
        <v>83.46</v>
      </c>
      <c r="I537" s="4">
        <v>47.77</v>
      </c>
      <c r="J537" s="4">
        <v>35.68</v>
      </c>
      <c r="K537" s="4">
        <v>20.81</v>
      </c>
      <c r="L537" s="4">
        <v>204</v>
      </c>
      <c r="M537" s="4" t="s">
        <v>18</v>
      </c>
      <c r="N537" s="4" t="s">
        <v>31</v>
      </c>
      <c r="O537" s="4" t="s">
        <v>42</v>
      </c>
      <c r="P537" s="4" t="s">
        <v>73</v>
      </c>
    </row>
    <row r="538" spans="1:16" x14ac:dyDescent="0.3">
      <c r="A538" s="4">
        <v>2024</v>
      </c>
      <c r="B538" s="4" t="s">
        <v>39</v>
      </c>
      <c r="C538" s="4" t="s">
        <v>26</v>
      </c>
      <c r="D538" s="4" t="s">
        <v>27</v>
      </c>
      <c r="E538" s="4">
        <v>226</v>
      </c>
      <c r="F538" s="4">
        <v>410</v>
      </c>
      <c r="G538" s="4">
        <v>263</v>
      </c>
      <c r="H538" s="4">
        <v>92.66</v>
      </c>
      <c r="I538" s="4">
        <v>59.44</v>
      </c>
      <c r="J538" s="4">
        <v>33.22</v>
      </c>
      <c r="K538" s="4">
        <v>3.1</v>
      </c>
      <c r="L538" s="4">
        <v>120</v>
      </c>
      <c r="M538" s="4" t="s">
        <v>28</v>
      </c>
      <c r="N538" s="4" t="s">
        <v>31</v>
      </c>
      <c r="O538" s="4" t="s">
        <v>42</v>
      </c>
      <c r="P538" s="4" t="s">
        <v>71</v>
      </c>
    </row>
    <row r="539" spans="1:16" x14ac:dyDescent="0.3">
      <c r="A539" s="4">
        <v>2023</v>
      </c>
      <c r="B539" s="4" t="s">
        <v>47</v>
      </c>
      <c r="C539" s="4" t="s">
        <v>22</v>
      </c>
      <c r="D539" s="4" t="s">
        <v>59</v>
      </c>
      <c r="E539" s="4">
        <v>270</v>
      </c>
      <c r="F539" s="4">
        <v>179</v>
      </c>
      <c r="G539" s="4">
        <v>73</v>
      </c>
      <c r="H539" s="4">
        <v>48.33</v>
      </c>
      <c r="I539" s="4">
        <v>19.71</v>
      </c>
      <c r="J539" s="4">
        <v>28.62</v>
      </c>
      <c r="K539" s="4">
        <v>3.11</v>
      </c>
      <c r="L539" s="4">
        <v>259</v>
      </c>
      <c r="M539" s="4" t="s">
        <v>18</v>
      </c>
      <c r="N539" s="4" t="s">
        <v>31</v>
      </c>
      <c r="O539" s="4" t="s">
        <v>42</v>
      </c>
      <c r="P539" s="4" t="s">
        <v>76</v>
      </c>
    </row>
    <row r="540" spans="1:16" x14ac:dyDescent="0.3">
      <c r="A540" s="4">
        <v>2024</v>
      </c>
      <c r="B540" s="4" t="s">
        <v>57</v>
      </c>
      <c r="C540" s="4" t="s">
        <v>26</v>
      </c>
      <c r="D540" s="4" t="s">
        <v>58</v>
      </c>
      <c r="E540" s="4">
        <v>481</v>
      </c>
      <c r="F540" s="4">
        <v>377</v>
      </c>
      <c r="G540" s="4">
        <v>304</v>
      </c>
      <c r="H540" s="4">
        <v>181.34</v>
      </c>
      <c r="I540" s="4">
        <v>146.22</v>
      </c>
      <c r="J540" s="4">
        <v>35.11</v>
      </c>
      <c r="K540" s="4">
        <v>-3.09</v>
      </c>
      <c r="L540" s="4">
        <v>141</v>
      </c>
      <c r="M540" s="4" t="s">
        <v>37</v>
      </c>
      <c r="N540" s="4" t="s">
        <v>19</v>
      </c>
      <c r="O540" s="4" t="s">
        <v>62</v>
      </c>
      <c r="P540" s="4" t="s">
        <v>71</v>
      </c>
    </row>
    <row r="541" spans="1:16" x14ac:dyDescent="0.3">
      <c r="A541" s="4">
        <v>2023</v>
      </c>
      <c r="B541" s="4" t="s">
        <v>41</v>
      </c>
      <c r="C541" s="4" t="s">
        <v>22</v>
      </c>
      <c r="D541" s="4" t="s">
        <v>53</v>
      </c>
      <c r="E541" s="4">
        <v>422</v>
      </c>
      <c r="F541" s="4">
        <v>110</v>
      </c>
      <c r="G541" s="4">
        <v>83</v>
      </c>
      <c r="H541" s="4">
        <v>46.42</v>
      </c>
      <c r="I541" s="4">
        <v>35.03</v>
      </c>
      <c r="J541" s="4">
        <v>11.39</v>
      </c>
      <c r="K541" s="4">
        <v>3.31</v>
      </c>
      <c r="L541" s="4">
        <v>164</v>
      </c>
      <c r="M541" s="4" t="s">
        <v>37</v>
      </c>
      <c r="N541" s="4" t="s">
        <v>19</v>
      </c>
      <c r="O541" s="4" t="s">
        <v>62</v>
      </c>
      <c r="P541" s="4" t="s">
        <v>75</v>
      </c>
    </row>
    <row r="542" spans="1:16" x14ac:dyDescent="0.3">
      <c r="A542" s="4">
        <v>2025</v>
      </c>
      <c r="B542" s="4" t="s">
        <v>45</v>
      </c>
      <c r="C542" s="4" t="s">
        <v>22</v>
      </c>
      <c r="D542" s="4" t="s">
        <v>59</v>
      </c>
      <c r="E542" s="4">
        <v>241</v>
      </c>
      <c r="F542" s="4">
        <v>434</v>
      </c>
      <c r="G542" s="4">
        <v>265</v>
      </c>
      <c r="H542" s="4">
        <v>104.59</v>
      </c>
      <c r="I542" s="4">
        <v>63.87</v>
      </c>
      <c r="J542" s="4">
        <v>40.729999999999997</v>
      </c>
      <c r="K542" s="4">
        <v>20.25</v>
      </c>
      <c r="L542" s="4">
        <v>243</v>
      </c>
      <c r="M542" s="4" t="s">
        <v>28</v>
      </c>
      <c r="N542" s="4" t="s">
        <v>38</v>
      </c>
      <c r="O542" s="4" t="s">
        <v>44</v>
      </c>
      <c r="P542" s="4" t="s">
        <v>74</v>
      </c>
    </row>
    <row r="543" spans="1:16" x14ac:dyDescent="0.3">
      <c r="A543" s="4">
        <v>2024</v>
      </c>
      <c r="B543" s="4" t="s">
        <v>46</v>
      </c>
      <c r="C543" s="4" t="s">
        <v>26</v>
      </c>
      <c r="D543" s="4" t="s">
        <v>52</v>
      </c>
      <c r="E543" s="4">
        <v>358</v>
      </c>
      <c r="F543" s="4">
        <v>103</v>
      </c>
      <c r="G543" s="4">
        <v>55</v>
      </c>
      <c r="H543" s="4">
        <v>36.869999999999997</v>
      </c>
      <c r="I543" s="4">
        <v>19.690000000000001</v>
      </c>
      <c r="J543" s="4">
        <v>17.18</v>
      </c>
      <c r="K543" s="4">
        <v>-6.14</v>
      </c>
      <c r="L543" s="4">
        <v>174</v>
      </c>
      <c r="M543" s="4" t="s">
        <v>18</v>
      </c>
      <c r="N543" s="4" t="s">
        <v>38</v>
      </c>
      <c r="O543" s="4" t="s">
        <v>44</v>
      </c>
      <c r="P543" s="4" t="s">
        <v>74</v>
      </c>
    </row>
    <row r="544" spans="1:16" x14ac:dyDescent="0.3">
      <c r="A544" s="4">
        <v>2024</v>
      </c>
      <c r="B544" s="4" t="s">
        <v>49</v>
      </c>
      <c r="C544" s="4" t="s">
        <v>16</v>
      </c>
      <c r="D544" s="4" t="s">
        <v>56</v>
      </c>
      <c r="E544" s="4">
        <v>115</v>
      </c>
      <c r="F544" s="4">
        <v>103</v>
      </c>
      <c r="G544" s="4">
        <v>65</v>
      </c>
      <c r="H544" s="4">
        <v>11.85</v>
      </c>
      <c r="I544" s="4">
        <v>7.47</v>
      </c>
      <c r="J544" s="4">
        <v>4.37</v>
      </c>
      <c r="K544" s="4">
        <v>7.48</v>
      </c>
      <c r="L544" s="4">
        <v>255</v>
      </c>
      <c r="M544" s="4" t="s">
        <v>28</v>
      </c>
      <c r="N544" s="4" t="s">
        <v>19</v>
      </c>
      <c r="O544" s="4" t="s">
        <v>62</v>
      </c>
      <c r="P544" s="4" t="s">
        <v>72</v>
      </c>
    </row>
    <row r="545" spans="1:16" x14ac:dyDescent="0.3">
      <c r="A545" s="4">
        <v>2025</v>
      </c>
      <c r="B545" s="4" t="s">
        <v>29</v>
      </c>
      <c r="C545" s="4" t="s">
        <v>26</v>
      </c>
      <c r="D545" s="4" t="s">
        <v>27</v>
      </c>
      <c r="E545" s="4">
        <v>230</v>
      </c>
      <c r="F545" s="4">
        <v>195</v>
      </c>
      <c r="G545" s="4">
        <v>129</v>
      </c>
      <c r="H545" s="4">
        <v>44.85</v>
      </c>
      <c r="I545" s="4">
        <v>29.67</v>
      </c>
      <c r="J545" s="4">
        <v>15.18</v>
      </c>
      <c r="K545" s="4">
        <v>0.1</v>
      </c>
      <c r="L545" s="4">
        <v>149</v>
      </c>
      <c r="M545" s="4" t="s">
        <v>28</v>
      </c>
      <c r="N545" s="4" t="s">
        <v>19</v>
      </c>
      <c r="O545" s="4" t="s">
        <v>62</v>
      </c>
      <c r="P545" s="4" t="s">
        <v>71</v>
      </c>
    </row>
    <row r="546" spans="1:16" x14ac:dyDescent="0.3">
      <c r="A546" s="4">
        <v>2025</v>
      </c>
      <c r="B546" s="4" t="s">
        <v>45</v>
      </c>
      <c r="C546" s="4" t="s">
        <v>26</v>
      </c>
      <c r="D546" s="4" t="s">
        <v>27</v>
      </c>
      <c r="E546" s="4">
        <v>454</v>
      </c>
      <c r="F546" s="4">
        <v>74</v>
      </c>
      <c r="G546" s="4">
        <v>43</v>
      </c>
      <c r="H546" s="4">
        <v>33.6</v>
      </c>
      <c r="I546" s="4">
        <v>19.52</v>
      </c>
      <c r="J546" s="4">
        <v>14.07</v>
      </c>
      <c r="K546" s="4">
        <v>12.27</v>
      </c>
      <c r="L546" s="4">
        <v>195</v>
      </c>
      <c r="M546" s="4" t="s">
        <v>18</v>
      </c>
      <c r="N546" s="4" t="s">
        <v>38</v>
      </c>
      <c r="O546" s="4" t="s">
        <v>44</v>
      </c>
      <c r="P546" s="4" t="s">
        <v>73</v>
      </c>
    </row>
    <row r="547" spans="1:16" x14ac:dyDescent="0.3">
      <c r="A547" s="4">
        <v>2023</v>
      </c>
      <c r="B547" s="4" t="s">
        <v>39</v>
      </c>
      <c r="C547" s="4" t="s">
        <v>16</v>
      </c>
      <c r="D547" s="4" t="s">
        <v>30</v>
      </c>
      <c r="E547" s="4">
        <v>100</v>
      </c>
      <c r="F547" s="4">
        <v>353</v>
      </c>
      <c r="G547" s="4">
        <v>312</v>
      </c>
      <c r="H547" s="4">
        <v>35.299999999999997</v>
      </c>
      <c r="I547" s="4">
        <v>31.2</v>
      </c>
      <c r="J547" s="4">
        <v>4.0999999999999996</v>
      </c>
      <c r="K547" s="4">
        <v>12.87</v>
      </c>
      <c r="L547" s="4">
        <v>262</v>
      </c>
      <c r="M547" s="4" t="s">
        <v>18</v>
      </c>
      <c r="N547" s="4" t="s">
        <v>19</v>
      </c>
      <c r="O547" s="4" t="s">
        <v>62</v>
      </c>
      <c r="P547" s="4" t="s">
        <v>75</v>
      </c>
    </row>
    <row r="548" spans="1:16" x14ac:dyDescent="0.3">
      <c r="A548" s="4">
        <v>2025</v>
      </c>
      <c r="B548" s="4" t="s">
        <v>32</v>
      </c>
      <c r="C548" s="4" t="s">
        <v>33</v>
      </c>
      <c r="D548" s="4" t="s">
        <v>50</v>
      </c>
      <c r="E548" s="4">
        <v>244</v>
      </c>
      <c r="F548" s="4">
        <v>211</v>
      </c>
      <c r="G548" s="4">
        <v>70</v>
      </c>
      <c r="H548" s="4">
        <v>51.48</v>
      </c>
      <c r="I548" s="4">
        <v>17.079999999999998</v>
      </c>
      <c r="J548" s="4">
        <v>34.4</v>
      </c>
      <c r="K548" s="4">
        <v>0</v>
      </c>
      <c r="L548" s="4">
        <v>219</v>
      </c>
      <c r="M548" s="4" t="s">
        <v>37</v>
      </c>
      <c r="N548" s="4" t="s">
        <v>38</v>
      </c>
      <c r="O548" s="4" t="s">
        <v>44</v>
      </c>
      <c r="P548" s="4" t="s">
        <v>73</v>
      </c>
    </row>
    <row r="549" spans="1:16" x14ac:dyDescent="0.3">
      <c r="A549" s="4">
        <v>2024</v>
      </c>
      <c r="B549" s="4" t="s">
        <v>32</v>
      </c>
      <c r="C549" s="4" t="s">
        <v>16</v>
      </c>
      <c r="D549" s="4" t="s">
        <v>17</v>
      </c>
      <c r="E549" s="4">
        <v>225</v>
      </c>
      <c r="F549" s="4">
        <v>293</v>
      </c>
      <c r="G549" s="4">
        <v>87</v>
      </c>
      <c r="H549" s="4">
        <v>65.92</v>
      </c>
      <c r="I549" s="4">
        <v>19.57</v>
      </c>
      <c r="J549" s="4">
        <v>46.35</v>
      </c>
      <c r="K549" s="4">
        <v>-5.0199999999999996</v>
      </c>
      <c r="L549" s="4">
        <v>165</v>
      </c>
      <c r="M549" s="4" t="s">
        <v>28</v>
      </c>
      <c r="N549" s="4" t="s">
        <v>24</v>
      </c>
      <c r="O549" s="4" t="s">
        <v>63</v>
      </c>
      <c r="P549" s="4" t="s">
        <v>72</v>
      </c>
    </row>
    <row r="550" spans="1:16" x14ac:dyDescent="0.3">
      <c r="A550" s="4">
        <v>2023</v>
      </c>
      <c r="B550" s="4" t="s">
        <v>39</v>
      </c>
      <c r="C550" s="4" t="s">
        <v>33</v>
      </c>
      <c r="D550" s="4" t="s">
        <v>54</v>
      </c>
      <c r="E550" s="4">
        <v>398</v>
      </c>
      <c r="F550" s="4">
        <v>60</v>
      </c>
      <c r="G550" s="4">
        <v>35</v>
      </c>
      <c r="H550" s="4">
        <v>23.88</v>
      </c>
      <c r="I550" s="4">
        <v>13.93</v>
      </c>
      <c r="J550" s="4">
        <v>9.9499999999999993</v>
      </c>
      <c r="K550" s="4">
        <v>-8.27</v>
      </c>
      <c r="L550" s="4">
        <v>206</v>
      </c>
      <c r="M550" s="4" t="s">
        <v>28</v>
      </c>
      <c r="N550" s="4" t="s">
        <v>38</v>
      </c>
      <c r="O550" s="4" t="s">
        <v>44</v>
      </c>
      <c r="P550" s="4" t="s">
        <v>76</v>
      </c>
    </row>
    <row r="551" spans="1:16" x14ac:dyDescent="0.3">
      <c r="A551" s="4">
        <v>2024</v>
      </c>
      <c r="B551" s="4" t="s">
        <v>49</v>
      </c>
      <c r="C551" s="4" t="s">
        <v>22</v>
      </c>
      <c r="D551" s="4" t="s">
        <v>59</v>
      </c>
      <c r="E551" s="4">
        <v>353</v>
      </c>
      <c r="F551" s="4">
        <v>386</v>
      </c>
      <c r="G551" s="4">
        <v>320</v>
      </c>
      <c r="H551" s="4">
        <v>136.26</v>
      </c>
      <c r="I551" s="4">
        <v>112.96</v>
      </c>
      <c r="J551" s="4">
        <v>23.3</v>
      </c>
      <c r="K551" s="4">
        <v>0.53</v>
      </c>
      <c r="L551" s="4">
        <v>148</v>
      </c>
      <c r="M551" s="4" t="s">
        <v>28</v>
      </c>
      <c r="N551" s="4" t="s">
        <v>19</v>
      </c>
      <c r="O551" s="4" t="s">
        <v>62</v>
      </c>
      <c r="P551" s="4" t="s">
        <v>75</v>
      </c>
    </row>
    <row r="552" spans="1:16" x14ac:dyDescent="0.3">
      <c r="A552" s="4">
        <v>2024</v>
      </c>
      <c r="B552" s="4" t="s">
        <v>39</v>
      </c>
      <c r="C552" s="4" t="s">
        <v>22</v>
      </c>
      <c r="D552" s="4" t="s">
        <v>55</v>
      </c>
      <c r="E552" s="4">
        <v>262</v>
      </c>
      <c r="F552" s="4">
        <v>246</v>
      </c>
      <c r="G552" s="4">
        <v>123</v>
      </c>
      <c r="H552" s="4">
        <v>64.45</v>
      </c>
      <c r="I552" s="4">
        <v>32.229999999999997</v>
      </c>
      <c r="J552" s="4">
        <v>32.229999999999997</v>
      </c>
      <c r="K552" s="4">
        <v>13.58</v>
      </c>
      <c r="L552" s="4">
        <v>157</v>
      </c>
      <c r="M552" s="4" t="s">
        <v>28</v>
      </c>
      <c r="N552" s="4" t="s">
        <v>24</v>
      </c>
      <c r="O552" s="4" t="s">
        <v>63</v>
      </c>
      <c r="P552" s="4" t="s">
        <v>73</v>
      </c>
    </row>
    <row r="553" spans="1:16" x14ac:dyDescent="0.3">
      <c r="A553" s="4">
        <v>2024</v>
      </c>
      <c r="B553" s="4" t="s">
        <v>47</v>
      </c>
      <c r="C553" s="4" t="s">
        <v>26</v>
      </c>
      <c r="D553" s="4" t="s">
        <v>52</v>
      </c>
      <c r="E553" s="4">
        <v>385</v>
      </c>
      <c r="F553" s="4">
        <v>413</v>
      </c>
      <c r="G553" s="4">
        <v>32</v>
      </c>
      <c r="H553" s="4">
        <v>159</v>
      </c>
      <c r="I553" s="4">
        <v>12.32</v>
      </c>
      <c r="J553" s="4">
        <v>146.69</v>
      </c>
      <c r="K553" s="4">
        <v>7.36</v>
      </c>
      <c r="L553" s="4">
        <v>181</v>
      </c>
      <c r="M553" s="4" t="s">
        <v>37</v>
      </c>
      <c r="N553" s="4" t="s">
        <v>19</v>
      </c>
      <c r="O553" s="4" t="s">
        <v>62</v>
      </c>
      <c r="P553" s="4" t="s">
        <v>76</v>
      </c>
    </row>
    <row r="554" spans="1:16" x14ac:dyDescent="0.3">
      <c r="A554" s="4">
        <v>2024</v>
      </c>
      <c r="B554" s="4" t="s">
        <v>51</v>
      </c>
      <c r="C554" s="4" t="s">
        <v>26</v>
      </c>
      <c r="D554" s="4" t="s">
        <v>58</v>
      </c>
      <c r="E554" s="4">
        <v>331</v>
      </c>
      <c r="F554" s="4">
        <v>291</v>
      </c>
      <c r="G554" s="4">
        <v>250</v>
      </c>
      <c r="H554" s="4">
        <v>96.32</v>
      </c>
      <c r="I554" s="4">
        <v>82.75</v>
      </c>
      <c r="J554" s="4">
        <v>13.57</v>
      </c>
      <c r="K554" s="4">
        <v>-0.45</v>
      </c>
      <c r="L554" s="4">
        <v>251</v>
      </c>
      <c r="M554" s="4" t="s">
        <v>28</v>
      </c>
      <c r="N554" s="4" t="s">
        <v>19</v>
      </c>
      <c r="O554" s="4" t="s">
        <v>62</v>
      </c>
      <c r="P554" s="4" t="s">
        <v>74</v>
      </c>
    </row>
    <row r="555" spans="1:16" x14ac:dyDescent="0.3">
      <c r="A555" s="4">
        <v>2024</v>
      </c>
      <c r="B555" s="4" t="s">
        <v>32</v>
      </c>
      <c r="C555" s="4" t="s">
        <v>35</v>
      </c>
      <c r="D555" s="4" t="s">
        <v>43</v>
      </c>
      <c r="E555" s="4">
        <v>399</v>
      </c>
      <c r="F555" s="4">
        <v>296</v>
      </c>
      <c r="G555" s="4">
        <v>281</v>
      </c>
      <c r="H555" s="4">
        <v>118.1</v>
      </c>
      <c r="I555" s="4">
        <v>112.12</v>
      </c>
      <c r="J555" s="4">
        <v>5.98</v>
      </c>
      <c r="K555" s="4">
        <v>1.81</v>
      </c>
      <c r="L555" s="4">
        <v>238</v>
      </c>
      <c r="M555" s="4" t="s">
        <v>37</v>
      </c>
      <c r="N555" s="4" t="s">
        <v>31</v>
      </c>
      <c r="O555" s="4" t="s">
        <v>42</v>
      </c>
      <c r="P555" s="4" t="s">
        <v>73</v>
      </c>
    </row>
    <row r="556" spans="1:16" x14ac:dyDescent="0.3">
      <c r="A556" s="4">
        <v>2024</v>
      </c>
      <c r="B556" s="4" t="s">
        <v>29</v>
      </c>
      <c r="C556" s="4" t="s">
        <v>16</v>
      </c>
      <c r="D556" s="4" t="s">
        <v>17</v>
      </c>
      <c r="E556" s="4">
        <v>359</v>
      </c>
      <c r="F556" s="4">
        <v>272</v>
      </c>
      <c r="G556" s="4">
        <v>248</v>
      </c>
      <c r="H556" s="4">
        <v>97.65</v>
      </c>
      <c r="I556" s="4">
        <v>89.03</v>
      </c>
      <c r="J556" s="4">
        <v>8.6199999999999992</v>
      </c>
      <c r="K556" s="4">
        <v>17.47</v>
      </c>
      <c r="L556" s="4">
        <v>146</v>
      </c>
      <c r="M556" s="4" t="s">
        <v>18</v>
      </c>
      <c r="N556" s="4" t="s">
        <v>24</v>
      </c>
      <c r="O556" s="4" t="s">
        <v>63</v>
      </c>
      <c r="P556" s="4" t="s">
        <v>71</v>
      </c>
    </row>
    <row r="557" spans="1:16" x14ac:dyDescent="0.3">
      <c r="A557" s="4">
        <v>2024</v>
      </c>
      <c r="B557" s="4" t="s">
        <v>51</v>
      </c>
      <c r="C557" s="4" t="s">
        <v>35</v>
      </c>
      <c r="D557" s="4" t="s">
        <v>40</v>
      </c>
      <c r="E557" s="4">
        <v>314</v>
      </c>
      <c r="F557" s="4">
        <v>379</v>
      </c>
      <c r="G557" s="4">
        <v>337</v>
      </c>
      <c r="H557" s="4">
        <v>119.01</v>
      </c>
      <c r="I557" s="4">
        <v>105.82</v>
      </c>
      <c r="J557" s="4">
        <v>13.19</v>
      </c>
      <c r="K557" s="4">
        <v>-8.18</v>
      </c>
      <c r="L557" s="4">
        <v>253</v>
      </c>
      <c r="M557" s="4" t="s">
        <v>28</v>
      </c>
      <c r="N557" s="4" t="s">
        <v>31</v>
      </c>
      <c r="O557" s="4" t="s">
        <v>42</v>
      </c>
      <c r="P557" s="4" t="s">
        <v>74</v>
      </c>
    </row>
    <row r="558" spans="1:16" x14ac:dyDescent="0.3">
      <c r="A558" s="4">
        <v>2023</v>
      </c>
      <c r="B558" s="4" t="s">
        <v>51</v>
      </c>
      <c r="C558" s="4" t="s">
        <v>16</v>
      </c>
      <c r="D558" s="4" t="s">
        <v>30</v>
      </c>
      <c r="E558" s="4">
        <v>399</v>
      </c>
      <c r="F558" s="4">
        <v>82</v>
      </c>
      <c r="G558" s="4">
        <v>70</v>
      </c>
      <c r="H558" s="4">
        <v>32.72</v>
      </c>
      <c r="I558" s="4">
        <v>27.93</v>
      </c>
      <c r="J558" s="4">
        <v>4.79</v>
      </c>
      <c r="K558" s="4">
        <v>-3.79</v>
      </c>
      <c r="L558" s="4">
        <v>298</v>
      </c>
      <c r="M558" s="4" t="s">
        <v>37</v>
      </c>
      <c r="N558" s="4" t="s">
        <v>31</v>
      </c>
      <c r="O558" s="4" t="s">
        <v>42</v>
      </c>
      <c r="P558" s="4" t="s">
        <v>71</v>
      </c>
    </row>
    <row r="559" spans="1:16" x14ac:dyDescent="0.3">
      <c r="A559" s="4">
        <v>2024</v>
      </c>
      <c r="B559" s="4" t="s">
        <v>15</v>
      </c>
      <c r="C559" s="4" t="s">
        <v>16</v>
      </c>
      <c r="D559" s="4" t="s">
        <v>30</v>
      </c>
      <c r="E559" s="4">
        <v>150</v>
      </c>
      <c r="F559" s="4">
        <v>65</v>
      </c>
      <c r="G559" s="4">
        <v>34</v>
      </c>
      <c r="H559" s="4">
        <v>9.75</v>
      </c>
      <c r="I559" s="4">
        <v>5.0999999999999996</v>
      </c>
      <c r="J559" s="4">
        <v>4.6500000000000004</v>
      </c>
      <c r="K559" s="4">
        <v>6.58</v>
      </c>
      <c r="L559" s="4">
        <v>113</v>
      </c>
      <c r="M559" s="4" t="s">
        <v>37</v>
      </c>
      <c r="N559" s="4" t="s">
        <v>38</v>
      </c>
      <c r="O559" s="4" t="s">
        <v>44</v>
      </c>
      <c r="P559" s="4" t="s">
        <v>72</v>
      </c>
    </row>
    <row r="560" spans="1:16" x14ac:dyDescent="0.3">
      <c r="A560" s="4">
        <v>2025</v>
      </c>
      <c r="B560" s="4" t="s">
        <v>39</v>
      </c>
      <c r="C560" s="4" t="s">
        <v>35</v>
      </c>
      <c r="D560" s="4" t="s">
        <v>36</v>
      </c>
      <c r="E560" s="4">
        <v>180</v>
      </c>
      <c r="F560" s="4">
        <v>218</v>
      </c>
      <c r="G560" s="4">
        <v>89</v>
      </c>
      <c r="H560" s="4">
        <v>39.24</v>
      </c>
      <c r="I560" s="4">
        <v>16.02</v>
      </c>
      <c r="J560" s="4">
        <v>23.22</v>
      </c>
      <c r="K560" s="4">
        <v>-0.61</v>
      </c>
      <c r="L560" s="4">
        <v>44</v>
      </c>
      <c r="M560" s="4" t="s">
        <v>28</v>
      </c>
      <c r="N560" s="4" t="s">
        <v>19</v>
      </c>
      <c r="O560" s="4" t="s">
        <v>62</v>
      </c>
      <c r="P560" s="4" t="s">
        <v>73</v>
      </c>
    </row>
    <row r="561" spans="1:16" x14ac:dyDescent="0.3">
      <c r="A561" s="4">
        <v>2023</v>
      </c>
      <c r="B561" s="4" t="s">
        <v>21</v>
      </c>
      <c r="C561" s="4" t="s">
        <v>26</v>
      </c>
      <c r="D561" s="4" t="s">
        <v>27</v>
      </c>
      <c r="E561" s="4">
        <v>460</v>
      </c>
      <c r="F561" s="4">
        <v>63</v>
      </c>
      <c r="G561" s="4">
        <v>30</v>
      </c>
      <c r="H561" s="4">
        <v>28.98</v>
      </c>
      <c r="I561" s="4">
        <v>13.8</v>
      </c>
      <c r="J561" s="4">
        <v>15.18</v>
      </c>
      <c r="K561" s="4">
        <v>8.83</v>
      </c>
      <c r="L561" s="4">
        <v>123</v>
      </c>
      <c r="M561" s="4" t="s">
        <v>37</v>
      </c>
      <c r="N561" s="4" t="s">
        <v>38</v>
      </c>
      <c r="O561" s="4" t="s">
        <v>44</v>
      </c>
      <c r="P561" s="4" t="s">
        <v>72</v>
      </c>
    </row>
    <row r="562" spans="1:16" x14ac:dyDescent="0.3">
      <c r="A562" s="4">
        <v>2024</v>
      </c>
      <c r="B562" s="4" t="s">
        <v>15</v>
      </c>
      <c r="C562" s="4" t="s">
        <v>22</v>
      </c>
      <c r="D562" s="4" t="s">
        <v>59</v>
      </c>
      <c r="E562" s="4">
        <v>495</v>
      </c>
      <c r="F562" s="4">
        <v>309</v>
      </c>
      <c r="G562" s="4">
        <v>188</v>
      </c>
      <c r="H562" s="4">
        <v>152.96</v>
      </c>
      <c r="I562" s="4">
        <v>93.06</v>
      </c>
      <c r="J562" s="4">
        <v>59.9</v>
      </c>
      <c r="K562" s="4">
        <v>-7.31</v>
      </c>
      <c r="L562" s="4">
        <v>296</v>
      </c>
      <c r="M562" s="4" t="s">
        <v>18</v>
      </c>
      <c r="N562" s="4" t="s">
        <v>31</v>
      </c>
      <c r="O562" s="4" t="s">
        <v>42</v>
      </c>
      <c r="P562" s="4" t="s">
        <v>73</v>
      </c>
    </row>
    <row r="563" spans="1:16" x14ac:dyDescent="0.3">
      <c r="A563" s="4">
        <v>2025</v>
      </c>
      <c r="B563" s="4" t="s">
        <v>45</v>
      </c>
      <c r="C563" s="4" t="s">
        <v>16</v>
      </c>
      <c r="D563" s="4" t="s">
        <v>17</v>
      </c>
      <c r="E563" s="4">
        <v>189</v>
      </c>
      <c r="F563" s="4">
        <v>412</v>
      </c>
      <c r="G563" s="4">
        <v>317</v>
      </c>
      <c r="H563" s="4">
        <v>77.87</v>
      </c>
      <c r="I563" s="4">
        <v>59.91</v>
      </c>
      <c r="J563" s="4">
        <v>17.95</v>
      </c>
      <c r="K563" s="4">
        <v>15.78</v>
      </c>
      <c r="L563" s="4">
        <v>52</v>
      </c>
      <c r="M563" s="4" t="s">
        <v>37</v>
      </c>
      <c r="N563" s="4" t="s">
        <v>31</v>
      </c>
      <c r="O563" s="4" t="s">
        <v>42</v>
      </c>
      <c r="P563" s="4" t="s">
        <v>74</v>
      </c>
    </row>
    <row r="564" spans="1:16" x14ac:dyDescent="0.3">
      <c r="A564" s="4">
        <v>2023</v>
      </c>
      <c r="B564" s="4" t="s">
        <v>32</v>
      </c>
      <c r="C564" s="4" t="s">
        <v>35</v>
      </c>
      <c r="D564" s="4" t="s">
        <v>36</v>
      </c>
      <c r="E564" s="4">
        <v>267</v>
      </c>
      <c r="F564" s="4">
        <v>496</v>
      </c>
      <c r="G564" s="4">
        <v>39</v>
      </c>
      <c r="H564" s="4">
        <v>132.43</v>
      </c>
      <c r="I564" s="4">
        <v>10.41</v>
      </c>
      <c r="J564" s="4">
        <v>122.02</v>
      </c>
      <c r="K564" s="4">
        <v>6.52</v>
      </c>
      <c r="L564" s="4">
        <v>32</v>
      </c>
      <c r="M564" s="4" t="s">
        <v>37</v>
      </c>
      <c r="N564" s="4" t="s">
        <v>24</v>
      </c>
      <c r="O564" s="4" t="s">
        <v>63</v>
      </c>
      <c r="P564" s="4" t="s">
        <v>72</v>
      </c>
    </row>
    <row r="565" spans="1:16" x14ac:dyDescent="0.3">
      <c r="A565" s="4">
        <v>2023</v>
      </c>
      <c r="B565" s="4" t="s">
        <v>49</v>
      </c>
      <c r="C565" s="4" t="s">
        <v>22</v>
      </c>
      <c r="D565" s="4" t="s">
        <v>53</v>
      </c>
      <c r="E565" s="4">
        <v>329</v>
      </c>
      <c r="F565" s="4">
        <v>471</v>
      </c>
      <c r="G565" s="4">
        <v>203</v>
      </c>
      <c r="H565" s="4">
        <v>154.96</v>
      </c>
      <c r="I565" s="4">
        <v>66.790000000000006</v>
      </c>
      <c r="J565" s="4">
        <v>88.17</v>
      </c>
      <c r="K565" s="4">
        <v>2.34</v>
      </c>
      <c r="L565" s="4">
        <v>212</v>
      </c>
      <c r="M565" s="4" t="s">
        <v>18</v>
      </c>
      <c r="N565" s="4" t="s">
        <v>19</v>
      </c>
      <c r="O565" s="4" t="s">
        <v>62</v>
      </c>
      <c r="P565" s="4" t="s">
        <v>73</v>
      </c>
    </row>
    <row r="566" spans="1:16" x14ac:dyDescent="0.3">
      <c r="A566" s="4">
        <v>2023</v>
      </c>
      <c r="B566" s="4" t="s">
        <v>46</v>
      </c>
      <c r="C566" s="4" t="s">
        <v>22</v>
      </c>
      <c r="D566" s="4" t="s">
        <v>53</v>
      </c>
      <c r="E566" s="4">
        <v>472</v>
      </c>
      <c r="F566" s="4">
        <v>271</v>
      </c>
      <c r="G566" s="4">
        <v>209</v>
      </c>
      <c r="H566" s="4">
        <v>127.91</v>
      </c>
      <c r="I566" s="4">
        <v>98.65</v>
      </c>
      <c r="J566" s="4">
        <v>29.26</v>
      </c>
      <c r="K566" s="4">
        <v>12.77</v>
      </c>
      <c r="L566" s="4">
        <v>241</v>
      </c>
      <c r="M566" s="4" t="s">
        <v>37</v>
      </c>
      <c r="N566" s="4" t="s">
        <v>24</v>
      </c>
      <c r="O566" s="4" t="s">
        <v>63</v>
      </c>
      <c r="P566" s="4" t="s">
        <v>76</v>
      </c>
    </row>
    <row r="567" spans="1:16" x14ac:dyDescent="0.3">
      <c r="A567" s="4">
        <v>2024</v>
      </c>
      <c r="B567" s="4" t="s">
        <v>32</v>
      </c>
      <c r="C567" s="4" t="s">
        <v>16</v>
      </c>
      <c r="D567" s="4" t="s">
        <v>17</v>
      </c>
      <c r="E567" s="4">
        <v>124</v>
      </c>
      <c r="F567" s="4">
        <v>251</v>
      </c>
      <c r="G567" s="4">
        <v>31</v>
      </c>
      <c r="H567" s="4">
        <v>31.12</v>
      </c>
      <c r="I567" s="4">
        <v>3.84</v>
      </c>
      <c r="J567" s="4">
        <v>27.28</v>
      </c>
      <c r="K567" s="4">
        <v>-0.82</v>
      </c>
      <c r="L567" s="4">
        <v>195</v>
      </c>
      <c r="M567" s="4" t="s">
        <v>37</v>
      </c>
      <c r="N567" s="4" t="s">
        <v>31</v>
      </c>
      <c r="O567" s="4" t="s">
        <v>42</v>
      </c>
      <c r="P567" s="4" t="s">
        <v>71</v>
      </c>
    </row>
    <row r="568" spans="1:16" x14ac:dyDescent="0.3">
      <c r="A568" s="4">
        <v>2023</v>
      </c>
      <c r="B568" s="4" t="s">
        <v>47</v>
      </c>
      <c r="C568" s="4" t="s">
        <v>22</v>
      </c>
      <c r="D568" s="4" t="s">
        <v>55</v>
      </c>
      <c r="E568" s="4">
        <v>352</v>
      </c>
      <c r="F568" s="4">
        <v>498</v>
      </c>
      <c r="G568" s="4">
        <v>399</v>
      </c>
      <c r="H568" s="4">
        <v>175.3</v>
      </c>
      <c r="I568" s="4">
        <v>140.44999999999999</v>
      </c>
      <c r="J568" s="4">
        <v>34.85</v>
      </c>
      <c r="K568" s="4">
        <v>-3.4</v>
      </c>
      <c r="L568" s="4">
        <v>112</v>
      </c>
      <c r="M568" s="4" t="s">
        <v>18</v>
      </c>
      <c r="N568" s="4" t="s">
        <v>19</v>
      </c>
      <c r="O568" s="4" t="s">
        <v>62</v>
      </c>
      <c r="P568" s="4" t="s">
        <v>73</v>
      </c>
    </row>
    <row r="569" spans="1:16" x14ac:dyDescent="0.3">
      <c r="A569" s="4">
        <v>2024</v>
      </c>
      <c r="B569" s="4" t="s">
        <v>29</v>
      </c>
      <c r="C569" s="4" t="s">
        <v>16</v>
      </c>
      <c r="D569" s="4" t="s">
        <v>30</v>
      </c>
      <c r="E569" s="4">
        <v>449</v>
      </c>
      <c r="F569" s="4">
        <v>325</v>
      </c>
      <c r="G569" s="4">
        <v>126</v>
      </c>
      <c r="H569" s="4">
        <v>145.93</v>
      </c>
      <c r="I569" s="4">
        <v>56.57</v>
      </c>
      <c r="J569" s="4">
        <v>89.35</v>
      </c>
      <c r="K569" s="4">
        <v>-8</v>
      </c>
      <c r="L569" s="4">
        <v>257</v>
      </c>
      <c r="M569" s="4" t="s">
        <v>28</v>
      </c>
      <c r="N569" s="4" t="s">
        <v>24</v>
      </c>
      <c r="O569" s="4" t="s">
        <v>63</v>
      </c>
      <c r="P569" s="4" t="s">
        <v>71</v>
      </c>
    </row>
    <row r="570" spans="1:16" x14ac:dyDescent="0.3">
      <c r="A570" s="4">
        <v>2023</v>
      </c>
      <c r="B570" s="4" t="s">
        <v>29</v>
      </c>
      <c r="C570" s="4" t="s">
        <v>33</v>
      </c>
      <c r="D570" s="4" t="s">
        <v>54</v>
      </c>
      <c r="E570" s="4">
        <v>80</v>
      </c>
      <c r="F570" s="4">
        <v>467</v>
      </c>
      <c r="G570" s="4">
        <v>370</v>
      </c>
      <c r="H570" s="4">
        <v>37.36</v>
      </c>
      <c r="I570" s="4">
        <v>29.6</v>
      </c>
      <c r="J570" s="4">
        <v>7.76</v>
      </c>
      <c r="K570" s="4">
        <v>6.95</v>
      </c>
      <c r="L570" s="4">
        <v>67</v>
      </c>
      <c r="M570" s="4" t="s">
        <v>18</v>
      </c>
      <c r="N570" s="4" t="s">
        <v>19</v>
      </c>
      <c r="O570" s="4" t="s">
        <v>62</v>
      </c>
      <c r="P570" s="4" t="s">
        <v>74</v>
      </c>
    </row>
    <row r="571" spans="1:16" x14ac:dyDescent="0.3">
      <c r="A571" s="4">
        <v>2025</v>
      </c>
      <c r="B571" s="4" t="s">
        <v>57</v>
      </c>
      <c r="C571" s="4" t="s">
        <v>26</v>
      </c>
      <c r="D571" s="4" t="s">
        <v>58</v>
      </c>
      <c r="E571" s="4">
        <v>488</v>
      </c>
      <c r="F571" s="4">
        <v>413</v>
      </c>
      <c r="G571" s="4">
        <v>62</v>
      </c>
      <c r="H571" s="4">
        <v>201.54</v>
      </c>
      <c r="I571" s="4">
        <v>30.26</v>
      </c>
      <c r="J571" s="4">
        <v>171.29</v>
      </c>
      <c r="K571" s="4">
        <v>-9.2799999999999994</v>
      </c>
      <c r="L571" s="4">
        <v>77</v>
      </c>
      <c r="M571" s="4" t="s">
        <v>37</v>
      </c>
      <c r="N571" s="4" t="s">
        <v>31</v>
      </c>
      <c r="O571" s="4" t="s">
        <v>42</v>
      </c>
      <c r="P571" s="4" t="s">
        <v>74</v>
      </c>
    </row>
    <row r="572" spans="1:16" x14ac:dyDescent="0.3">
      <c r="A572" s="4">
        <v>2025</v>
      </c>
      <c r="B572" s="4" t="s">
        <v>51</v>
      </c>
      <c r="C572" s="4" t="s">
        <v>26</v>
      </c>
      <c r="D572" s="4" t="s">
        <v>52</v>
      </c>
      <c r="E572" s="4">
        <v>435</v>
      </c>
      <c r="F572" s="4">
        <v>371</v>
      </c>
      <c r="G572" s="4">
        <v>331</v>
      </c>
      <c r="H572" s="4">
        <v>161.38</v>
      </c>
      <c r="I572" s="4">
        <v>143.99</v>
      </c>
      <c r="J572" s="4">
        <v>17.399999999999999</v>
      </c>
      <c r="K572" s="4">
        <v>10.71</v>
      </c>
      <c r="L572" s="4">
        <v>25</v>
      </c>
      <c r="M572" s="4" t="s">
        <v>28</v>
      </c>
      <c r="N572" s="4" t="s">
        <v>38</v>
      </c>
      <c r="O572" s="4" t="s">
        <v>44</v>
      </c>
      <c r="P572" s="4" t="s">
        <v>76</v>
      </c>
    </row>
    <row r="573" spans="1:16" x14ac:dyDescent="0.3">
      <c r="A573" s="4">
        <v>2024</v>
      </c>
      <c r="B573" s="4" t="s">
        <v>39</v>
      </c>
      <c r="C573" s="4" t="s">
        <v>26</v>
      </c>
      <c r="D573" s="4" t="s">
        <v>58</v>
      </c>
      <c r="E573" s="4">
        <v>366</v>
      </c>
      <c r="F573" s="4">
        <v>86</v>
      </c>
      <c r="G573" s="4">
        <v>67</v>
      </c>
      <c r="H573" s="4">
        <v>31.48</v>
      </c>
      <c r="I573" s="4">
        <v>24.52</v>
      </c>
      <c r="J573" s="4">
        <v>6.95</v>
      </c>
      <c r="K573" s="4">
        <v>24.71</v>
      </c>
      <c r="L573" s="4">
        <v>28</v>
      </c>
      <c r="M573" s="4" t="s">
        <v>37</v>
      </c>
      <c r="N573" s="4" t="s">
        <v>31</v>
      </c>
      <c r="O573" s="4" t="s">
        <v>42</v>
      </c>
      <c r="P573" s="4" t="s">
        <v>74</v>
      </c>
    </row>
    <row r="574" spans="1:16" x14ac:dyDescent="0.3">
      <c r="A574" s="4">
        <v>2024</v>
      </c>
      <c r="B574" s="4" t="s">
        <v>57</v>
      </c>
      <c r="C574" s="4" t="s">
        <v>35</v>
      </c>
      <c r="D574" s="4" t="s">
        <v>43</v>
      </c>
      <c r="E574" s="4">
        <v>321</v>
      </c>
      <c r="F574" s="4">
        <v>106</v>
      </c>
      <c r="G574" s="4">
        <v>76</v>
      </c>
      <c r="H574" s="4">
        <v>34.03</v>
      </c>
      <c r="I574" s="4">
        <v>24.4</v>
      </c>
      <c r="J574" s="4">
        <v>9.6300000000000008</v>
      </c>
      <c r="K574" s="4">
        <v>14.19</v>
      </c>
      <c r="L574" s="4">
        <v>98</v>
      </c>
      <c r="M574" s="4" t="s">
        <v>28</v>
      </c>
      <c r="N574" s="4" t="s">
        <v>38</v>
      </c>
      <c r="O574" s="4" t="s">
        <v>44</v>
      </c>
      <c r="P574" s="4" t="s">
        <v>76</v>
      </c>
    </row>
    <row r="575" spans="1:16" x14ac:dyDescent="0.3">
      <c r="A575" s="4">
        <v>2025</v>
      </c>
      <c r="B575" s="4" t="s">
        <v>32</v>
      </c>
      <c r="C575" s="4" t="s">
        <v>33</v>
      </c>
      <c r="D575" s="4" t="s">
        <v>50</v>
      </c>
      <c r="E575" s="4">
        <v>371</v>
      </c>
      <c r="F575" s="4">
        <v>469</v>
      </c>
      <c r="G575" s="4">
        <v>43</v>
      </c>
      <c r="H575" s="4">
        <v>174</v>
      </c>
      <c r="I575" s="4">
        <v>15.95</v>
      </c>
      <c r="J575" s="4">
        <v>158.05000000000001</v>
      </c>
      <c r="K575" s="4">
        <v>6.08</v>
      </c>
      <c r="L575" s="4">
        <v>183</v>
      </c>
      <c r="M575" s="4" t="s">
        <v>37</v>
      </c>
      <c r="N575" s="4" t="s">
        <v>38</v>
      </c>
      <c r="O575" s="4" t="s">
        <v>44</v>
      </c>
      <c r="P575" s="4" t="s">
        <v>74</v>
      </c>
    </row>
    <row r="576" spans="1:16" x14ac:dyDescent="0.3">
      <c r="A576" s="4">
        <v>2024</v>
      </c>
      <c r="B576" s="4" t="s">
        <v>45</v>
      </c>
      <c r="C576" s="4" t="s">
        <v>16</v>
      </c>
      <c r="D576" s="4" t="s">
        <v>17</v>
      </c>
      <c r="E576" s="4">
        <v>87</v>
      </c>
      <c r="F576" s="4">
        <v>209</v>
      </c>
      <c r="G576" s="4">
        <v>115</v>
      </c>
      <c r="H576" s="4">
        <v>18.18</v>
      </c>
      <c r="I576" s="4">
        <v>10.01</v>
      </c>
      <c r="J576" s="4">
        <v>8.18</v>
      </c>
      <c r="K576" s="4">
        <v>-6.33</v>
      </c>
      <c r="L576" s="4">
        <v>197</v>
      </c>
      <c r="M576" s="4" t="s">
        <v>28</v>
      </c>
      <c r="N576" s="4" t="s">
        <v>19</v>
      </c>
      <c r="O576" s="4" t="s">
        <v>62</v>
      </c>
      <c r="P576" s="4" t="s">
        <v>72</v>
      </c>
    </row>
    <row r="577" spans="1:16" x14ac:dyDescent="0.3">
      <c r="A577" s="4">
        <v>2023</v>
      </c>
      <c r="B577" s="4" t="s">
        <v>29</v>
      </c>
      <c r="C577" s="4" t="s">
        <v>33</v>
      </c>
      <c r="D577" s="4" t="s">
        <v>48</v>
      </c>
      <c r="E577" s="4">
        <v>150</v>
      </c>
      <c r="F577" s="4">
        <v>375</v>
      </c>
      <c r="G577" s="4">
        <v>83</v>
      </c>
      <c r="H577" s="4">
        <v>56.25</v>
      </c>
      <c r="I577" s="4">
        <v>12.45</v>
      </c>
      <c r="J577" s="4">
        <v>43.8</v>
      </c>
      <c r="K577" s="4">
        <v>1.1599999999999999</v>
      </c>
      <c r="L577" s="4">
        <v>32</v>
      </c>
      <c r="M577" s="4" t="s">
        <v>37</v>
      </c>
      <c r="N577" s="4" t="s">
        <v>19</v>
      </c>
      <c r="O577" s="4" t="s">
        <v>62</v>
      </c>
      <c r="P577" s="4" t="s">
        <v>74</v>
      </c>
    </row>
    <row r="578" spans="1:16" x14ac:dyDescent="0.3">
      <c r="A578" s="4">
        <v>2024</v>
      </c>
      <c r="B578" s="4" t="s">
        <v>47</v>
      </c>
      <c r="C578" s="4" t="s">
        <v>22</v>
      </c>
      <c r="D578" s="4" t="s">
        <v>23</v>
      </c>
      <c r="E578" s="4">
        <v>479</v>
      </c>
      <c r="F578" s="4">
        <v>289</v>
      </c>
      <c r="G578" s="4">
        <v>181</v>
      </c>
      <c r="H578" s="4">
        <v>138.43</v>
      </c>
      <c r="I578" s="4">
        <v>86.7</v>
      </c>
      <c r="J578" s="4">
        <v>51.73</v>
      </c>
      <c r="K578" s="4">
        <v>1.06</v>
      </c>
      <c r="L578" s="4">
        <v>73</v>
      </c>
      <c r="M578" s="4" t="s">
        <v>37</v>
      </c>
      <c r="N578" s="4" t="s">
        <v>31</v>
      </c>
      <c r="O578" s="4" t="s">
        <v>42</v>
      </c>
      <c r="P578" s="4" t="s">
        <v>76</v>
      </c>
    </row>
    <row r="579" spans="1:16" x14ac:dyDescent="0.3">
      <c r="A579" s="4">
        <v>2025</v>
      </c>
      <c r="B579" s="4" t="s">
        <v>39</v>
      </c>
      <c r="C579" s="4" t="s">
        <v>26</v>
      </c>
      <c r="D579" s="4" t="s">
        <v>52</v>
      </c>
      <c r="E579" s="4">
        <v>124</v>
      </c>
      <c r="F579" s="4">
        <v>88</v>
      </c>
      <c r="G579" s="4">
        <v>73</v>
      </c>
      <c r="H579" s="4">
        <v>10.91</v>
      </c>
      <c r="I579" s="4">
        <v>9.0500000000000007</v>
      </c>
      <c r="J579" s="4">
        <v>1.86</v>
      </c>
      <c r="K579" s="4">
        <v>-0.9</v>
      </c>
      <c r="L579" s="4">
        <v>84</v>
      </c>
      <c r="M579" s="4" t="s">
        <v>18</v>
      </c>
      <c r="N579" s="4" t="s">
        <v>24</v>
      </c>
      <c r="O579" s="4" t="s">
        <v>63</v>
      </c>
      <c r="P579" s="4" t="s">
        <v>75</v>
      </c>
    </row>
    <row r="580" spans="1:16" x14ac:dyDescent="0.3">
      <c r="A580" s="4">
        <v>2025</v>
      </c>
      <c r="B580" s="4" t="s">
        <v>49</v>
      </c>
      <c r="C580" s="4" t="s">
        <v>33</v>
      </c>
      <c r="D580" s="4" t="s">
        <v>54</v>
      </c>
      <c r="E580" s="4">
        <v>204</v>
      </c>
      <c r="F580" s="4">
        <v>150</v>
      </c>
      <c r="G580" s="4">
        <v>62</v>
      </c>
      <c r="H580" s="4">
        <v>30.6</v>
      </c>
      <c r="I580" s="4">
        <v>12.65</v>
      </c>
      <c r="J580" s="4">
        <v>17.95</v>
      </c>
      <c r="K580" s="4">
        <v>6.52</v>
      </c>
      <c r="L580" s="4">
        <v>129</v>
      </c>
      <c r="M580" s="4" t="s">
        <v>28</v>
      </c>
      <c r="N580" s="4" t="s">
        <v>31</v>
      </c>
      <c r="O580" s="4" t="s">
        <v>42</v>
      </c>
      <c r="P580" s="4" t="s">
        <v>75</v>
      </c>
    </row>
    <row r="581" spans="1:16" x14ac:dyDescent="0.3">
      <c r="A581" s="4">
        <v>2023</v>
      </c>
      <c r="B581" s="4" t="s">
        <v>15</v>
      </c>
      <c r="C581" s="4" t="s">
        <v>22</v>
      </c>
      <c r="D581" s="4" t="s">
        <v>23</v>
      </c>
      <c r="E581" s="4">
        <v>258</v>
      </c>
      <c r="F581" s="4">
        <v>420</v>
      </c>
      <c r="G581" s="4">
        <v>86</v>
      </c>
      <c r="H581" s="4">
        <v>108.36</v>
      </c>
      <c r="I581" s="4">
        <v>22.19</v>
      </c>
      <c r="J581" s="4">
        <v>86.17</v>
      </c>
      <c r="K581" s="4">
        <v>-9.4600000000000009</v>
      </c>
      <c r="L581" s="4">
        <v>89</v>
      </c>
      <c r="M581" s="4" t="s">
        <v>18</v>
      </c>
      <c r="N581" s="4" t="s">
        <v>38</v>
      </c>
      <c r="O581" s="4" t="s">
        <v>44</v>
      </c>
      <c r="P581" s="4" t="s">
        <v>76</v>
      </c>
    </row>
    <row r="582" spans="1:16" x14ac:dyDescent="0.3">
      <c r="A582" s="4">
        <v>2024</v>
      </c>
      <c r="B582" s="4" t="s">
        <v>49</v>
      </c>
      <c r="C582" s="4" t="s">
        <v>26</v>
      </c>
      <c r="D582" s="4" t="s">
        <v>52</v>
      </c>
      <c r="E582" s="4">
        <v>413</v>
      </c>
      <c r="F582" s="4">
        <v>253</v>
      </c>
      <c r="G582" s="4">
        <v>93</v>
      </c>
      <c r="H582" s="4">
        <v>104.49</v>
      </c>
      <c r="I582" s="4">
        <v>38.409999999999997</v>
      </c>
      <c r="J582" s="4">
        <v>66.08</v>
      </c>
      <c r="K582" s="4">
        <v>24.85</v>
      </c>
      <c r="L582" s="4">
        <v>161</v>
      </c>
      <c r="M582" s="4" t="s">
        <v>28</v>
      </c>
      <c r="N582" s="4" t="s">
        <v>38</v>
      </c>
      <c r="O582" s="4" t="s">
        <v>44</v>
      </c>
      <c r="P582" s="4" t="s">
        <v>74</v>
      </c>
    </row>
    <row r="583" spans="1:16" x14ac:dyDescent="0.3">
      <c r="A583" s="4">
        <v>2024</v>
      </c>
      <c r="B583" s="4" t="s">
        <v>51</v>
      </c>
      <c r="C583" s="4" t="s">
        <v>26</v>
      </c>
      <c r="D583" s="4" t="s">
        <v>27</v>
      </c>
      <c r="E583" s="4">
        <v>444</v>
      </c>
      <c r="F583" s="4">
        <v>359</v>
      </c>
      <c r="G583" s="4">
        <v>34</v>
      </c>
      <c r="H583" s="4">
        <v>159.4</v>
      </c>
      <c r="I583" s="4">
        <v>15.1</v>
      </c>
      <c r="J583" s="4">
        <v>144.30000000000001</v>
      </c>
      <c r="K583" s="4">
        <v>23.26</v>
      </c>
      <c r="L583" s="4">
        <v>48</v>
      </c>
      <c r="M583" s="4" t="s">
        <v>28</v>
      </c>
      <c r="N583" s="4" t="s">
        <v>19</v>
      </c>
      <c r="O583" s="4" t="s">
        <v>62</v>
      </c>
      <c r="P583" s="4" t="s">
        <v>71</v>
      </c>
    </row>
    <row r="584" spans="1:16" x14ac:dyDescent="0.3">
      <c r="A584" s="4">
        <v>2023</v>
      </c>
      <c r="B584" s="4" t="s">
        <v>45</v>
      </c>
      <c r="C584" s="4" t="s">
        <v>26</v>
      </c>
      <c r="D584" s="4" t="s">
        <v>52</v>
      </c>
      <c r="E584" s="4">
        <v>433</v>
      </c>
      <c r="F584" s="4">
        <v>398</v>
      </c>
      <c r="G584" s="4">
        <v>205</v>
      </c>
      <c r="H584" s="4">
        <v>172.33</v>
      </c>
      <c r="I584" s="4">
        <v>88.77</v>
      </c>
      <c r="J584" s="4">
        <v>83.57</v>
      </c>
      <c r="K584" s="4">
        <v>17.260000000000002</v>
      </c>
      <c r="L584" s="4">
        <v>157</v>
      </c>
      <c r="M584" s="4" t="s">
        <v>37</v>
      </c>
      <c r="N584" s="4" t="s">
        <v>19</v>
      </c>
      <c r="O584" s="4" t="s">
        <v>62</v>
      </c>
      <c r="P584" s="4" t="s">
        <v>73</v>
      </c>
    </row>
    <row r="585" spans="1:16" x14ac:dyDescent="0.3">
      <c r="A585" s="4">
        <v>2024</v>
      </c>
      <c r="B585" s="4" t="s">
        <v>39</v>
      </c>
      <c r="C585" s="4" t="s">
        <v>26</v>
      </c>
      <c r="D585" s="4" t="s">
        <v>27</v>
      </c>
      <c r="E585" s="4">
        <v>216</v>
      </c>
      <c r="F585" s="4">
        <v>58</v>
      </c>
      <c r="G585" s="4">
        <v>43</v>
      </c>
      <c r="H585" s="4">
        <v>12.53</v>
      </c>
      <c r="I585" s="4">
        <v>9.2899999999999991</v>
      </c>
      <c r="J585" s="4">
        <v>3.24</v>
      </c>
      <c r="K585" s="4">
        <v>7.29</v>
      </c>
      <c r="L585" s="4">
        <v>202</v>
      </c>
      <c r="M585" s="4" t="s">
        <v>37</v>
      </c>
      <c r="N585" s="4" t="s">
        <v>38</v>
      </c>
      <c r="O585" s="4" t="s">
        <v>44</v>
      </c>
      <c r="P585" s="4" t="s">
        <v>74</v>
      </c>
    </row>
    <row r="586" spans="1:16" x14ac:dyDescent="0.3">
      <c r="A586" s="4">
        <v>2023</v>
      </c>
      <c r="B586" s="4" t="s">
        <v>49</v>
      </c>
      <c r="C586" s="4" t="s">
        <v>35</v>
      </c>
      <c r="D586" s="4" t="s">
        <v>40</v>
      </c>
      <c r="E586" s="4">
        <v>252</v>
      </c>
      <c r="F586" s="4">
        <v>172</v>
      </c>
      <c r="G586" s="4">
        <v>49</v>
      </c>
      <c r="H586" s="4">
        <v>43.34</v>
      </c>
      <c r="I586" s="4">
        <v>12.35</v>
      </c>
      <c r="J586" s="4">
        <v>31</v>
      </c>
      <c r="K586" s="4">
        <v>-6.29</v>
      </c>
      <c r="L586" s="4">
        <v>45</v>
      </c>
      <c r="M586" s="4" t="s">
        <v>37</v>
      </c>
      <c r="N586" s="4" t="s">
        <v>38</v>
      </c>
      <c r="O586" s="4" t="s">
        <v>44</v>
      </c>
      <c r="P586" s="4" t="s">
        <v>73</v>
      </c>
    </row>
    <row r="587" spans="1:16" x14ac:dyDescent="0.3">
      <c r="A587" s="4">
        <v>2025</v>
      </c>
      <c r="B587" s="4" t="s">
        <v>15</v>
      </c>
      <c r="C587" s="4" t="s">
        <v>33</v>
      </c>
      <c r="D587" s="4" t="s">
        <v>54</v>
      </c>
      <c r="E587" s="4">
        <v>317</v>
      </c>
      <c r="F587" s="4">
        <v>51</v>
      </c>
      <c r="G587" s="4">
        <v>40</v>
      </c>
      <c r="H587" s="4">
        <v>16.170000000000002</v>
      </c>
      <c r="I587" s="4">
        <v>12.68</v>
      </c>
      <c r="J587" s="4">
        <v>3.49</v>
      </c>
      <c r="K587" s="4">
        <v>-9.7100000000000009</v>
      </c>
      <c r="L587" s="4">
        <v>78</v>
      </c>
      <c r="M587" s="4" t="s">
        <v>18</v>
      </c>
      <c r="N587" s="4" t="s">
        <v>38</v>
      </c>
      <c r="O587" s="4" t="s">
        <v>44</v>
      </c>
      <c r="P587" s="4" t="s">
        <v>74</v>
      </c>
    </row>
    <row r="588" spans="1:16" x14ac:dyDescent="0.3">
      <c r="A588" s="4">
        <v>2025</v>
      </c>
      <c r="B588" s="4" t="s">
        <v>45</v>
      </c>
      <c r="C588" s="4" t="s">
        <v>33</v>
      </c>
      <c r="D588" s="4" t="s">
        <v>50</v>
      </c>
      <c r="E588" s="4">
        <v>255</v>
      </c>
      <c r="F588" s="4">
        <v>91</v>
      </c>
      <c r="G588" s="4">
        <v>43</v>
      </c>
      <c r="H588" s="4">
        <v>23.2</v>
      </c>
      <c r="I588" s="4">
        <v>10.96</v>
      </c>
      <c r="J588" s="4">
        <v>12.24</v>
      </c>
      <c r="K588" s="4">
        <v>22.67</v>
      </c>
      <c r="L588" s="4">
        <v>283</v>
      </c>
      <c r="M588" s="4" t="s">
        <v>28</v>
      </c>
      <c r="N588" s="4" t="s">
        <v>38</v>
      </c>
      <c r="O588" s="4" t="s">
        <v>44</v>
      </c>
      <c r="P588" s="4" t="s">
        <v>72</v>
      </c>
    </row>
    <row r="589" spans="1:16" x14ac:dyDescent="0.3">
      <c r="A589" s="4">
        <v>2023</v>
      </c>
      <c r="B589" s="4" t="s">
        <v>39</v>
      </c>
      <c r="C589" s="4" t="s">
        <v>22</v>
      </c>
      <c r="D589" s="4" t="s">
        <v>23</v>
      </c>
      <c r="E589" s="4">
        <v>401</v>
      </c>
      <c r="F589" s="4">
        <v>373</v>
      </c>
      <c r="G589" s="4">
        <v>65</v>
      </c>
      <c r="H589" s="4">
        <v>149.57</v>
      </c>
      <c r="I589" s="4">
        <v>26.07</v>
      </c>
      <c r="J589" s="4">
        <v>123.51</v>
      </c>
      <c r="K589" s="4">
        <v>4.7</v>
      </c>
      <c r="L589" s="4">
        <v>191</v>
      </c>
      <c r="M589" s="4" t="s">
        <v>18</v>
      </c>
      <c r="N589" s="4" t="s">
        <v>24</v>
      </c>
      <c r="O589" s="4" t="s">
        <v>63</v>
      </c>
      <c r="P589" s="4" t="s">
        <v>76</v>
      </c>
    </row>
    <row r="590" spans="1:16" x14ac:dyDescent="0.3">
      <c r="A590" s="4">
        <v>2023</v>
      </c>
      <c r="B590" s="4" t="s">
        <v>46</v>
      </c>
      <c r="C590" s="4" t="s">
        <v>22</v>
      </c>
      <c r="D590" s="4" t="s">
        <v>53</v>
      </c>
      <c r="E590" s="4">
        <v>70</v>
      </c>
      <c r="F590" s="4">
        <v>108</v>
      </c>
      <c r="G590" s="4">
        <v>34</v>
      </c>
      <c r="H590" s="4">
        <v>7.56</v>
      </c>
      <c r="I590" s="4">
        <v>2.38</v>
      </c>
      <c r="J590" s="4">
        <v>5.18</v>
      </c>
      <c r="K590" s="4">
        <v>15.31</v>
      </c>
      <c r="L590" s="4">
        <v>59</v>
      </c>
      <c r="M590" s="4" t="s">
        <v>37</v>
      </c>
      <c r="N590" s="4" t="s">
        <v>38</v>
      </c>
      <c r="O590" s="4" t="s">
        <v>44</v>
      </c>
      <c r="P590" s="4" t="s">
        <v>71</v>
      </c>
    </row>
    <row r="591" spans="1:16" x14ac:dyDescent="0.3">
      <c r="A591" s="4">
        <v>2024</v>
      </c>
      <c r="B591" s="4" t="s">
        <v>51</v>
      </c>
      <c r="C591" s="4" t="s">
        <v>26</v>
      </c>
      <c r="D591" s="4" t="s">
        <v>52</v>
      </c>
      <c r="E591" s="4">
        <v>497</v>
      </c>
      <c r="F591" s="4">
        <v>491</v>
      </c>
      <c r="G591" s="4">
        <v>58</v>
      </c>
      <c r="H591" s="4">
        <v>244.03</v>
      </c>
      <c r="I591" s="4">
        <v>28.83</v>
      </c>
      <c r="J591" s="4">
        <v>215.2</v>
      </c>
      <c r="K591" s="4">
        <v>6.17</v>
      </c>
      <c r="L591" s="4">
        <v>265</v>
      </c>
      <c r="M591" s="4" t="s">
        <v>37</v>
      </c>
      <c r="N591" s="4" t="s">
        <v>38</v>
      </c>
      <c r="O591" s="4" t="s">
        <v>44</v>
      </c>
      <c r="P591" s="4" t="s">
        <v>73</v>
      </c>
    </row>
    <row r="592" spans="1:16" x14ac:dyDescent="0.3">
      <c r="A592" s="4">
        <v>2023</v>
      </c>
      <c r="B592" s="4" t="s">
        <v>57</v>
      </c>
      <c r="C592" s="4" t="s">
        <v>33</v>
      </c>
      <c r="D592" s="4" t="s">
        <v>50</v>
      </c>
      <c r="E592" s="4">
        <v>408</v>
      </c>
      <c r="F592" s="4">
        <v>298</v>
      </c>
      <c r="G592" s="4">
        <v>95</v>
      </c>
      <c r="H592" s="4">
        <v>121.58</v>
      </c>
      <c r="I592" s="4">
        <v>38.76</v>
      </c>
      <c r="J592" s="4">
        <v>82.82</v>
      </c>
      <c r="K592" s="4">
        <v>-4.72</v>
      </c>
      <c r="L592" s="4">
        <v>214</v>
      </c>
      <c r="M592" s="4" t="s">
        <v>28</v>
      </c>
      <c r="N592" s="4" t="s">
        <v>19</v>
      </c>
      <c r="O592" s="4" t="s">
        <v>62</v>
      </c>
      <c r="P592" s="4" t="s">
        <v>72</v>
      </c>
    </row>
    <row r="593" spans="1:16" x14ac:dyDescent="0.3">
      <c r="A593" s="4">
        <v>2025</v>
      </c>
      <c r="B593" s="4" t="s">
        <v>32</v>
      </c>
      <c r="C593" s="4" t="s">
        <v>16</v>
      </c>
      <c r="D593" s="4" t="s">
        <v>30</v>
      </c>
      <c r="E593" s="4">
        <v>420</v>
      </c>
      <c r="F593" s="4">
        <v>92</v>
      </c>
      <c r="G593" s="4">
        <v>59</v>
      </c>
      <c r="H593" s="4">
        <v>38.64</v>
      </c>
      <c r="I593" s="4">
        <v>24.78</v>
      </c>
      <c r="J593" s="4">
        <v>13.86</v>
      </c>
      <c r="K593" s="4">
        <v>5.72</v>
      </c>
      <c r="L593" s="4">
        <v>41</v>
      </c>
      <c r="M593" s="4" t="s">
        <v>37</v>
      </c>
      <c r="N593" s="4" t="s">
        <v>38</v>
      </c>
      <c r="O593" s="4" t="s">
        <v>44</v>
      </c>
      <c r="P593" s="4" t="s">
        <v>71</v>
      </c>
    </row>
    <row r="594" spans="1:16" x14ac:dyDescent="0.3">
      <c r="A594" s="4">
        <v>2023</v>
      </c>
      <c r="B594" s="4" t="s">
        <v>49</v>
      </c>
      <c r="C594" s="4" t="s">
        <v>33</v>
      </c>
      <c r="D594" s="4" t="s">
        <v>50</v>
      </c>
      <c r="E594" s="4">
        <v>341</v>
      </c>
      <c r="F594" s="4">
        <v>134</v>
      </c>
      <c r="G594" s="4">
        <v>87</v>
      </c>
      <c r="H594" s="4">
        <v>45.69</v>
      </c>
      <c r="I594" s="4">
        <v>29.67</v>
      </c>
      <c r="J594" s="4">
        <v>16.03</v>
      </c>
      <c r="K594" s="4">
        <v>2.2999999999999998</v>
      </c>
      <c r="L594" s="4">
        <v>67</v>
      </c>
      <c r="M594" s="4" t="s">
        <v>28</v>
      </c>
      <c r="N594" s="4" t="s">
        <v>19</v>
      </c>
      <c r="O594" s="4" t="s">
        <v>62</v>
      </c>
      <c r="P594" s="4" t="s">
        <v>71</v>
      </c>
    </row>
    <row r="595" spans="1:16" x14ac:dyDescent="0.3">
      <c r="A595" s="4">
        <v>2024</v>
      </c>
      <c r="B595" s="4" t="s">
        <v>21</v>
      </c>
      <c r="C595" s="4" t="s">
        <v>22</v>
      </c>
      <c r="D595" s="4" t="s">
        <v>55</v>
      </c>
      <c r="E595" s="4">
        <v>494</v>
      </c>
      <c r="F595" s="4">
        <v>57</v>
      </c>
      <c r="G595" s="4">
        <v>36</v>
      </c>
      <c r="H595" s="4">
        <v>28.16</v>
      </c>
      <c r="I595" s="4">
        <v>17.78</v>
      </c>
      <c r="J595" s="4">
        <v>10.37</v>
      </c>
      <c r="K595" s="4">
        <v>-7.75</v>
      </c>
      <c r="L595" s="4">
        <v>214</v>
      </c>
      <c r="M595" s="4" t="s">
        <v>37</v>
      </c>
      <c r="N595" s="4" t="s">
        <v>19</v>
      </c>
      <c r="O595" s="4" t="s">
        <v>62</v>
      </c>
      <c r="P595" s="4" t="s">
        <v>72</v>
      </c>
    </row>
    <row r="596" spans="1:16" x14ac:dyDescent="0.3">
      <c r="A596" s="4">
        <v>2023</v>
      </c>
      <c r="B596" s="4" t="s">
        <v>57</v>
      </c>
      <c r="C596" s="4" t="s">
        <v>22</v>
      </c>
      <c r="D596" s="4" t="s">
        <v>23</v>
      </c>
      <c r="E596" s="4">
        <v>192</v>
      </c>
      <c r="F596" s="4">
        <v>145</v>
      </c>
      <c r="G596" s="4">
        <v>110</v>
      </c>
      <c r="H596" s="4">
        <v>27.84</v>
      </c>
      <c r="I596" s="4">
        <v>21.12</v>
      </c>
      <c r="J596" s="4">
        <v>6.72</v>
      </c>
      <c r="K596" s="4">
        <v>21.9</v>
      </c>
      <c r="L596" s="4">
        <v>129</v>
      </c>
      <c r="M596" s="4" t="s">
        <v>18</v>
      </c>
      <c r="N596" s="4" t="s">
        <v>31</v>
      </c>
      <c r="O596" s="4" t="s">
        <v>42</v>
      </c>
      <c r="P596" s="4" t="s">
        <v>76</v>
      </c>
    </row>
    <row r="597" spans="1:16" x14ac:dyDescent="0.3">
      <c r="A597" s="4">
        <v>2024</v>
      </c>
      <c r="B597" s="4" t="s">
        <v>39</v>
      </c>
      <c r="C597" s="4" t="s">
        <v>22</v>
      </c>
      <c r="D597" s="4" t="s">
        <v>53</v>
      </c>
      <c r="E597" s="4">
        <v>380</v>
      </c>
      <c r="F597" s="4">
        <v>187</v>
      </c>
      <c r="G597" s="4">
        <v>99</v>
      </c>
      <c r="H597" s="4">
        <v>71.06</v>
      </c>
      <c r="I597" s="4">
        <v>37.619999999999997</v>
      </c>
      <c r="J597" s="4">
        <v>33.44</v>
      </c>
      <c r="K597" s="4">
        <v>4.3499999999999996</v>
      </c>
      <c r="L597" s="4">
        <v>271</v>
      </c>
      <c r="M597" s="4" t="s">
        <v>18</v>
      </c>
      <c r="N597" s="4" t="s">
        <v>24</v>
      </c>
      <c r="O597" s="4" t="s">
        <v>63</v>
      </c>
      <c r="P597" s="4" t="s">
        <v>73</v>
      </c>
    </row>
    <row r="598" spans="1:16" x14ac:dyDescent="0.3">
      <c r="A598" s="4">
        <v>2024</v>
      </c>
      <c r="B598" s="4" t="s">
        <v>49</v>
      </c>
      <c r="C598" s="4" t="s">
        <v>35</v>
      </c>
      <c r="D598" s="4" t="s">
        <v>36</v>
      </c>
      <c r="E598" s="4">
        <v>373</v>
      </c>
      <c r="F598" s="4">
        <v>343</v>
      </c>
      <c r="G598" s="4">
        <v>222</v>
      </c>
      <c r="H598" s="4">
        <v>127.94</v>
      </c>
      <c r="I598" s="4">
        <v>82.81</v>
      </c>
      <c r="J598" s="4">
        <v>45.13</v>
      </c>
      <c r="K598" s="4">
        <v>16.239999999999998</v>
      </c>
      <c r="L598" s="4">
        <v>294</v>
      </c>
      <c r="M598" s="4" t="s">
        <v>28</v>
      </c>
      <c r="N598" s="4" t="s">
        <v>19</v>
      </c>
      <c r="O598" s="4" t="s">
        <v>62</v>
      </c>
      <c r="P598" s="4" t="s">
        <v>76</v>
      </c>
    </row>
    <row r="599" spans="1:16" x14ac:dyDescent="0.3">
      <c r="A599" s="4">
        <v>2024</v>
      </c>
      <c r="B599" s="4" t="s">
        <v>41</v>
      </c>
      <c r="C599" s="4" t="s">
        <v>35</v>
      </c>
      <c r="D599" s="4" t="s">
        <v>40</v>
      </c>
      <c r="E599" s="4">
        <v>221</v>
      </c>
      <c r="F599" s="4">
        <v>286</v>
      </c>
      <c r="G599" s="4">
        <v>207</v>
      </c>
      <c r="H599" s="4">
        <v>63.21</v>
      </c>
      <c r="I599" s="4">
        <v>45.75</v>
      </c>
      <c r="J599" s="4">
        <v>17.46</v>
      </c>
      <c r="K599" s="4">
        <v>7.46</v>
      </c>
      <c r="L599" s="4">
        <v>207</v>
      </c>
      <c r="M599" s="4" t="s">
        <v>18</v>
      </c>
      <c r="N599" s="4" t="s">
        <v>31</v>
      </c>
      <c r="O599" s="4" t="s">
        <v>42</v>
      </c>
      <c r="P599" s="4" t="s">
        <v>75</v>
      </c>
    </row>
    <row r="600" spans="1:16" x14ac:dyDescent="0.3">
      <c r="A600" s="4">
        <v>2023</v>
      </c>
      <c r="B600" s="4" t="s">
        <v>45</v>
      </c>
      <c r="C600" s="4" t="s">
        <v>22</v>
      </c>
      <c r="D600" s="4" t="s">
        <v>59</v>
      </c>
      <c r="E600" s="4">
        <v>226</v>
      </c>
      <c r="F600" s="4">
        <v>68</v>
      </c>
      <c r="G600" s="4">
        <v>56</v>
      </c>
      <c r="H600" s="4">
        <v>15.37</v>
      </c>
      <c r="I600" s="4">
        <v>12.66</v>
      </c>
      <c r="J600" s="4">
        <v>2.71</v>
      </c>
      <c r="K600" s="4">
        <v>24.93</v>
      </c>
      <c r="L600" s="4">
        <v>190</v>
      </c>
      <c r="M600" s="4" t="s">
        <v>37</v>
      </c>
      <c r="N600" s="4" t="s">
        <v>38</v>
      </c>
      <c r="O600" s="4" t="s">
        <v>44</v>
      </c>
      <c r="P600" s="4" t="s">
        <v>76</v>
      </c>
    </row>
    <row r="601" spans="1:16" x14ac:dyDescent="0.3">
      <c r="A601" s="4">
        <v>2023</v>
      </c>
      <c r="B601" s="4" t="s">
        <v>39</v>
      </c>
      <c r="C601" s="4" t="s">
        <v>33</v>
      </c>
      <c r="D601" s="4" t="s">
        <v>54</v>
      </c>
      <c r="E601" s="4">
        <v>422</v>
      </c>
      <c r="F601" s="4">
        <v>457</v>
      </c>
      <c r="G601" s="4">
        <v>266</v>
      </c>
      <c r="H601" s="4">
        <v>192.85</v>
      </c>
      <c r="I601" s="4">
        <v>112.25</v>
      </c>
      <c r="J601" s="4">
        <v>80.599999999999994</v>
      </c>
      <c r="K601" s="4">
        <v>5.73</v>
      </c>
      <c r="L601" s="4">
        <v>26</v>
      </c>
      <c r="M601" s="4" t="s">
        <v>37</v>
      </c>
      <c r="N601" s="4" t="s">
        <v>31</v>
      </c>
      <c r="O601" s="4" t="s">
        <v>42</v>
      </c>
      <c r="P601" s="4" t="s">
        <v>71</v>
      </c>
    </row>
    <row r="602" spans="1:16" x14ac:dyDescent="0.3">
      <c r="A602" s="4">
        <v>2025</v>
      </c>
      <c r="B602" s="4" t="s">
        <v>39</v>
      </c>
      <c r="C602" s="4" t="s">
        <v>16</v>
      </c>
      <c r="D602" s="4" t="s">
        <v>30</v>
      </c>
      <c r="E602" s="4">
        <v>177</v>
      </c>
      <c r="F602" s="4">
        <v>367</v>
      </c>
      <c r="G602" s="4">
        <v>354</v>
      </c>
      <c r="H602" s="4">
        <v>64.959999999999994</v>
      </c>
      <c r="I602" s="4">
        <v>62.66</v>
      </c>
      <c r="J602" s="4">
        <v>2.2999999999999998</v>
      </c>
      <c r="K602" s="4">
        <v>3.46</v>
      </c>
      <c r="L602" s="4">
        <v>125</v>
      </c>
      <c r="M602" s="4" t="s">
        <v>28</v>
      </c>
      <c r="N602" s="4" t="s">
        <v>31</v>
      </c>
      <c r="O602" s="4" t="s">
        <v>42</v>
      </c>
      <c r="P602" s="4" t="s">
        <v>72</v>
      </c>
    </row>
    <row r="603" spans="1:16" x14ac:dyDescent="0.3">
      <c r="A603" s="4">
        <v>2025</v>
      </c>
      <c r="B603" s="4" t="s">
        <v>47</v>
      </c>
      <c r="C603" s="4" t="s">
        <v>26</v>
      </c>
      <c r="D603" s="4" t="s">
        <v>52</v>
      </c>
      <c r="E603" s="4">
        <v>144</v>
      </c>
      <c r="F603" s="4">
        <v>393</v>
      </c>
      <c r="G603" s="4">
        <v>68</v>
      </c>
      <c r="H603" s="4">
        <v>56.59</v>
      </c>
      <c r="I603" s="4">
        <v>9.7899999999999991</v>
      </c>
      <c r="J603" s="4">
        <v>46.8</v>
      </c>
      <c r="K603" s="4">
        <v>14.15</v>
      </c>
      <c r="L603" s="4">
        <v>206</v>
      </c>
      <c r="M603" s="4" t="s">
        <v>37</v>
      </c>
      <c r="N603" s="4" t="s">
        <v>19</v>
      </c>
      <c r="O603" s="4" t="s">
        <v>62</v>
      </c>
      <c r="P603" s="4" t="s">
        <v>76</v>
      </c>
    </row>
    <row r="604" spans="1:16" x14ac:dyDescent="0.3">
      <c r="A604" s="4">
        <v>2023</v>
      </c>
      <c r="B604" s="4" t="s">
        <v>21</v>
      </c>
      <c r="C604" s="4" t="s">
        <v>35</v>
      </c>
      <c r="D604" s="4" t="s">
        <v>40</v>
      </c>
      <c r="E604" s="4">
        <v>124</v>
      </c>
      <c r="F604" s="4">
        <v>185</v>
      </c>
      <c r="G604" s="4">
        <v>115</v>
      </c>
      <c r="H604" s="4">
        <v>22.94</v>
      </c>
      <c r="I604" s="4">
        <v>14.26</v>
      </c>
      <c r="J604" s="4">
        <v>8.68</v>
      </c>
      <c r="K604" s="4">
        <v>20.82</v>
      </c>
      <c r="L604" s="4">
        <v>260</v>
      </c>
      <c r="M604" s="4" t="s">
        <v>37</v>
      </c>
      <c r="N604" s="4" t="s">
        <v>24</v>
      </c>
      <c r="O604" s="4" t="s">
        <v>63</v>
      </c>
      <c r="P604" s="4" t="s">
        <v>76</v>
      </c>
    </row>
    <row r="605" spans="1:16" x14ac:dyDescent="0.3">
      <c r="A605" s="4">
        <v>2023</v>
      </c>
      <c r="B605" s="4" t="s">
        <v>21</v>
      </c>
      <c r="C605" s="4" t="s">
        <v>22</v>
      </c>
      <c r="D605" s="4" t="s">
        <v>55</v>
      </c>
      <c r="E605" s="4">
        <v>51</v>
      </c>
      <c r="F605" s="4">
        <v>102</v>
      </c>
      <c r="G605" s="4">
        <v>71</v>
      </c>
      <c r="H605" s="4">
        <v>5.2</v>
      </c>
      <c r="I605" s="4">
        <v>3.62</v>
      </c>
      <c r="J605" s="4">
        <v>1.58</v>
      </c>
      <c r="K605" s="4">
        <v>4.1900000000000004</v>
      </c>
      <c r="L605" s="4">
        <v>175</v>
      </c>
      <c r="M605" s="4" t="s">
        <v>28</v>
      </c>
      <c r="N605" s="4" t="s">
        <v>38</v>
      </c>
      <c r="O605" s="4" t="s">
        <v>44</v>
      </c>
      <c r="P605" s="4" t="s">
        <v>76</v>
      </c>
    </row>
    <row r="606" spans="1:16" x14ac:dyDescent="0.3">
      <c r="A606" s="4">
        <v>2025</v>
      </c>
      <c r="B606" s="4" t="s">
        <v>21</v>
      </c>
      <c r="C606" s="4" t="s">
        <v>35</v>
      </c>
      <c r="D606" s="4" t="s">
        <v>40</v>
      </c>
      <c r="E606" s="4">
        <v>184</v>
      </c>
      <c r="F606" s="4">
        <v>239</v>
      </c>
      <c r="G606" s="4">
        <v>202</v>
      </c>
      <c r="H606" s="4">
        <v>43.98</v>
      </c>
      <c r="I606" s="4">
        <v>37.17</v>
      </c>
      <c r="J606" s="4">
        <v>6.81</v>
      </c>
      <c r="K606" s="4">
        <v>24.6</v>
      </c>
      <c r="L606" s="4">
        <v>143</v>
      </c>
      <c r="M606" s="4" t="s">
        <v>28</v>
      </c>
      <c r="N606" s="4" t="s">
        <v>24</v>
      </c>
      <c r="O606" s="4" t="s">
        <v>63</v>
      </c>
      <c r="P606" s="4" t="s">
        <v>75</v>
      </c>
    </row>
    <row r="607" spans="1:16" x14ac:dyDescent="0.3">
      <c r="A607" s="4">
        <v>2025</v>
      </c>
      <c r="B607" s="4" t="s">
        <v>47</v>
      </c>
      <c r="C607" s="4" t="s">
        <v>22</v>
      </c>
      <c r="D607" s="4" t="s">
        <v>55</v>
      </c>
      <c r="E607" s="4">
        <v>334</v>
      </c>
      <c r="F607" s="4">
        <v>289</v>
      </c>
      <c r="G607" s="4">
        <v>151</v>
      </c>
      <c r="H607" s="4">
        <v>96.53</v>
      </c>
      <c r="I607" s="4">
        <v>50.43</v>
      </c>
      <c r="J607" s="4">
        <v>46.09</v>
      </c>
      <c r="K607" s="4">
        <v>21.8</v>
      </c>
      <c r="L607" s="4">
        <v>37</v>
      </c>
      <c r="M607" s="4" t="s">
        <v>18</v>
      </c>
      <c r="N607" s="4" t="s">
        <v>31</v>
      </c>
      <c r="O607" s="4" t="s">
        <v>42</v>
      </c>
      <c r="P607" s="4" t="s">
        <v>76</v>
      </c>
    </row>
    <row r="608" spans="1:16" x14ac:dyDescent="0.3">
      <c r="A608" s="4">
        <v>2025</v>
      </c>
      <c r="B608" s="4" t="s">
        <v>51</v>
      </c>
      <c r="C608" s="4" t="s">
        <v>16</v>
      </c>
      <c r="D608" s="4" t="s">
        <v>30</v>
      </c>
      <c r="E608" s="4">
        <v>303</v>
      </c>
      <c r="F608" s="4">
        <v>349</v>
      </c>
      <c r="G608" s="4">
        <v>319</v>
      </c>
      <c r="H608" s="4">
        <v>105.75</v>
      </c>
      <c r="I608" s="4">
        <v>96.66</v>
      </c>
      <c r="J608" s="4">
        <v>9.09</v>
      </c>
      <c r="K608" s="4">
        <v>10.84</v>
      </c>
      <c r="L608" s="4">
        <v>237</v>
      </c>
      <c r="M608" s="4" t="s">
        <v>37</v>
      </c>
      <c r="N608" s="4" t="s">
        <v>38</v>
      </c>
      <c r="O608" s="4" t="s">
        <v>44</v>
      </c>
      <c r="P608" s="4" t="s">
        <v>75</v>
      </c>
    </row>
    <row r="609" spans="1:16" x14ac:dyDescent="0.3">
      <c r="A609" s="4">
        <v>2024</v>
      </c>
      <c r="B609" s="4" t="s">
        <v>49</v>
      </c>
      <c r="C609" s="4" t="s">
        <v>33</v>
      </c>
      <c r="D609" s="4" t="s">
        <v>50</v>
      </c>
      <c r="E609" s="4">
        <v>261</v>
      </c>
      <c r="F609" s="4">
        <v>181</v>
      </c>
      <c r="G609" s="4">
        <v>165</v>
      </c>
      <c r="H609" s="4">
        <v>47.24</v>
      </c>
      <c r="I609" s="4">
        <v>43.06</v>
      </c>
      <c r="J609" s="4">
        <v>4.18</v>
      </c>
      <c r="K609" s="4">
        <v>0.46</v>
      </c>
      <c r="L609" s="4">
        <v>172</v>
      </c>
      <c r="M609" s="4" t="s">
        <v>18</v>
      </c>
      <c r="N609" s="4" t="s">
        <v>19</v>
      </c>
      <c r="O609" s="4" t="s">
        <v>62</v>
      </c>
      <c r="P609" s="4" t="s">
        <v>75</v>
      </c>
    </row>
    <row r="610" spans="1:16" x14ac:dyDescent="0.3">
      <c r="A610" s="4">
        <v>2025</v>
      </c>
      <c r="B610" s="4" t="s">
        <v>39</v>
      </c>
      <c r="C610" s="4" t="s">
        <v>33</v>
      </c>
      <c r="D610" s="4" t="s">
        <v>50</v>
      </c>
      <c r="E610" s="4">
        <v>447</v>
      </c>
      <c r="F610" s="4">
        <v>85</v>
      </c>
      <c r="G610" s="4">
        <v>51</v>
      </c>
      <c r="H610" s="4">
        <v>37.99</v>
      </c>
      <c r="I610" s="4">
        <v>22.8</v>
      </c>
      <c r="J610" s="4">
        <v>15.2</v>
      </c>
      <c r="K610" s="4">
        <v>13.71</v>
      </c>
      <c r="L610" s="4">
        <v>246</v>
      </c>
      <c r="M610" s="4" t="s">
        <v>18</v>
      </c>
      <c r="N610" s="4" t="s">
        <v>24</v>
      </c>
      <c r="O610" s="4" t="s">
        <v>63</v>
      </c>
      <c r="P610" s="4" t="s">
        <v>75</v>
      </c>
    </row>
    <row r="611" spans="1:16" x14ac:dyDescent="0.3">
      <c r="A611" s="4">
        <v>2024</v>
      </c>
      <c r="B611" s="4" t="s">
        <v>57</v>
      </c>
      <c r="C611" s="4" t="s">
        <v>35</v>
      </c>
      <c r="D611" s="4" t="s">
        <v>40</v>
      </c>
      <c r="E611" s="4">
        <v>163</v>
      </c>
      <c r="F611" s="4">
        <v>389</v>
      </c>
      <c r="G611" s="4">
        <v>166</v>
      </c>
      <c r="H611" s="4">
        <v>63.41</v>
      </c>
      <c r="I611" s="4">
        <v>27.06</v>
      </c>
      <c r="J611" s="4">
        <v>36.35</v>
      </c>
      <c r="K611" s="4">
        <v>18.37</v>
      </c>
      <c r="L611" s="4">
        <v>229</v>
      </c>
      <c r="M611" s="4" t="s">
        <v>18</v>
      </c>
      <c r="N611" s="4" t="s">
        <v>19</v>
      </c>
      <c r="O611" s="4" t="s">
        <v>62</v>
      </c>
      <c r="P611" s="4" t="s">
        <v>75</v>
      </c>
    </row>
    <row r="612" spans="1:16" x14ac:dyDescent="0.3">
      <c r="A612" s="4">
        <v>2025</v>
      </c>
      <c r="B612" s="4" t="s">
        <v>21</v>
      </c>
      <c r="C612" s="4" t="s">
        <v>22</v>
      </c>
      <c r="D612" s="4" t="s">
        <v>55</v>
      </c>
      <c r="E612" s="4">
        <v>254</v>
      </c>
      <c r="F612" s="4">
        <v>405</v>
      </c>
      <c r="G612" s="4">
        <v>382</v>
      </c>
      <c r="H612" s="4">
        <v>102.87</v>
      </c>
      <c r="I612" s="4">
        <v>97.03</v>
      </c>
      <c r="J612" s="4">
        <v>5.84</v>
      </c>
      <c r="K612" s="4">
        <v>7.79</v>
      </c>
      <c r="L612" s="4">
        <v>274</v>
      </c>
      <c r="M612" s="4" t="s">
        <v>28</v>
      </c>
      <c r="N612" s="4" t="s">
        <v>38</v>
      </c>
      <c r="O612" s="4" t="s">
        <v>44</v>
      </c>
      <c r="P612" s="4" t="s">
        <v>74</v>
      </c>
    </row>
    <row r="613" spans="1:16" x14ac:dyDescent="0.3">
      <c r="A613" s="4">
        <v>2023</v>
      </c>
      <c r="B613" s="4" t="s">
        <v>47</v>
      </c>
      <c r="C613" s="4" t="s">
        <v>35</v>
      </c>
      <c r="D613" s="4" t="s">
        <v>36</v>
      </c>
      <c r="E613" s="4">
        <v>330</v>
      </c>
      <c r="F613" s="4">
        <v>319</v>
      </c>
      <c r="G613" s="4">
        <v>229</v>
      </c>
      <c r="H613" s="4">
        <v>105.27</v>
      </c>
      <c r="I613" s="4">
        <v>75.569999999999993</v>
      </c>
      <c r="J613" s="4">
        <v>29.7</v>
      </c>
      <c r="K613" s="4">
        <v>-9.8000000000000007</v>
      </c>
      <c r="L613" s="4">
        <v>241</v>
      </c>
      <c r="M613" s="4" t="s">
        <v>37</v>
      </c>
      <c r="N613" s="4" t="s">
        <v>31</v>
      </c>
      <c r="O613" s="4" t="s">
        <v>42</v>
      </c>
      <c r="P613" s="4" t="s">
        <v>75</v>
      </c>
    </row>
    <row r="614" spans="1:16" x14ac:dyDescent="0.3">
      <c r="A614" s="4">
        <v>2023</v>
      </c>
      <c r="B614" s="4" t="s">
        <v>32</v>
      </c>
      <c r="C614" s="4" t="s">
        <v>22</v>
      </c>
      <c r="D614" s="4" t="s">
        <v>59</v>
      </c>
      <c r="E614" s="4">
        <v>167</v>
      </c>
      <c r="F614" s="4">
        <v>263</v>
      </c>
      <c r="G614" s="4">
        <v>90</v>
      </c>
      <c r="H614" s="4">
        <v>43.92</v>
      </c>
      <c r="I614" s="4">
        <v>15.03</v>
      </c>
      <c r="J614" s="4">
        <v>28.89</v>
      </c>
      <c r="K614" s="4">
        <v>21.52</v>
      </c>
      <c r="L614" s="4">
        <v>113</v>
      </c>
      <c r="M614" s="4" t="s">
        <v>18</v>
      </c>
      <c r="N614" s="4" t="s">
        <v>24</v>
      </c>
      <c r="O614" s="4" t="s">
        <v>63</v>
      </c>
      <c r="P614" s="4" t="s">
        <v>74</v>
      </c>
    </row>
    <row r="615" spans="1:16" x14ac:dyDescent="0.3">
      <c r="A615" s="4">
        <v>2025</v>
      </c>
      <c r="B615" s="4" t="s">
        <v>29</v>
      </c>
      <c r="C615" s="4" t="s">
        <v>33</v>
      </c>
      <c r="D615" s="4" t="s">
        <v>50</v>
      </c>
      <c r="E615" s="4">
        <v>259</v>
      </c>
      <c r="F615" s="4">
        <v>318</v>
      </c>
      <c r="G615" s="4">
        <v>93</v>
      </c>
      <c r="H615" s="4">
        <v>82.36</v>
      </c>
      <c r="I615" s="4">
        <v>24.09</v>
      </c>
      <c r="J615" s="4">
        <v>58.27</v>
      </c>
      <c r="K615" s="4">
        <v>5.48</v>
      </c>
      <c r="L615" s="4">
        <v>234</v>
      </c>
      <c r="M615" s="4" t="s">
        <v>28</v>
      </c>
      <c r="N615" s="4" t="s">
        <v>24</v>
      </c>
      <c r="O615" s="4" t="s">
        <v>63</v>
      </c>
      <c r="P615" s="4" t="s">
        <v>73</v>
      </c>
    </row>
    <row r="616" spans="1:16" x14ac:dyDescent="0.3">
      <c r="A616" s="4">
        <v>2023</v>
      </c>
      <c r="B616" s="4" t="s">
        <v>45</v>
      </c>
      <c r="C616" s="4" t="s">
        <v>16</v>
      </c>
      <c r="D616" s="4" t="s">
        <v>56</v>
      </c>
      <c r="E616" s="4">
        <v>476</v>
      </c>
      <c r="F616" s="4">
        <v>61</v>
      </c>
      <c r="G616" s="4">
        <v>49</v>
      </c>
      <c r="H616" s="4">
        <v>29.04</v>
      </c>
      <c r="I616" s="4">
        <v>23.32</v>
      </c>
      <c r="J616" s="4">
        <v>5.71</v>
      </c>
      <c r="K616" s="4">
        <v>-2.57</v>
      </c>
      <c r="L616" s="4">
        <v>37</v>
      </c>
      <c r="M616" s="4" t="s">
        <v>28</v>
      </c>
      <c r="N616" s="4" t="s">
        <v>19</v>
      </c>
      <c r="O616" s="4" t="s">
        <v>62</v>
      </c>
      <c r="P616" s="4" t="s">
        <v>76</v>
      </c>
    </row>
    <row r="617" spans="1:16" x14ac:dyDescent="0.3">
      <c r="A617" s="4">
        <v>2024</v>
      </c>
      <c r="B617" s="4" t="s">
        <v>15</v>
      </c>
      <c r="C617" s="4" t="s">
        <v>33</v>
      </c>
      <c r="D617" s="4" t="s">
        <v>50</v>
      </c>
      <c r="E617" s="4">
        <v>436</v>
      </c>
      <c r="F617" s="4">
        <v>197</v>
      </c>
      <c r="G617" s="4">
        <v>34</v>
      </c>
      <c r="H617" s="4">
        <v>85.89</v>
      </c>
      <c r="I617" s="4">
        <v>14.82</v>
      </c>
      <c r="J617" s="4">
        <v>71.069999999999993</v>
      </c>
      <c r="K617" s="4">
        <v>1.99</v>
      </c>
      <c r="L617" s="4">
        <v>242</v>
      </c>
      <c r="M617" s="4" t="s">
        <v>18</v>
      </c>
      <c r="N617" s="4" t="s">
        <v>19</v>
      </c>
      <c r="O617" s="4" t="s">
        <v>62</v>
      </c>
      <c r="P617" s="4" t="s">
        <v>75</v>
      </c>
    </row>
    <row r="618" spans="1:16" x14ac:dyDescent="0.3">
      <c r="A618" s="4">
        <v>2023</v>
      </c>
      <c r="B618" s="4" t="s">
        <v>29</v>
      </c>
      <c r="C618" s="4" t="s">
        <v>16</v>
      </c>
      <c r="D618" s="4" t="s">
        <v>56</v>
      </c>
      <c r="E618" s="4">
        <v>109</v>
      </c>
      <c r="F618" s="4">
        <v>135</v>
      </c>
      <c r="G618" s="4">
        <v>86</v>
      </c>
      <c r="H618" s="4">
        <v>14.71</v>
      </c>
      <c r="I618" s="4">
        <v>9.3699999999999992</v>
      </c>
      <c r="J618" s="4">
        <v>5.34</v>
      </c>
      <c r="K618" s="4">
        <v>-3.81</v>
      </c>
      <c r="L618" s="4">
        <v>117</v>
      </c>
      <c r="M618" s="4" t="s">
        <v>37</v>
      </c>
      <c r="N618" s="4" t="s">
        <v>31</v>
      </c>
      <c r="O618" s="4" t="s">
        <v>42</v>
      </c>
      <c r="P618" s="4" t="s">
        <v>76</v>
      </c>
    </row>
    <row r="619" spans="1:16" x14ac:dyDescent="0.3">
      <c r="A619" s="4">
        <v>2025</v>
      </c>
      <c r="B619" s="4" t="s">
        <v>51</v>
      </c>
      <c r="C619" s="4" t="s">
        <v>35</v>
      </c>
      <c r="D619" s="4" t="s">
        <v>43</v>
      </c>
      <c r="E619" s="4">
        <v>67</v>
      </c>
      <c r="F619" s="4">
        <v>229</v>
      </c>
      <c r="G619" s="4">
        <v>203</v>
      </c>
      <c r="H619" s="4">
        <v>15.34</v>
      </c>
      <c r="I619" s="4">
        <v>13.6</v>
      </c>
      <c r="J619" s="4">
        <v>1.74</v>
      </c>
      <c r="K619" s="4">
        <v>24.72</v>
      </c>
      <c r="L619" s="4">
        <v>238</v>
      </c>
      <c r="M619" s="4" t="s">
        <v>37</v>
      </c>
      <c r="N619" s="4" t="s">
        <v>38</v>
      </c>
      <c r="O619" s="4" t="s">
        <v>44</v>
      </c>
      <c r="P619" s="4" t="s">
        <v>74</v>
      </c>
    </row>
    <row r="620" spans="1:16" x14ac:dyDescent="0.3">
      <c r="A620" s="4">
        <v>2024</v>
      </c>
      <c r="B620" s="4" t="s">
        <v>32</v>
      </c>
      <c r="C620" s="4" t="s">
        <v>33</v>
      </c>
      <c r="D620" s="4" t="s">
        <v>50</v>
      </c>
      <c r="E620" s="4">
        <v>188</v>
      </c>
      <c r="F620" s="4">
        <v>240</v>
      </c>
      <c r="G620" s="4">
        <v>103</v>
      </c>
      <c r="H620" s="4">
        <v>45.12</v>
      </c>
      <c r="I620" s="4">
        <v>19.36</v>
      </c>
      <c r="J620" s="4">
        <v>25.76</v>
      </c>
      <c r="K620" s="4">
        <v>18.98</v>
      </c>
      <c r="L620" s="4">
        <v>259</v>
      </c>
      <c r="M620" s="4" t="s">
        <v>18</v>
      </c>
      <c r="N620" s="4" t="s">
        <v>38</v>
      </c>
      <c r="O620" s="4" t="s">
        <v>44</v>
      </c>
      <c r="P620" s="4" t="s">
        <v>71</v>
      </c>
    </row>
    <row r="621" spans="1:16" x14ac:dyDescent="0.3">
      <c r="A621" s="4">
        <v>2024</v>
      </c>
      <c r="B621" s="4" t="s">
        <v>21</v>
      </c>
      <c r="C621" s="4" t="s">
        <v>16</v>
      </c>
      <c r="D621" s="4" t="s">
        <v>17</v>
      </c>
      <c r="E621" s="4">
        <v>147</v>
      </c>
      <c r="F621" s="4">
        <v>169</v>
      </c>
      <c r="G621" s="4">
        <v>56</v>
      </c>
      <c r="H621" s="4">
        <v>24.84</v>
      </c>
      <c r="I621" s="4">
        <v>8.23</v>
      </c>
      <c r="J621" s="4">
        <v>16.61</v>
      </c>
      <c r="K621" s="4">
        <v>6.58</v>
      </c>
      <c r="L621" s="4">
        <v>132</v>
      </c>
      <c r="M621" s="4" t="s">
        <v>18</v>
      </c>
      <c r="N621" s="4" t="s">
        <v>31</v>
      </c>
      <c r="O621" s="4" t="s">
        <v>42</v>
      </c>
      <c r="P621" s="4" t="s">
        <v>71</v>
      </c>
    </row>
    <row r="622" spans="1:16" x14ac:dyDescent="0.3">
      <c r="A622" s="4">
        <v>2024</v>
      </c>
      <c r="B622" s="4" t="s">
        <v>32</v>
      </c>
      <c r="C622" s="4" t="s">
        <v>22</v>
      </c>
      <c r="D622" s="4" t="s">
        <v>23</v>
      </c>
      <c r="E622" s="4">
        <v>52</v>
      </c>
      <c r="F622" s="4">
        <v>417</v>
      </c>
      <c r="G622" s="4">
        <v>78</v>
      </c>
      <c r="H622" s="4">
        <v>21.68</v>
      </c>
      <c r="I622" s="4">
        <v>4.0599999999999996</v>
      </c>
      <c r="J622" s="4">
        <v>17.63</v>
      </c>
      <c r="K622" s="4">
        <v>13.44</v>
      </c>
      <c r="L622" s="4">
        <v>98</v>
      </c>
      <c r="M622" s="4" t="s">
        <v>37</v>
      </c>
      <c r="N622" s="4" t="s">
        <v>38</v>
      </c>
      <c r="O622" s="4" t="s">
        <v>44</v>
      </c>
      <c r="P622" s="4" t="s">
        <v>74</v>
      </c>
    </row>
    <row r="623" spans="1:16" x14ac:dyDescent="0.3">
      <c r="A623" s="4">
        <v>2023</v>
      </c>
      <c r="B623" s="4" t="s">
        <v>45</v>
      </c>
      <c r="C623" s="4" t="s">
        <v>16</v>
      </c>
      <c r="D623" s="4" t="s">
        <v>56</v>
      </c>
      <c r="E623" s="4">
        <v>493</v>
      </c>
      <c r="F623" s="4">
        <v>387</v>
      </c>
      <c r="G623" s="4">
        <v>329</v>
      </c>
      <c r="H623" s="4">
        <v>190.79</v>
      </c>
      <c r="I623" s="4">
        <v>162.19999999999999</v>
      </c>
      <c r="J623" s="4">
        <v>28.59</v>
      </c>
      <c r="K623" s="4">
        <v>10.8</v>
      </c>
      <c r="L623" s="4">
        <v>43</v>
      </c>
      <c r="M623" s="4" t="s">
        <v>37</v>
      </c>
      <c r="N623" s="4" t="s">
        <v>19</v>
      </c>
      <c r="O623" s="4" t="s">
        <v>62</v>
      </c>
      <c r="P623" s="4" t="s">
        <v>71</v>
      </c>
    </row>
    <row r="624" spans="1:16" x14ac:dyDescent="0.3">
      <c r="A624" s="4">
        <v>2025</v>
      </c>
      <c r="B624" s="4" t="s">
        <v>39</v>
      </c>
      <c r="C624" s="4" t="s">
        <v>22</v>
      </c>
      <c r="D624" s="4" t="s">
        <v>55</v>
      </c>
      <c r="E624" s="4">
        <v>58</v>
      </c>
      <c r="F624" s="4">
        <v>261</v>
      </c>
      <c r="G624" s="4">
        <v>70</v>
      </c>
      <c r="H624" s="4">
        <v>15.14</v>
      </c>
      <c r="I624" s="4">
        <v>4.0599999999999996</v>
      </c>
      <c r="J624" s="4">
        <v>11.08</v>
      </c>
      <c r="K624" s="4">
        <v>16.7</v>
      </c>
      <c r="L624" s="4">
        <v>91</v>
      </c>
      <c r="M624" s="4" t="s">
        <v>18</v>
      </c>
      <c r="N624" s="4" t="s">
        <v>31</v>
      </c>
      <c r="O624" s="4" t="s">
        <v>42</v>
      </c>
      <c r="P624" s="4" t="s">
        <v>72</v>
      </c>
    </row>
    <row r="625" spans="1:16" x14ac:dyDescent="0.3">
      <c r="A625" s="4">
        <v>2024</v>
      </c>
      <c r="B625" s="4" t="s">
        <v>39</v>
      </c>
      <c r="C625" s="4" t="s">
        <v>26</v>
      </c>
      <c r="D625" s="4" t="s">
        <v>52</v>
      </c>
      <c r="E625" s="4">
        <v>468</v>
      </c>
      <c r="F625" s="4">
        <v>53</v>
      </c>
      <c r="G625" s="4">
        <v>31</v>
      </c>
      <c r="H625" s="4">
        <v>24.8</v>
      </c>
      <c r="I625" s="4">
        <v>14.51</v>
      </c>
      <c r="J625" s="4">
        <v>10.3</v>
      </c>
      <c r="K625" s="4">
        <v>11.4</v>
      </c>
      <c r="L625" s="4">
        <v>168</v>
      </c>
      <c r="M625" s="4" t="s">
        <v>37</v>
      </c>
      <c r="N625" s="4" t="s">
        <v>19</v>
      </c>
      <c r="O625" s="4" t="s">
        <v>62</v>
      </c>
      <c r="P625" s="4" t="s">
        <v>72</v>
      </c>
    </row>
    <row r="626" spans="1:16" x14ac:dyDescent="0.3">
      <c r="A626" s="4">
        <v>2024</v>
      </c>
      <c r="B626" s="4" t="s">
        <v>51</v>
      </c>
      <c r="C626" s="4" t="s">
        <v>35</v>
      </c>
      <c r="D626" s="4" t="s">
        <v>36</v>
      </c>
      <c r="E626" s="4">
        <v>325</v>
      </c>
      <c r="F626" s="4">
        <v>153</v>
      </c>
      <c r="G626" s="4">
        <v>62</v>
      </c>
      <c r="H626" s="4">
        <v>49.73</v>
      </c>
      <c r="I626" s="4">
        <v>20.149999999999999</v>
      </c>
      <c r="J626" s="4">
        <v>29.58</v>
      </c>
      <c r="K626" s="4">
        <v>13.37</v>
      </c>
      <c r="L626" s="4">
        <v>282</v>
      </c>
      <c r="M626" s="4" t="s">
        <v>37</v>
      </c>
      <c r="N626" s="4" t="s">
        <v>38</v>
      </c>
      <c r="O626" s="4" t="s">
        <v>44</v>
      </c>
      <c r="P626" s="4" t="s">
        <v>76</v>
      </c>
    </row>
    <row r="627" spans="1:16" x14ac:dyDescent="0.3">
      <c r="A627" s="4">
        <v>2023</v>
      </c>
      <c r="B627" s="4" t="s">
        <v>57</v>
      </c>
      <c r="C627" s="4" t="s">
        <v>16</v>
      </c>
      <c r="D627" s="4" t="s">
        <v>17</v>
      </c>
      <c r="E627" s="4">
        <v>394</v>
      </c>
      <c r="F627" s="4">
        <v>439</v>
      </c>
      <c r="G627" s="4">
        <v>246</v>
      </c>
      <c r="H627" s="4">
        <v>172.97</v>
      </c>
      <c r="I627" s="4">
        <v>96.92</v>
      </c>
      <c r="J627" s="4">
        <v>76.040000000000006</v>
      </c>
      <c r="K627" s="4">
        <v>21.52</v>
      </c>
      <c r="L627" s="4">
        <v>31</v>
      </c>
      <c r="M627" s="4" t="s">
        <v>28</v>
      </c>
      <c r="N627" s="4" t="s">
        <v>31</v>
      </c>
      <c r="O627" s="4" t="s">
        <v>42</v>
      </c>
      <c r="P627" s="4" t="s">
        <v>71</v>
      </c>
    </row>
    <row r="628" spans="1:16" x14ac:dyDescent="0.3">
      <c r="A628" s="4">
        <v>2023</v>
      </c>
      <c r="B628" s="4" t="s">
        <v>32</v>
      </c>
      <c r="C628" s="4" t="s">
        <v>35</v>
      </c>
      <c r="D628" s="4" t="s">
        <v>40</v>
      </c>
      <c r="E628" s="4">
        <v>243</v>
      </c>
      <c r="F628" s="4">
        <v>121</v>
      </c>
      <c r="G628" s="4">
        <v>59</v>
      </c>
      <c r="H628" s="4">
        <v>29.4</v>
      </c>
      <c r="I628" s="4">
        <v>14.34</v>
      </c>
      <c r="J628" s="4">
        <v>15.07</v>
      </c>
      <c r="K628" s="4">
        <v>23.43</v>
      </c>
      <c r="L628" s="4">
        <v>184</v>
      </c>
      <c r="M628" s="4" t="s">
        <v>18</v>
      </c>
      <c r="N628" s="4" t="s">
        <v>19</v>
      </c>
      <c r="O628" s="4" t="s">
        <v>62</v>
      </c>
      <c r="P628" s="4" t="s">
        <v>74</v>
      </c>
    </row>
    <row r="629" spans="1:16" x14ac:dyDescent="0.3">
      <c r="A629" s="4">
        <v>2023</v>
      </c>
      <c r="B629" s="4" t="s">
        <v>29</v>
      </c>
      <c r="C629" s="4" t="s">
        <v>16</v>
      </c>
      <c r="D629" s="4" t="s">
        <v>30</v>
      </c>
      <c r="E629" s="4">
        <v>231</v>
      </c>
      <c r="F629" s="4">
        <v>143</v>
      </c>
      <c r="G629" s="4">
        <v>96</v>
      </c>
      <c r="H629" s="4">
        <v>33.03</v>
      </c>
      <c r="I629" s="4">
        <v>22.18</v>
      </c>
      <c r="J629" s="4">
        <v>10.86</v>
      </c>
      <c r="K629" s="4">
        <v>10.58</v>
      </c>
      <c r="L629" s="4">
        <v>233</v>
      </c>
      <c r="M629" s="4" t="s">
        <v>28</v>
      </c>
      <c r="N629" s="4" t="s">
        <v>24</v>
      </c>
      <c r="O629" s="4" t="s">
        <v>63</v>
      </c>
      <c r="P629" s="4" t="s">
        <v>73</v>
      </c>
    </row>
    <row r="630" spans="1:16" x14ac:dyDescent="0.3">
      <c r="A630" s="4">
        <v>2023</v>
      </c>
      <c r="B630" s="4" t="s">
        <v>47</v>
      </c>
      <c r="C630" s="4" t="s">
        <v>33</v>
      </c>
      <c r="D630" s="4" t="s">
        <v>34</v>
      </c>
      <c r="E630" s="4">
        <v>170</v>
      </c>
      <c r="F630" s="4">
        <v>58</v>
      </c>
      <c r="G630" s="4">
        <v>45</v>
      </c>
      <c r="H630" s="4">
        <v>9.86</v>
      </c>
      <c r="I630" s="4">
        <v>7.65</v>
      </c>
      <c r="J630" s="4">
        <v>2.21</v>
      </c>
      <c r="K630" s="4">
        <v>-0.6</v>
      </c>
      <c r="L630" s="4">
        <v>254</v>
      </c>
      <c r="M630" s="4" t="s">
        <v>37</v>
      </c>
      <c r="N630" s="4" t="s">
        <v>38</v>
      </c>
      <c r="O630" s="4" t="s">
        <v>44</v>
      </c>
      <c r="P630" s="4" t="s">
        <v>72</v>
      </c>
    </row>
    <row r="631" spans="1:16" x14ac:dyDescent="0.3">
      <c r="A631" s="4">
        <v>2025</v>
      </c>
      <c r="B631" s="4" t="s">
        <v>46</v>
      </c>
      <c r="C631" s="4" t="s">
        <v>16</v>
      </c>
      <c r="D631" s="4" t="s">
        <v>30</v>
      </c>
      <c r="E631" s="4">
        <v>260</v>
      </c>
      <c r="F631" s="4">
        <v>108</v>
      </c>
      <c r="G631" s="4">
        <v>85</v>
      </c>
      <c r="H631" s="4">
        <v>28.08</v>
      </c>
      <c r="I631" s="4">
        <v>22.1</v>
      </c>
      <c r="J631" s="4">
        <v>5.98</v>
      </c>
      <c r="K631" s="4">
        <v>19.63</v>
      </c>
      <c r="L631" s="4">
        <v>266</v>
      </c>
      <c r="M631" s="4" t="s">
        <v>18</v>
      </c>
      <c r="N631" s="4" t="s">
        <v>31</v>
      </c>
      <c r="O631" s="4" t="s">
        <v>42</v>
      </c>
      <c r="P631" s="4" t="s">
        <v>75</v>
      </c>
    </row>
    <row r="632" spans="1:16" x14ac:dyDescent="0.3">
      <c r="A632" s="4">
        <v>2023</v>
      </c>
      <c r="B632" s="4" t="s">
        <v>47</v>
      </c>
      <c r="C632" s="4" t="s">
        <v>16</v>
      </c>
      <c r="D632" s="4" t="s">
        <v>30</v>
      </c>
      <c r="E632" s="4">
        <v>337</v>
      </c>
      <c r="F632" s="4">
        <v>473</v>
      </c>
      <c r="G632" s="4">
        <v>338</v>
      </c>
      <c r="H632" s="4">
        <v>159.4</v>
      </c>
      <c r="I632" s="4">
        <v>113.91</v>
      </c>
      <c r="J632" s="4">
        <v>45.5</v>
      </c>
      <c r="K632" s="4">
        <v>8.43</v>
      </c>
      <c r="L632" s="4">
        <v>141</v>
      </c>
      <c r="M632" s="4" t="s">
        <v>37</v>
      </c>
      <c r="N632" s="4" t="s">
        <v>19</v>
      </c>
      <c r="O632" s="4" t="s">
        <v>62</v>
      </c>
      <c r="P632" s="4" t="s">
        <v>75</v>
      </c>
    </row>
    <row r="633" spans="1:16" x14ac:dyDescent="0.3">
      <c r="A633" s="4">
        <v>2025</v>
      </c>
      <c r="B633" s="4" t="s">
        <v>29</v>
      </c>
      <c r="C633" s="4" t="s">
        <v>16</v>
      </c>
      <c r="D633" s="4" t="s">
        <v>17</v>
      </c>
      <c r="E633" s="4">
        <v>499</v>
      </c>
      <c r="F633" s="4">
        <v>263</v>
      </c>
      <c r="G633" s="4">
        <v>47</v>
      </c>
      <c r="H633" s="4">
        <v>131.24</v>
      </c>
      <c r="I633" s="4">
        <v>23.45</v>
      </c>
      <c r="J633" s="4">
        <v>107.78</v>
      </c>
      <c r="K633" s="4">
        <v>11.43</v>
      </c>
      <c r="L633" s="4">
        <v>226</v>
      </c>
      <c r="M633" s="4" t="s">
        <v>18</v>
      </c>
      <c r="N633" s="4" t="s">
        <v>19</v>
      </c>
      <c r="O633" s="4" t="s">
        <v>62</v>
      </c>
      <c r="P633" s="4" t="s">
        <v>74</v>
      </c>
    </row>
    <row r="634" spans="1:16" x14ac:dyDescent="0.3">
      <c r="A634" s="4">
        <v>2024</v>
      </c>
      <c r="B634" s="4" t="s">
        <v>29</v>
      </c>
      <c r="C634" s="4" t="s">
        <v>35</v>
      </c>
      <c r="D634" s="4" t="s">
        <v>40</v>
      </c>
      <c r="E634" s="4">
        <v>213</v>
      </c>
      <c r="F634" s="4">
        <v>313</v>
      </c>
      <c r="G634" s="4">
        <v>173</v>
      </c>
      <c r="H634" s="4">
        <v>66.67</v>
      </c>
      <c r="I634" s="4">
        <v>36.85</v>
      </c>
      <c r="J634" s="4">
        <v>29.82</v>
      </c>
      <c r="K634" s="4">
        <v>16.350000000000001</v>
      </c>
      <c r="L634" s="4">
        <v>245</v>
      </c>
      <c r="M634" s="4" t="s">
        <v>28</v>
      </c>
      <c r="N634" s="4" t="s">
        <v>31</v>
      </c>
      <c r="O634" s="4" t="s">
        <v>42</v>
      </c>
      <c r="P634" s="4" t="s">
        <v>75</v>
      </c>
    </row>
    <row r="635" spans="1:16" x14ac:dyDescent="0.3">
      <c r="A635" s="4">
        <v>2023</v>
      </c>
      <c r="B635" s="4" t="s">
        <v>41</v>
      </c>
      <c r="C635" s="4" t="s">
        <v>35</v>
      </c>
      <c r="D635" s="4" t="s">
        <v>36</v>
      </c>
      <c r="E635" s="4">
        <v>267</v>
      </c>
      <c r="F635" s="4">
        <v>182</v>
      </c>
      <c r="G635" s="4">
        <v>112</v>
      </c>
      <c r="H635" s="4">
        <v>48.59</v>
      </c>
      <c r="I635" s="4">
        <v>29.9</v>
      </c>
      <c r="J635" s="4">
        <v>18.690000000000001</v>
      </c>
      <c r="K635" s="4">
        <v>20.45</v>
      </c>
      <c r="L635" s="4">
        <v>300</v>
      </c>
      <c r="M635" s="4" t="s">
        <v>28</v>
      </c>
      <c r="N635" s="4" t="s">
        <v>31</v>
      </c>
      <c r="O635" s="4" t="s">
        <v>42</v>
      </c>
      <c r="P635" s="4" t="s">
        <v>74</v>
      </c>
    </row>
    <row r="636" spans="1:16" x14ac:dyDescent="0.3">
      <c r="A636" s="4">
        <v>2025</v>
      </c>
      <c r="B636" s="4" t="s">
        <v>49</v>
      </c>
      <c r="C636" s="4" t="s">
        <v>35</v>
      </c>
      <c r="D636" s="4" t="s">
        <v>40</v>
      </c>
      <c r="E636" s="4">
        <v>276</v>
      </c>
      <c r="F636" s="4">
        <v>367</v>
      </c>
      <c r="G636" s="4">
        <v>302</v>
      </c>
      <c r="H636" s="4">
        <v>101.29</v>
      </c>
      <c r="I636" s="4">
        <v>83.35</v>
      </c>
      <c r="J636" s="4">
        <v>17.940000000000001</v>
      </c>
      <c r="K636" s="4">
        <v>7.56</v>
      </c>
      <c r="L636" s="4">
        <v>223</v>
      </c>
      <c r="M636" s="4" t="s">
        <v>37</v>
      </c>
      <c r="N636" s="4" t="s">
        <v>38</v>
      </c>
      <c r="O636" s="4" t="s">
        <v>44</v>
      </c>
      <c r="P636" s="4" t="s">
        <v>75</v>
      </c>
    </row>
    <row r="637" spans="1:16" x14ac:dyDescent="0.3">
      <c r="A637" s="4">
        <v>2025</v>
      </c>
      <c r="B637" s="4" t="s">
        <v>47</v>
      </c>
      <c r="C637" s="4" t="s">
        <v>35</v>
      </c>
      <c r="D637" s="4" t="s">
        <v>36</v>
      </c>
      <c r="E637" s="4">
        <v>407</v>
      </c>
      <c r="F637" s="4">
        <v>388</v>
      </c>
      <c r="G637" s="4">
        <v>132</v>
      </c>
      <c r="H637" s="4">
        <v>157.91999999999999</v>
      </c>
      <c r="I637" s="4">
        <v>53.72</v>
      </c>
      <c r="J637" s="4">
        <v>104.19</v>
      </c>
      <c r="K637" s="4">
        <v>-9.1</v>
      </c>
      <c r="L637" s="4">
        <v>184</v>
      </c>
      <c r="M637" s="4" t="s">
        <v>18</v>
      </c>
      <c r="N637" s="4" t="s">
        <v>38</v>
      </c>
      <c r="O637" s="4" t="s">
        <v>44</v>
      </c>
      <c r="P637" s="4" t="s">
        <v>72</v>
      </c>
    </row>
    <row r="638" spans="1:16" x14ac:dyDescent="0.3">
      <c r="A638" s="4">
        <v>2025</v>
      </c>
      <c r="B638" s="4" t="s">
        <v>21</v>
      </c>
      <c r="C638" s="4" t="s">
        <v>33</v>
      </c>
      <c r="D638" s="4" t="s">
        <v>54</v>
      </c>
      <c r="E638" s="4">
        <v>278</v>
      </c>
      <c r="F638" s="4">
        <v>92</v>
      </c>
      <c r="G638" s="4">
        <v>67</v>
      </c>
      <c r="H638" s="4">
        <v>25.58</v>
      </c>
      <c r="I638" s="4">
        <v>18.63</v>
      </c>
      <c r="J638" s="4">
        <v>6.95</v>
      </c>
      <c r="K638" s="4">
        <v>14.37</v>
      </c>
      <c r="L638" s="4">
        <v>263</v>
      </c>
      <c r="M638" s="4" t="s">
        <v>28</v>
      </c>
      <c r="N638" s="4" t="s">
        <v>31</v>
      </c>
      <c r="O638" s="4" t="s">
        <v>42</v>
      </c>
      <c r="P638" s="4" t="s">
        <v>71</v>
      </c>
    </row>
    <row r="639" spans="1:16" x14ac:dyDescent="0.3">
      <c r="A639" s="4">
        <v>2023</v>
      </c>
      <c r="B639" s="4" t="s">
        <v>21</v>
      </c>
      <c r="C639" s="4" t="s">
        <v>33</v>
      </c>
      <c r="D639" s="4" t="s">
        <v>54</v>
      </c>
      <c r="E639" s="4">
        <v>84</v>
      </c>
      <c r="F639" s="4">
        <v>265</v>
      </c>
      <c r="G639" s="4">
        <v>215</v>
      </c>
      <c r="H639" s="4">
        <v>22.26</v>
      </c>
      <c r="I639" s="4">
        <v>18.059999999999999</v>
      </c>
      <c r="J639" s="4">
        <v>4.2</v>
      </c>
      <c r="K639" s="4">
        <v>-4.09</v>
      </c>
      <c r="L639" s="4">
        <v>299</v>
      </c>
      <c r="M639" s="4" t="s">
        <v>18</v>
      </c>
      <c r="N639" s="4" t="s">
        <v>19</v>
      </c>
      <c r="O639" s="4" t="s">
        <v>62</v>
      </c>
      <c r="P639" s="4" t="s">
        <v>76</v>
      </c>
    </row>
    <row r="640" spans="1:16" x14ac:dyDescent="0.3">
      <c r="A640" s="4">
        <v>2025</v>
      </c>
      <c r="B640" s="4" t="s">
        <v>47</v>
      </c>
      <c r="C640" s="4" t="s">
        <v>16</v>
      </c>
      <c r="D640" s="4" t="s">
        <v>30</v>
      </c>
      <c r="E640" s="4">
        <v>164</v>
      </c>
      <c r="F640" s="4">
        <v>240</v>
      </c>
      <c r="G640" s="4">
        <v>93</v>
      </c>
      <c r="H640" s="4">
        <v>39.36</v>
      </c>
      <c r="I640" s="4">
        <v>15.25</v>
      </c>
      <c r="J640" s="4">
        <v>24.11</v>
      </c>
      <c r="K640" s="4">
        <v>9.49</v>
      </c>
      <c r="L640" s="4">
        <v>273</v>
      </c>
      <c r="M640" s="4" t="s">
        <v>28</v>
      </c>
      <c r="N640" s="4" t="s">
        <v>24</v>
      </c>
      <c r="O640" s="4" t="s">
        <v>63</v>
      </c>
      <c r="P640" s="4" t="s">
        <v>76</v>
      </c>
    </row>
    <row r="641" spans="1:16" x14ac:dyDescent="0.3">
      <c r="A641" s="4">
        <v>2024</v>
      </c>
      <c r="B641" s="4" t="s">
        <v>21</v>
      </c>
      <c r="C641" s="4" t="s">
        <v>33</v>
      </c>
      <c r="D641" s="4" t="s">
        <v>48</v>
      </c>
      <c r="E641" s="4">
        <v>121</v>
      </c>
      <c r="F641" s="4">
        <v>232</v>
      </c>
      <c r="G641" s="4">
        <v>91</v>
      </c>
      <c r="H641" s="4">
        <v>28.07</v>
      </c>
      <c r="I641" s="4">
        <v>11.01</v>
      </c>
      <c r="J641" s="4">
        <v>17.059999999999999</v>
      </c>
      <c r="K641" s="4">
        <v>11.15</v>
      </c>
      <c r="L641" s="4">
        <v>164</v>
      </c>
      <c r="M641" s="4" t="s">
        <v>37</v>
      </c>
      <c r="N641" s="4" t="s">
        <v>31</v>
      </c>
      <c r="O641" s="4" t="s">
        <v>42</v>
      </c>
      <c r="P641" s="4" t="s">
        <v>73</v>
      </c>
    </row>
    <row r="642" spans="1:16" x14ac:dyDescent="0.3">
      <c r="A642" s="4">
        <v>2024</v>
      </c>
      <c r="B642" s="4" t="s">
        <v>41</v>
      </c>
      <c r="C642" s="4" t="s">
        <v>33</v>
      </c>
      <c r="D642" s="4" t="s">
        <v>48</v>
      </c>
      <c r="E642" s="4">
        <v>468</v>
      </c>
      <c r="F642" s="4">
        <v>226</v>
      </c>
      <c r="G642" s="4">
        <v>104</v>
      </c>
      <c r="H642" s="4">
        <v>105.77</v>
      </c>
      <c r="I642" s="4">
        <v>48.67</v>
      </c>
      <c r="J642" s="4">
        <v>57.1</v>
      </c>
      <c r="K642" s="4">
        <v>13.42</v>
      </c>
      <c r="L642" s="4">
        <v>193</v>
      </c>
      <c r="M642" s="4" t="s">
        <v>37</v>
      </c>
      <c r="N642" s="4" t="s">
        <v>24</v>
      </c>
      <c r="O642" s="4" t="s">
        <v>63</v>
      </c>
      <c r="P642" s="4" t="s">
        <v>74</v>
      </c>
    </row>
    <row r="643" spans="1:16" x14ac:dyDescent="0.3">
      <c r="A643" s="4">
        <v>2025</v>
      </c>
      <c r="B643" s="4" t="s">
        <v>51</v>
      </c>
      <c r="C643" s="4" t="s">
        <v>16</v>
      </c>
      <c r="D643" s="4" t="s">
        <v>17</v>
      </c>
      <c r="E643" s="4">
        <v>392</v>
      </c>
      <c r="F643" s="4">
        <v>150</v>
      </c>
      <c r="G643" s="4">
        <v>103</v>
      </c>
      <c r="H643" s="4">
        <v>58.8</v>
      </c>
      <c r="I643" s="4">
        <v>40.380000000000003</v>
      </c>
      <c r="J643" s="4">
        <v>18.420000000000002</v>
      </c>
      <c r="K643" s="4">
        <v>18.88</v>
      </c>
      <c r="L643" s="4">
        <v>217</v>
      </c>
      <c r="M643" s="4" t="s">
        <v>28</v>
      </c>
      <c r="N643" s="4" t="s">
        <v>24</v>
      </c>
      <c r="O643" s="4" t="s">
        <v>63</v>
      </c>
      <c r="P643" s="4" t="s">
        <v>74</v>
      </c>
    </row>
    <row r="644" spans="1:16" x14ac:dyDescent="0.3">
      <c r="A644" s="4">
        <v>2024</v>
      </c>
      <c r="B644" s="4" t="s">
        <v>45</v>
      </c>
      <c r="C644" s="4" t="s">
        <v>26</v>
      </c>
      <c r="D644" s="4" t="s">
        <v>27</v>
      </c>
      <c r="E644" s="4">
        <v>381</v>
      </c>
      <c r="F644" s="4">
        <v>217</v>
      </c>
      <c r="G644" s="4">
        <v>185</v>
      </c>
      <c r="H644" s="4">
        <v>82.68</v>
      </c>
      <c r="I644" s="4">
        <v>70.48</v>
      </c>
      <c r="J644" s="4">
        <v>12.19</v>
      </c>
      <c r="K644" s="4">
        <v>-4.5199999999999996</v>
      </c>
      <c r="L644" s="4">
        <v>259</v>
      </c>
      <c r="M644" s="4" t="s">
        <v>18</v>
      </c>
      <c r="N644" s="4" t="s">
        <v>24</v>
      </c>
      <c r="O644" s="4" t="s">
        <v>63</v>
      </c>
      <c r="P644" s="4" t="s">
        <v>74</v>
      </c>
    </row>
    <row r="645" spans="1:16" x14ac:dyDescent="0.3">
      <c r="A645" s="4">
        <v>2025</v>
      </c>
      <c r="B645" s="4" t="s">
        <v>46</v>
      </c>
      <c r="C645" s="4" t="s">
        <v>35</v>
      </c>
      <c r="D645" s="4" t="s">
        <v>40</v>
      </c>
      <c r="E645" s="4">
        <v>228</v>
      </c>
      <c r="F645" s="4">
        <v>193</v>
      </c>
      <c r="G645" s="4">
        <v>126</v>
      </c>
      <c r="H645" s="4">
        <v>44</v>
      </c>
      <c r="I645" s="4">
        <v>28.73</v>
      </c>
      <c r="J645" s="4">
        <v>15.28</v>
      </c>
      <c r="K645" s="4">
        <v>12.38</v>
      </c>
      <c r="L645" s="4">
        <v>131</v>
      </c>
      <c r="M645" s="4" t="s">
        <v>37</v>
      </c>
      <c r="N645" s="4" t="s">
        <v>19</v>
      </c>
      <c r="O645" s="4" t="s">
        <v>62</v>
      </c>
      <c r="P645" s="4" t="s">
        <v>73</v>
      </c>
    </row>
    <row r="646" spans="1:16" x14ac:dyDescent="0.3">
      <c r="A646" s="4">
        <v>2025</v>
      </c>
      <c r="B646" s="4" t="s">
        <v>51</v>
      </c>
      <c r="C646" s="4" t="s">
        <v>22</v>
      </c>
      <c r="D646" s="4" t="s">
        <v>23</v>
      </c>
      <c r="E646" s="4">
        <v>262</v>
      </c>
      <c r="F646" s="4">
        <v>474</v>
      </c>
      <c r="G646" s="4">
        <v>351</v>
      </c>
      <c r="H646" s="4">
        <v>124.19</v>
      </c>
      <c r="I646" s="4">
        <v>91.96</v>
      </c>
      <c r="J646" s="4">
        <v>32.229999999999997</v>
      </c>
      <c r="K646" s="4">
        <v>2.4900000000000002</v>
      </c>
      <c r="L646" s="4">
        <v>192</v>
      </c>
      <c r="M646" s="4" t="s">
        <v>28</v>
      </c>
      <c r="N646" s="4" t="s">
        <v>38</v>
      </c>
      <c r="O646" s="4" t="s">
        <v>44</v>
      </c>
      <c r="P646" s="4" t="s">
        <v>71</v>
      </c>
    </row>
    <row r="647" spans="1:16" x14ac:dyDescent="0.3">
      <c r="A647" s="4">
        <v>2023</v>
      </c>
      <c r="B647" s="4" t="s">
        <v>49</v>
      </c>
      <c r="C647" s="4" t="s">
        <v>33</v>
      </c>
      <c r="D647" s="4" t="s">
        <v>48</v>
      </c>
      <c r="E647" s="4">
        <v>124</v>
      </c>
      <c r="F647" s="4">
        <v>272</v>
      </c>
      <c r="G647" s="4">
        <v>122</v>
      </c>
      <c r="H647" s="4">
        <v>33.729999999999997</v>
      </c>
      <c r="I647" s="4">
        <v>15.13</v>
      </c>
      <c r="J647" s="4">
        <v>18.600000000000001</v>
      </c>
      <c r="K647" s="4">
        <v>8</v>
      </c>
      <c r="L647" s="4">
        <v>127</v>
      </c>
      <c r="M647" s="4" t="s">
        <v>28</v>
      </c>
      <c r="N647" s="4" t="s">
        <v>31</v>
      </c>
      <c r="O647" s="4" t="s">
        <v>42</v>
      </c>
      <c r="P647" s="4" t="s">
        <v>76</v>
      </c>
    </row>
    <row r="648" spans="1:16" x14ac:dyDescent="0.3">
      <c r="A648" s="4">
        <v>2023</v>
      </c>
      <c r="B648" s="4" t="s">
        <v>47</v>
      </c>
      <c r="C648" s="4" t="s">
        <v>33</v>
      </c>
      <c r="D648" s="4" t="s">
        <v>48</v>
      </c>
      <c r="E648" s="4">
        <v>491</v>
      </c>
      <c r="F648" s="4">
        <v>473</v>
      </c>
      <c r="G648" s="4">
        <v>252</v>
      </c>
      <c r="H648" s="4">
        <v>232.24</v>
      </c>
      <c r="I648" s="4">
        <v>123.73</v>
      </c>
      <c r="J648" s="4">
        <v>108.51</v>
      </c>
      <c r="K648" s="4">
        <v>22.04</v>
      </c>
      <c r="L648" s="4">
        <v>117</v>
      </c>
      <c r="M648" s="4" t="s">
        <v>18</v>
      </c>
      <c r="N648" s="4" t="s">
        <v>31</v>
      </c>
      <c r="O648" s="4" t="s">
        <v>42</v>
      </c>
      <c r="P648" s="4" t="s">
        <v>72</v>
      </c>
    </row>
    <row r="649" spans="1:16" x14ac:dyDescent="0.3">
      <c r="A649" s="4">
        <v>2025</v>
      </c>
      <c r="B649" s="4" t="s">
        <v>57</v>
      </c>
      <c r="C649" s="4" t="s">
        <v>26</v>
      </c>
      <c r="D649" s="4" t="s">
        <v>27</v>
      </c>
      <c r="E649" s="4">
        <v>491</v>
      </c>
      <c r="F649" s="4">
        <v>427</v>
      </c>
      <c r="G649" s="4">
        <v>382</v>
      </c>
      <c r="H649" s="4">
        <v>209.66</v>
      </c>
      <c r="I649" s="4">
        <v>187.56</v>
      </c>
      <c r="J649" s="4">
        <v>22.09</v>
      </c>
      <c r="K649" s="4">
        <v>15.64</v>
      </c>
      <c r="L649" s="4">
        <v>211</v>
      </c>
      <c r="M649" s="4" t="s">
        <v>18</v>
      </c>
      <c r="N649" s="4" t="s">
        <v>24</v>
      </c>
      <c r="O649" s="4" t="s">
        <v>63</v>
      </c>
      <c r="P649" s="4" t="s">
        <v>76</v>
      </c>
    </row>
    <row r="650" spans="1:16" x14ac:dyDescent="0.3">
      <c r="A650" s="4">
        <v>2025</v>
      </c>
      <c r="B650" s="4" t="s">
        <v>51</v>
      </c>
      <c r="C650" s="4" t="s">
        <v>26</v>
      </c>
      <c r="D650" s="4" t="s">
        <v>58</v>
      </c>
      <c r="E650" s="4">
        <v>387</v>
      </c>
      <c r="F650" s="4">
        <v>483</v>
      </c>
      <c r="G650" s="4">
        <v>184</v>
      </c>
      <c r="H650" s="4">
        <v>186.92</v>
      </c>
      <c r="I650" s="4">
        <v>71.209999999999994</v>
      </c>
      <c r="J650" s="4">
        <v>115.71</v>
      </c>
      <c r="K650" s="4">
        <v>-8.64</v>
      </c>
      <c r="L650" s="4">
        <v>42</v>
      </c>
      <c r="M650" s="4" t="s">
        <v>28</v>
      </c>
      <c r="N650" s="4" t="s">
        <v>31</v>
      </c>
      <c r="O650" s="4" t="s">
        <v>42</v>
      </c>
      <c r="P650" s="4" t="s">
        <v>73</v>
      </c>
    </row>
    <row r="651" spans="1:16" x14ac:dyDescent="0.3">
      <c r="A651" s="4">
        <v>2025</v>
      </c>
      <c r="B651" s="4" t="s">
        <v>21</v>
      </c>
      <c r="C651" s="4" t="s">
        <v>35</v>
      </c>
      <c r="D651" s="4" t="s">
        <v>40</v>
      </c>
      <c r="E651" s="4">
        <v>451</v>
      </c>
      <c r="F651" s="4">
        <v>135</v>
      </c>
      <c r="G651" s="4">
        <v>95</v>
      </c>
      <c r="H651" s="4">
        <v>60.88</v>
      </c>
      <c r="I651" s="4">
        <v>42.84</v>
      </c>
      <c r="J651" s="4">
        <v>18.04</v>
      </c>
      <c r="K651" s="4">
        <v>2.34</v>
      </c>
      <c r="L651" s="4">
        <v>102</v>
      </c>
      <c r="M651" s="4" t="s">
        <v>37</v>
      </c>
      <c r="N651" s="4" t="s">
        <v>24</v>
      </c>
      <c r="O651" s="4" t="s">
        <v>63</v>
      </c>
      <c r="P651" s="4" t="s">
        <v>73</v>
      </c>
    </row>
    <row r="652" spans="1:16" x14ac:dyDescent="0.3">
      <c r="A652" s="4">
        <v>2023</v>
      </c>
      <c r="B652" s="4" t="s">
        <v>47</v>
      </c>
      <c r="C652" s="4" t="s">
        <v>26</v>
      </c>
      <c r="D652" s="4" t="s">
        <v>52</v>
      </c>
      <c r="E652" s="4">
        <v>271</v>
      </c>
      <c r="F652" s="4">
        <v>138</v>
      </c>
      <c r="G652" s="4">
        <v>45</v>
      </c>
      <c r="H652" s="4">
        <v>37.4</v>
      </c>
      <c r="I652" s="4">
        <v>12.2</v>
      </c>
      <c r="J652" s="4">
        <v>25.2</v>
      </c>
      <c r="K652" s="4">
        <v>3.73</v>
      </c>
      <c r="L652" s="4">
        <v>269</v>
      </c>
      <c r="M652" s="4" t="s">
        <v>28</v>
      </c>
      <c r="N652" s="4" t="s">
        <v>31</v>
      </c>
      <c r="O652" s="4" t="s">
        <v>42</v>
      </c>
      <c r="P652" s="4" t="s">
        <v>73</v>
      </c>
    </row>
    <row r="653" spans="1:16" x14ac:dyDescent="0.3">
      <c r="A653" s="4">
        <v>2024</v>
      </c>
      <c r="B653" s="4" t="s">
        <v>45</v>
      </c>
      <c r="C653" s="4" t="s">
        <v>22</v>
      </c>
      <c r="D653" s="4" t="s">
        <v>59</v>
      </c>
      <c r="E653" s="4">
        <v>206</v>
      </c>
      <c r="F653" s="4">
        <v>372</v>
      </c>
      <c r="G653" s="4">
        <v>298</v>
      </c>
      <c r="H653" s="4">
        <v>76.63</v>
      </c>
      <c r="I653" s="4">
        <v>61.39</v>
      </c>
      <c r="J653" s="4">
        <v>15.24</v>
      </c>
      <c r="K653" s="4">
        <v>1.62</v>
      </c>
      <c r="L653" s="4">
        <v>67</v>
      </c>
      <c r="M653" s="4" t="s">
        <v>28</v>
      </c>
      <c r="N653" s="4" t="s">
        <v>24</v>
      </c>
      <c r="O653" s="4" t="s">
        <v>63</v>
      </c>
      <c r="P653" s="4" t="s">
        <v>71</v>
      </c>
    </row>
    <row r="654" spans="1:16" x14ac:dyDescent="0.3">
      <c r="A654" s="4">
        <v>2024</v>
      </c>
      <c r="B654" s="4" t="s">
        <v>57</v>
      </c>
      <c r="C654" s="4" t="s">
        <v>35</v>
      </c>
      <c r="D654" s="4" t="s">
        <v>36</v>
      </c>
      <c r="E654" s="4">
        <v>401</v>
      </c>
      <c r="F654" s="4">
        <v>307</v>
      </c>
      <c r="G654" s="4">
        <v>106</v>
      </c>
      <c r="H654" s="4">
        <v>123.11</v>
      </c>
      <c r="I654" s="4">
        <v>42.51</v>
      </c>
      <c r="J654" s="4">
        <v>80.599999999999994</v>
      </c>
      <c r="K654" s="4">
        <v>17.739999999999998</v>
      </c>
      <c r="L654" s="4">
        <v>110</v>
      </c>
      <c r="M654" s="4" t="s">
        <v>18</v>
      </c>
      <c r="N654" s="4" t="s">
        <v>24</v>
      </c>
      <c r="O654" s="4" t="s">
        <v>63</v>
      </c>
      <c r="P654" s="4" t="s">
        <v>72</v>
      </c>
    </row>
    <row r="655" spans="1:16" x14ac:dyDescent="0.3">
      <c r="A655" s="4">
        <v>2024</v>
      </c>
      <c r="B655" s="4" t="s">
        <v>29</v>
      </c>
      <c r="C655" s="4" t="s">
        <v>33</v>
      </c>
      <c r="D655" s="4" t="s">
        <v>34</v>
      </c>
      <c r="E655" s="4">
        <v>159</v>
      </c>
      <c r="F655" s="4">
        <v>386</v>
      </c>
      <c r="G655" s="4">
        <v>216</v>
      </c>
      <c r="H655" s="4">
        <v>61.37</v>
      </c>
      <c r="I655" s="4">
        <v>34.340000000000003</v>
      </c>
      <c r="J655" s="4">
        <v>27.03</v>
      </c>
      <c r="K655" s="4">
        <v>-3.54</v>
      </c>
      <c r="L655" s="4">
        <v>281</v>
      </c>
      <c r="M655" s="4" t="s">
        <v>37</v>
      </c>
      <c r="N655" s="4" t="s">
        <v>24</v>
      </c>
      <c r="O655" s="4" t="s">
        <v>63</v>
      </c>
      <c r="P655" s="4" t="s">
        <v>72</v>
      </c>
    </row>
    <row r="656" spans="1:16" x14ac:dyDescent="0.3">
      <c r="A656" s="4">
        <v>2023</v>
      </c>
      <c r="B656" s="4" t="s">
        <v>41</v>
      </c>
      <c r="C656" s="4" t="s">
        <v>35</v>
      </c>
      <c r="D656" s="4" t="s">
        <v>40</v>
      </c>
      <c r="E656" s="4">
        <v>154</v>
      </c>
      <c r="F656" s="4">
        <v>461</v>
      </c>
      <c r="G656" s="4">
        <v>81</v>
      </c>
      <c r="H656" s="4">
        <v>70.989999999999995</v>
      </c>
      <c r="I656" s="4">
        <v>12.47</v>
      </c>
      <c r="J656" s="4">
        <v>58.52</v>
      </c>
      <c r="K656" s="4">
        <v>18.71</v>
      </c>
      <c r="L656" s="4">
        <v>235</v>
      </c>
      <c r="M656" s="4" t="s">
        <v>28</v>
      </c>
      <c r="N656" s="4" t="s">
        <v>19</v>
      </c>
      <c r="O656" s="4" t="s">
        <v>62</v>
      </c>
      <c r="P656" s="4" t="s">
        <v>73</v>
      </c>
    </row>
    <row r="657" spans="1:16" x14ac:dyDescent="0.3">
      <c r="A657" s="4">
        <v>2025</v>
      </c>
      <c r="B657" s="4" t="s">
        <v>45</v>
      </c>
      <c r="C657" s="4" t="s">
        <v>22</v>
      </c>
      <c r="D657" s="4" t="s">
        <v>59</v>
      </c>
      <c r="E657" s="4">
        <v>247</v>
      </c>
      <c r="F657" s="4">
        <v>286</v>
      </c>
      <c r="G657" s="4">
        <v>275</v>
      </c>
      <c r="H657" s="4">
        <v>70.64</v>
      </c>
      <c r="I657" s="4">
        <v>67.92</v>
      </c>
      <c r="J657" s="4">
        <v>2.72</v>
      </c>
      <c r="K657" s="4">
        <v>3.65</v>
      </c>
      <c r="L657" s="4">
        <v>182</v>
      </c>
      <c r="M657" s="4" t="s">
        <v>37</v>
      </c>
      <c r="N657" s="4" t="s">
        <v>19</v>
      </c>
      <c r="O657" s="4" t="s">
        <v>62</v>
      </c>
      <c r="P657" s="4" t="s">
        <v>71</v>
      </c>
    </row>
    <row r="658" spans="1:16" x14ac:dyDescent="0.3">
      <c r="A658" s="4">
        <v>2024</v>
      </c>
      <c r="B658" s="4" t="s">
        <v>47</v>
      </c>
      <c r="C658" s="4" t="s">
        <v>35</v>
      </c>
      <c r="D658" s="4" t="s">
        <v>43</v>
      </c>
      <c r="E658" s="4">
        <v>479</v>
      </c>
      <c r="F658" s="4">
        <v>380</v>
      </c>
      <c r="G658" s="4">
        <v>155</v>
      </c>
      <c r="H658" s="4">
        <v>182.02</v>
      </c>
      <c r="I658" s="4">
        <v>74.25</v>
      </c>
      <c r="J658" s="4">
        <v>107.78</v>
      </c>
      <c r="K658" s="4">
        <v>24.75</v>
      </c>
      <c r="L658" s="4">
        <v>168</v>
      </c>
      <c r="M658" s="4" t="s">
        <v>28</v>
      </c>
      <c r="N658" s="4" t="s">
        <v>24</v>
      </c>
      <c r="O658" s="4" t="s">
        <v>63</v>
      </c>
      <c r="P658" s="4" t="s">
        <v>72</v>
      </c>
    </row>
    <row r="659" spans="1:16" x14ac:dyDescent="0.3">
      <c r="A659" s="4">
        <v>2024</v>
      </c>
      <c r="B659" s="4" t="s">
        <v>15</v>
      </c>
      <c r="C659" s="4" t="s">
        <v>16</v>
      </c>
      <c r="D659" s="4" t="s">
        <v>56</v>
      </c>
      <c r="E659" s="4">
        <v>92</v>
      </c>
      <c r="F659" s="4">
        <v>427</v>
      </c>
      <c r="G659" s="4">
        <v>273</v>
      </c>
      <c r="H659" s="4">
        <v>39.28</v>
      </c>
      <c r="I659" s="4">
        <v>25.12</v>
      </c>
      <c r="J659" s="4">
        <v>14.17</v>
      </c>
      <c r="K659" s="4">
        <v>23.85</v>
      </c>
      <c r="L659" s="4">
        <v>46</v>
      </c>
      <c r="M659" s="4" t="s">
        <v>18</v>
      </c>
      <c r="N659" s="4" t="s">
        <v>24</v>
      </c>
      <c r="O659" s="4" t="s">
        <v>63</v>
      </c>
      <c r="P659" s="4" t="s">
        <v>74</v>
      </c>
    </row>
    <row r="660" spans="1:16" x14ac:dyDescent="0.3">
      <c r="A660" s="4">
        <v>2023</v>
      </c>
      <c r="B660" s="4" t="s">
        <v>45</v>
      </c>
      <c r="C660" s="4" t="s">
        <v>16</v>
      </c>
      <c r="D660" s="4" t="s">
        <v>56</v>
      </c>
      <c r="E660" s="4">
        <v>104</v>
      </c>
      <c r="F660" s="4">
        <v>431</v>
      </c>
      <c r="G660" s="4">
        <v>416</v>
      </c>
      <c r="H660" s="4">
        <v>44.82</v>
      </c>
      <c r="I660" s="4">
        <v>43.26</v>
      </c>
      <c r="J660" s="4">
        <v>1.56</v>
      </c>
      <c r="K660" s="4">
        <v>19.78</v>
      </c>
      <c r="L660" s="4">
        <v>80</v>
      </c>
      <c r="M660" s="4" t="s">
        <v>18</v>
      </c>
      <c r="N660" s="4" t="s">
        <v>19</v>
      </c>
      <c r="O660" s="4" t="s">
        <v>62</v>
      </c>
      <c r="P660" s="4" t="s">
        <v>71</v>
      </c>
    </row>
    <row r="661" spans="1:16" x14ac:dyDescent="0.3">
      <c r="A661" s="4">
        <v>2023</v>
      </c>
      <c r="B661" s="4" t="s">
        <v>57</v>
      </c>
      <c r="C661" s="4" t="s">
        <v>22</v>
      </c>
      <c r="D661" s="4" t="s">
        <v>59</v>
      </c>
      <c r="E661" s="4">
        <v>211</v>
      </c>
      <c r="F661" s="4">
        <v>481</v>
      </c>
      <c r="G661" s="4">
        <v>230</v>
      </c>
      <c r="H661" s="4">
        <v>101.49</v>
      </c>
      <c r="I661" s="4">
        <v>48.53</v>
      </c>
      <c r="J661" s="4">
        <v>52.96</v>
      </c>
      <c r="K661" s="4">
        <v>4.21</v>
      </c>
      <c r="L661" s="4">
        <v>281</v>
      </c>
      <c r="M661" s="4" t="s">
        <v>18</v>
      </c>
      <c r="N661" s="4" t="s">
        <v>38</v>
      </c>
      <c r="O661" s="4" t="s">
        <v>44</v>
      </c>
      <c r="P661" s="4" t="s">
        <v>76</v>
      </c>
    </row>
    <row r="662" spans="1:16" x14ac:dyDescent="0.3">
      <c r="A662" s="4">
        <v>2025</v>
      </c>
      <c r="B662" s="4" t="s">
        <v>41</v>
      </c>
      <c r="C662" s="4" t="s">
        <v>22</v>
      </c>
      <c r="D662" s="4" t="s">
        <v>59</v>
      </c>
      <c r="E662" s="4">
        <v>482</v>
      </c>
      <c r="F662" s="4">
        <v>304</v>
      </c>
      <c r="G662" s="4">
        <v>54</v>
      </c>
      <c r="H662" s="4">
        <v>146.53</v>
      </c>
      <c r="I662" s="4">
        <v>26.03</v>
      </c>
      <c r="J662" s="4">
        <v>120.5</v>
      </c>
      <c r="K662" s="4">
        <v>17.96</v>
      </c>
      <c r="L662" s="4">
        <v>170</v>
      </c>
      <c r="M662" s="4" t="s">
        <v>37</v>
      </c>
      <c r="N662" s="4" t="s">
        <v>24</v>
      </c>
      <c r="O662" s="4" t="s">
        <v>63</v>
      </c>
      <c r="P662" s="4" t="s">
        <v>73</v>
      </c>
    </row>
    <row r="663" spans="1:16" x14ac:dyDescent="0.3">
      <c r="A663" s="4">
        <v>2023</v>
      </c>
      <c r="B663" s="4" t="s">
        <v>21</v>
      </c>
      <c r="C663" s="4" t="s">
        <v>33</v>
      </c>
      <c r="D663" s="4" t="s">
        <v>48</v>
      </c>
      <c r="E663" s="4">
        <v>147</v>
      </c>
      <c r="F663" s="4">
        <v>412</v>
      </c>
      <c r="G663" s="4">
        <v>187</v>
      </c>
      <c r="H663" s="4">
        <v>60.56</v>
      </c>
      <c r="I663" s="4">
        <v>27.49</v>
      </c>
      <c r="J663" s="4">
        <v>33.08</v>
      </c>
      <c r="K663" s="4">
        <v>-7.1</v>
      </c>
      <c r="L663" s="4">
        <v>180</v>
      </c>
      <c r="M663" s="4" t="s">
        <v>28</v>
      </c>
      <c r="N663" s="4" t="s">
        <v>24</v>
      </c>
      <c r="O663" s="4" t="s">
        <v>63</v>
      </c>
      <c r="P663" s="4" t="s">
        <v>72</v>
      </c>
    </row>
    <row r="664" spans="1:16" x14ac:dyDescent="0.3">
      <c r="A664" s="4">
        <v>2025</v>
      </c>
      <c r="B664" s="4" t="s">
        <v>29</v>
      </c>
      <c r="C664" s="4" t="s">
        <v>26</v>
      </c>
      <c r="D664" s="4" t="s">
        <v>27</v>
      </c>
      <c r="E664" s="4">
        <v>441</v>
      </c>
      <c r="F664" s="4">
        <v>196</v>
      </c>
      <c r="G664" s="4">
        <v>145</v>
      </c>
      <c r="H664" s="4">
        <v>86.44</v>
      </c>
      <c r="I664" s="4">
        <v>63.95</v>
      </c>
      <c r="J664" s="4">
        <v>22.49</v>
      </c>
      <c r="K664" s="4">
        <v>-0.48</v>
      </c>
      <c r="L664" s="4">
        <v>37</v>
      </c>
      <c r="M664" s="4" t="s">
        <v>37</v>
      </c>
      <c r="N664" s="4" t="s">
        <v>24</v>
      </c>
      <c r="O664" s="4" t="s">
        <v>63</v>
      </c>
      <c r="P664" s="4" t="s">
        <v>75</v>
      </c>
    </row>
    <row r="665" spans="1:16" x14ac:dyDescent="0.3">
      <c r="A665" s="4">
        <v>2024</v>
      </c>
      <c r="B665" s="4" t="s">
        <v>21</v>
      </c>
      <c r="C665" s="4" t="s">
        <v>35</v>
      </c>
      <c r="D665" s="4" t="s">
        <v>40</v>
      </c>
      <c r="E665" s="4">
        <v>252</v>
      </c>
      <c r="F665" s="4">
        <v>106</v>
      </c>
      <c r="G665" s="4">
        <v>38</v>
      </c>
      <c r="H665" s="4">
        <v>26.71</v>
      </c>
      <c r="I665" s="4">
        <v>9.58</v>
      </c>
      <c r="J665" s="4">
        <v>17.14</v>
      </c>
      <c r="K665" s="4">
        <v>-0.18</v>
      </c>
      <c r="L665" s="4">
        <v>218</v>
      </c>
      <c r="M665" s="4" t="s">
        <v>37</v>
      </c>
      <c r="N665" s="4" t="s">
        <v>19</v>
      </c>
      <c r="O665" s="4" t="s">
        <v>62</v>
      </c>
      <c r="P665" s="4" t="s">
        <v>73</v>
      </c>
    </row>
    <row r="666" spans="1:16" x14ac:dyDescent="0.3">
      <c r="A666" s="4">
        <v>2023</v>
      </c>
      <c r="B666" s="4" t="s">
        <v>49</v>
      </c>
      <c r="C666" s="4" t="s">
        <v>33</v>
      </c>
      <c r="D666" s="4" t="s">
        <v>34</v>
      </c>
      <c r="E666" s="4">
        <v>246</v>
      </c>
      <c r="F666" s="4">
        <v>142</v>
      </c>
      <c r="G666" s="4">
        <v>115</v>
      </c>
      <c r="H666" s="4">
        <v>34.93</v>
      </c>
      <c r="I666" s="4">
        <v>28.29</v>
      </c>
      <c r="J666" s="4">
        <v>6.64</v>
      </c>
      <c r="K666" s="4">
        <v>16.48</v>
      </c>
      <c r="L666" s="4">
        <v>85</v>
      </c>
      <c r="M666" s="4" t="s">
        <v>37</v>
      </c>
      <c r="N666" s="4" t="s">
        <v>38</v>
      </c>
      <c r="O666" s="4" t="s">
        <v>44</v>
      </c>
      <c r="P666" s="4" t="s">
        <v>72</v>
      </c>
    </row>
    <row r="667" spans="1:16" x14ac:dyDescent="0.3">
      <c r="A667" s="4">
        <v>2023</v>
      </c>
      <c r="B667" s="4" t="s">
        <v>32</v>
      </c>
      <c r="C667" s="4" t="s">
        <v>33</v>
      </c>
      <c r="D667" s="4" t="s">
        <v>50</v>
      </c>
      <c r="E667" s="4">
        <v>194</v>
      </c>
      <c r="F667" s="4">
        <v>95</v>
      </c>
      <c r="G667" s="4">
        <v>84</v>
      </c>
      <c r="H667" s="4">
        <v>18.43</v>
      </c>
      <c r="I667" s="4">
        <v>16.3</v>
      </c>
      <c r="J667" s="4">
        <v>2.13</v>
      </c>
      <c r="K667" s="4">
        <v>19.84</v>
      </c>
      <c r="L667" s="4">
        <v>101</v>
      </c>
      <c r="M667" s="4" t="s">
        <v>18</v>
      </c>
      <c r="N667" s="4" t="s">
        <v>31</v>
      </c>
      <c r="O667" s="4" t="s">
        <v>42</v>
      </c>
      <c r="P667" s="4" t="s">
        <v>76</v>
      </c>
    </row>
    <row r="668" spans="1:16" x14ac:dyDescent="0.3">
      <c r="A668" s="4">
        <v>2024</v>
      </c>
      <c r="B668" s="4" t="s">
        <v>46</v>
      </c>
      <c r="C668" s="4" t="s">
        <v>33</v>
      </c>
      <c r="D668" s="4" t="s">
        <v>34</v>
      </c>
      <c r="E668" s="4">
        <v>168</v>
      </c>
      <c r="F668" s="4">
        <v>284</v>
      </c>
      <c r="G668" s="4">
        <v>153</v>
      </c>
      <c r="H668" s="4">
        <v>47.71</v>
      </c>
      <c r="I668" s="4">
        <v>25.7</v>
      </c>
      <c r="J668" s="4">
        <v>22.01</v>
      </c>
      <c r="K668" s="4">
        <v>9.4499999999999993</v>
      </c>
      <c r="L668" s="4">
        <v>37</v>
      </c>
      <c r="M668" s="4" t="s">
        <v>37</v>
      </c>
      <c r="N668" s="4" t="s">
        <v>38</v>
      </c>
      <c r="O668" s="4" t="s">
        <v>44</v>
      </c>
      <c r="P668" s="4" t="s">
        <v>76</v>
      </c>
    </row>
    <row r="669" spans="1:16" x14ac:dyDescent="0.3">
      <c r="A669" s="4">
        <v>2023</v>
      </c>
      <c r="B669" s="4" t="s">
        <v>49</v>
      </c>
      <c r="C669" s="4" t="s">
        <v>16</v>
      </c>
      <c r="D669" s="4" t="s">
        <v>56</v>
      </c>
      <c r="E669" s="4">
        <v>474</v>
      </c>
      <c r="F669" s="4">
        <v>56</v>
      </c>
      <c r="G669" s="4">
        <v>39</v>
      </c>
      <c r="H669" s="4">
        <v>26.54</v>
      </c>
      <c r="I669" s="4">
        <v>18.489999999999998</v>
      </c>
      <c r="J669" s="4">
        <v>8.06</v>
      </c>
      <c r="K669" s="4">
        <v>15.55</v>
      </c>
      <c r="L669" s="4">
        <v>59</v>
      </c>
      <c r="M669" s="4" t="s">
        <v>37</v>
      </c>
      <c r="N669" s="4" t="s">
        <v>19</v>
      </c>
      <c r="O669" s="4" t="s">
        <v>62</v>
      </c>
      <c r="P669" s="4" t="s">
        <v>73</v>
      </c>
    </row>
    <row r="670" spans="1:16" x14ac:dyDescent="0.3">
      <c r="A670" s="4">
        <v>2024</v>
      </c>
      <c r="B670" s="4" t="s">
        <v>32</v>
      </c>
      <c r="C670" s="4" t="s">
        <v>16</v>
      </c>
      <c r="D670" s="4" t="s">
        <v>30</v>
      </c>
      <c r="E670" s="4">
        <v>369</v>
      </c>
      <c r="F670" s="4">
        <v>154</v>
      </c>
      <c r="G670" s="4">
        <v>43</v>
      </c>
      <c r="H670" s="4">
        <v>56.83</v>
      </c>
      <c r="I670" s="4">
        <v>15.87</v>
      </c>
      <c r="J670" s="4">
        <v>40.96</v>
      </c>
      <c r="K670" s="4">
        <v>-0.31</v>
      </c>
      <c r="L670" s="4">
        <v>43</v>
      </c>
      <c r="M670" s="4" t="s">
        <v>28</v>
      </c>
      <c r="N670" s="4" t="s">
        <v>19</v>
      </c>
      <c r="O670" s="4" t="s">
        <v>62</v>
      </c>
      <c r="P670" s="4" t="s">
        <v>73</v>
      </c>
    </row>
    <row r="671" spans="1:16" x14ac:dyDescent="0.3">
      <c r="A671" s="4">
        <v>2025</v>
      </c>
      <c r="B671" s="4" t="s">
        <v>57</v>
      </c>
      <c r="C671" s="4" t="s">
        <v>33</v>
      </c>
      <c r="D671" s="4" t="s">
        <v>50</v>
      </c>
      <c r="E671" s="4">
        <v>122</v>
      </c>
      <c r="F671" s="4">
        <v>489</v>
      </c>
      <c r="G671" s="4">
        <v>437</v>
      </c>
      <c r="H671" s="4">
        <v>59.66</v>
      </c>
      <c r="I671" s="4">
        <v>53.31</v>
      </c>
      <c r="J671" s="4">
        <v>6.34</v>
      </c>
      <c r="K671" s="4">
        <v>8.08</v>
      </c>
      <c r="L671" s="4">
        <v>260</v>
      </c>
      <c r="M671" s="4" t="s">
        <v>18</v>
      </c>
      <c r="N671" s="4" t="s">
        <v>31</v>
      </c>
      <c r="O671" s="4" t="s">
        <v>42</v>
      </c>
      <c r="P671" s="4" t="s">
        <v>75</v>
      </c>
    </row>
    <row r="672" spans="1:16" x14ac:dyDescent="0.3">
      <c r="A672" s="4">
        <v>2024</v>
      </c>
      <c r="B672" s="4" t="s">
        <v>29</v>
      </c>
      <c r="C672" s="4" t="s">
        <v>35</v>
      </c>
      <c r="D672" s="4" t="s">
        <v>43</v>
      </c>
      <c r="E672" s="4">
        <v>144</v>
      </c>
      <c r="F672" s="4">
        <v>469</v>
      </c>
      <c r="G672" s="4">
        <v>107</v>
      </c>
      <c r="H672" s="4">
        <v>67.540000000000006</v>
      </c>
      <c r="I672" s="4">
        <v>15.41</v>
      </c>
      <c r="J672" s="4">
        <v>52.13</v>
      </c>
      <c r="K672" s="4">
        <v>22.4</v>
      </c>
      <c r="L672" s="4">
        <v>146</v>
      </c>
      <c r="M672" s="4" t="s">
        <v>18</v>
      </c>
      <c r="N672" s="4" t="s">
        <v>31</v>
      </c>
      <c r="O672" s="4" t="s">
        <v>42</v>
      </c>
      <c r="P672" s="4" t="s">
        <v>73</v>
      </c>
    </row>
    <row r="673" spans="1:16" x14ac:dyDescent="0.3">
      <c r="A673" s="4">
        <v>2025</v>
      </c>
      <c r="B673" s="4" t="s">
        <v>47</v>
      </c>
      <c r="C673" s="4" t="s">
        <v>35</v>
      </c>
      <c r="D673" s="4" t="s">
        <v>40</v>
      </c>
      <c r="E673" s="4">
        <v>247</v>
      </c>
      <c r="F673" s="4">
        <v>123</v>
      </c>
      <c r="G673" s="4">
        <v>81</v>
      </c>
      <c r="H673" s="4">
        <v>30.38</v>
      </c>
      <c r="I673" s="4">
        <v>20.010000000000002</v>
      </c>
      <c r="J673" s="4">
        <v>10.37</v>
      </c>
      <c r="K673" s="4">
        <v>-7.96</v>
      </c>
      <c r="L673" s="4">
        <v>87</v>
      </c>
      <c r="M673" s="4" t="s">
        <v>37</v>
      </c>
      <c r="N673" s="4" t="s">
        <v>19</v>
      </c>
      <c r="O673" s="4" t="s">
        <v>62</v>
      </c>
      <c r="P673" s="4" t="s">
        <v>73</v>
      </c>
    </row>
    <row r="674" spans="1:16" x14ac:dyDescent="0.3">
      <c r="A674" s="4">
        <v>2024</v>
      </c>
      <c r="B674" s="4" t="s">
        <v>15</v>
      </c>
      <c r="C674" s="4" t="s">
        <v>35</v>
      </c>
      <c r="D674" s="4" t="s">
        <v>43</v>
      </c>
      <c r="E674" s="4">
        <v>207</v>
      </c>
      <c r="F674" s="4">
        <v>485</v>
      </c>
      <c r="G674" s="4">
        <v>44</v>
      </c>
      <c r="H674" s="4">
        <v>100.39</v>
      </c>
      <c r="I674" s="4">
        <v>9.11</v>
      </c>
      <c r="J674" s="4">
        <v>91.29</v>
      </c>
      <c r="K674" s="4">
        <v>22.41</v>
      </c>
      <c r="L674" s="4">
        <v>31</v>
      </c>
      <c r="M674" s="4" t="s">
        <v>28</v>
      </c>
      <c r="N674" s="4" t="s">
        <v>38</v>
      </c>
      <c r="O674" s="4" t="s">
        <v>44</v>
      </c>
      <c r="P674" s="4" t="s">
        <v>71</v>
      </c>
    </row>
    <row r="675" spans="1:16" x14ac:dyDescent="0.3">
      <c r="A675" s="4">
        <v>2024</v>
      </c>
      <c r="B675" s="4" t="s">
        <v>51</v>
      </c>
      <c r="C675" s="4" t="s">
        <v>16</v>
      </c>
      <c r="D675" s="4" t="s">
        <v>30</v>
      </c>
      <c r="E675" s="4">
        <v>418</v>
      </c>
      <c r="F675" s="4">
        <v>231</v>
      </c>
      <c r="G675" s="4">
        <v>93</v>
      </c>
      <c r="H675" s="4">
        <v>96.56</v>
      </c>
      <c r="I675" s="4">
        <v>38.869999999999997</v>
      </c>
      <c r="J675" s="4">
        <v>57.68</v>
      </c>
      <c r="K675" s="4">
        <v>1.68</v>
      </c>
      <c r="L675" s="4">
        <v>160</v>
      </c>
      <c r="M675" s="4" t="s">
        <v>37</v>
      </c>
      <c r="N675" s="4" t="s">
        <v>38</v>
      </c>
      <c r="O675" s="4" t="s">
        <v>44</v>
      </c>
      <c r="P675" s="4" t="s">
        <v>75</v>
      </c>
    </row>
    <row r="676" spans="1:16" x14ac:dyDescent="0.3">
      <c r="A676" s="4">
        <v>2024</v>
      </c>
      <c r="B676" s="4" t="s">
        <v>32</v>
      </c>
      <c r="C676" s="4" t="s">
        <v>16</v>
      </c>
      <c r="D676" s="4" t="s">
        <v>56</v>
      </c>
      <c r="E676" s="4">
        <v>172</v>
      </c>
      <c r="F676" s="4">
        <v>480</v>
      </c>
      <c r="G676" s="4">
        <v>64</v>
      </c>
      <c r="H676" s="4">
        <v>82.56</v>
      </c>
      <c r="I676" s="4">
        <v>11.01</v>
      </c>
      <c r="J676" s="4">
        <v>71.55</v>
      </c>
      <c r="K676" s="4">
        <v>5.81</v>
      </c>
      <c r="L676" s="4">
        <v>207</v>
      </c>
      <c r="M676" s="4" t="s">
        <v>28</v>
      </c>
      <c r="N676" s="4" t="s">
        <v>24</v>
      </c>
      <c r="O676" s="4" t="s">
        <v>63</v>
      </c>
      <c r="P676" s="4" t="s">
        <v>71</v>
      </c>
    </row>
    <row r="677" spans="1:16" x14ac:dyDescent="0.3">
      <c r="A677" s="4">
        <v>2023</v>
      </c>
      <c r="B677" s="4" t="s">
        <v>41</v>
      </c>
      <c r="C677" s="4" t="s">
        <v>22</v>
      </c>
      <c r="D677" s="4" t="s">
        <v>23</v>
      </c>
      <c r="E677" s="4">
        <v>350</v>
      </c>
      <c r="F677" s="4">
        <v>345</v>
      </c>
      <c r="G677" s="4">
        <v>330</v>
      </c>
      <c r="H677" s="4">
        <v>120.75</v>
      </c>
      <c r="I677" s="4">
        <v>115.5</v>
      </c>
      <c r="J677" s="4">
        <v>5.25</v>
      </c>
      <c r="K677" s="4">
        <v>22.28</v>
      </c>
      <c r="L677" s="4">
        <v>32</v>
      </c>
      <c r="M677" s="4" t="s">
        <v>28</v>
      </c>
      <c r="N677" s="4" t="s">
        <v>19</v>
      </c>
      <c r="O677" s="4" t="s">
        <v>62</v>
      </c>
      <c r="P677" s="4" t="s">
        <v>75</v>
      </c>
    </row>
    <row r="678" spans="1:16" x14ac:dyDescent="0.3">
      <c r="A678" s="4">
        <v>2023</v>
      </c>
      <c r="B678" s="4" t="s">
        <v>51</v>
      </c>
      <c r="C678" s="4" t="s">
        <v>33</v>
      </c>
      <c r="D678" s="4" t="s">
        <v>50</v>
      </c>
      <c r="E678" s="4">
        <v>245</v>
      </c>
      <c r="F678" s="4">
        <v>272</v>
      </c>
      <c r="G678" s="4">
        <v>100</v>
      </c>
      <c r="H678" s="4">
        <v>66.64</v>
      </c>
      <c r="I678" s="4">
        <v>24.5</v>
      </c>
      <c r="J678" s="4">
        <v>42.14</v>
      </c>
      <c r="K678" s="4">
        <v>9.4600000000000009</v>
      </c>
      <c r="L678" s="4">
        <v>115</v>
      </c>
      <c r="M678" s="4" t="s">
        <v>18</v>
      </c>
      <c r="N678" s="4" t="s">
        <v>24</v>
      </c>
      <c r="O678" s="4" t="s">
        <v>63</v>
      </c>
      <c r="P678" s="4" t="s">
        <v>74</v>
      </c>
    </row>
    <row r="679" spans="1:16" x14ac:dyDescent="0.3">
      <c r="A679" s="4">
        <v>2024</v>
      </c>
      <c r="B679" s="4" t="s">
        <v>41</v>
      </c>
      <c r="C679" s="4" t="s">
        <v>33</v>
      </c>
      <c r="D679" s="4" t="s">
        <v>50</v>
      </c>
      <c r="E679" s="4">
        <v>141</v>
      </c>
      <c r="F679" s="4">
        <v>280</v>
      </c>
      <c r="G679" s="4">
        <v>246</v>
      </c>
      <c r="H679" s="4">
        <v>39.479999999999997</v>
      </c>
      <c r="I679" s="4">
        <v>34.69</v>
      </c>
      <c r="J679" s="4">
        <v>4.79</v>
      </c>
      <c r="K679" s="4">
        <v>13.29</v>
      </c>
      <c r="L679" s="4">
        <v>46</v>
      </c>
      <c r="M679" s="4" t="s">
        <v>18</v>
      </c>
      <c r="N679" s="4" t="s">
        <v>24</v>
      </c>
      <c r="O679" s="4" t="s">
        <v>63</v>
      </c>
      <c r="P679" s="4" t="s">
        <v>75</v>
      </c>
    </row>
    <row r="680" spans="1:16" x14ac:dyDescent="0.3">
      <c r="A680" s="4">
        <v>2023</v>
      </c>
      <c r="B680" s="4" t="s">
        <v>29</v>
      </c>
      <c r="C680" s="4" t="s">
        <v>33</v>
      </c>
      <c r="D680" s="4" t="s">
        <v>54</v>
      </c>
      <c r="E680" s="4">
        <v>51</v>
      </c>
      <c r="F680" s="4">
        <v>426</v>
      </c>
      <c r="G680" s="4">
        <v>122</v>
      </c>
      <c r="H680" s="4">
        <v>21.73</v>
      </c>
      <c r="I680" s="4">
        <v>6.22</v>
      </c>
      <c r="J680" s="4">
        <v>15.5</v>
      </c>
      <c r="K680" s="4">
        <v>-6.88</v>
      </c>
      <c r="L680" s="4">
        <v>38</v>
      </c>
      <c r="M680" s="4" t="s">
        <v>28</v>
      </c>
      <c r="N680" s="4" t="s">
        <v>19</v>
      </c>
      <c r="O680" s="4" t="s">
        <v>62</v>
      </c>
      <c r="P680" s="4" t="s">
        <v>73</v>
      </c>
    </row>
    <row r="681" spans="1:16" x14ac:dyDescent="0.3">
      <c r="A681" s="4">
        <v>2024</v>
      </c>
      <c r="B681" s="4" t="s">
        <v>32</v>
      </c>
      <c r="C681" s="4" t="s">
        <v>33</v>
      </c>
      <c r="D681" s="4" t="s">
        <v>54</v>
      </c>
      <c r="E681" s="4">
        <v>452</v>
      </c>
      <c r="F681" s="4">
        <v>486</v>
      </c>
      <c r="G681" s="4">
        <v>234</v>
      </c>
      <c r="H681" s="4">
        <v>219.67</v>
      </c>
      <c r="I681" s="4">
        <v>105.77</v>
      </c>
      <c r="J681" s="4">
        <v>113.9</v>
      </c>
      <c r="K681" s="4">
        <v>20.61</v>
      </c>
      <c r="L681" s="4">
        <v>268</v>
      </c>
      <c r="M681" s="4" t="s">
        <v>37</v>
      </c>
      <c r="N681" s="4" t="s">
        <v>24</v>
      </c>
      <c r="O681" s="4" t="s">
        <v>63</v>
      </c>
      <c r="P681" s="4" t="s">
        <v>71</v>
      </c>
    </row>
    <row r="682" spans="1:16" x14ac:dyDescent="0.3">
      <c r="A682" s="4">
        <v>2023</v>
      </c>
      <c r="B682" s="4" t="s">
        <v>57</v>
      </c>
      <c r="C682" s="4" t="s">
        <v>26</v>
      </c>
      <c r="D682" s="4" t="s">
        <v>58</v>
      </c>
      <c r="E682" s="4">
        <v>490</v>
      </c>
      <c r="F682" s="4">
        <v>281</v>
      </c>
      <c r="G682" s="4">
        <v>138</v>
      </c>
      <c r="H682" s="4">
        <v>137.69</v>
      </c>
      <c r="I682" s="4">
        <v>67.62</v>
      </c>
      <c r="J682" s="4">
        <v>70.069999999999993</v>
      </c>
      <c r="K682" s="4">
        <v>17.2</v>
      </c>
      <c r="L682" s="4">
        <v>180</v>
      </c>
      <c r="M682" s="4" t="s">
        <v>37</v>
      </c>
      <c r="N682" s="4" t="s">
        <v>24</v>
      </c>
      <c r="O682" s="4" t="s">
        <v>63</v>
      </c>
      <c r="P682" s="4" t="s">
        <v>76</v>
      </c>
    </row>
    <row r="683" spans="1:16" x14ac:dyDescent="0.3">
      <c r="A683" s="4">
        <v>2024</v>
      </c>
      <c r="B683" s="4" t="s">
        <v>46</v>
      </c>
      <c r="C683" s="4" t="s">
        <v>16</v>
      </c>
      <c r="D683" s="4" t="s">
        <v>56</v>
      </c>
      <c r="E683" s="4">
        <v>287</v>
      </c>
      <c r="F683" s="4">
        <v>167</v>
      </c>
      <c r="G683" s="4">
        <v>106</v>
      </c>
      <c r="H683" s="4">
        <v>47.93</v>
      </c>
      <c r="I683" s="4">
        <v>30.42</v>
      </c>
      <c r="J683" s="4">
        <v>17.510000000000002</v>
      </c>
      <c r="K683" s="4">
        <v>19.45</v>
      </c>
      <c r="L683" s="4">
        <v>220</v>
      </c>
      <c r="M683" s="4" t="s">
        <v>28</v>
      </c>
      <c r="N683" s="4" t="s">
        <v>19</v>
      </c>
      <c r="O683" s="4" t="s">
        <v>62</v>
      </c>
      <c r="P683" s="4" t="s">
        <v>72</v>
      </c>
    </row>
    <row r="684" spans="1:16" x14ac:dyDescent="0.3">
      <c r="A684" s="4">
        <v>2023</v>
      </c>
      <c r="B684" s="4" t="s">
        <v>32</v>
      </c>
      <c r="C684" s="4" t="s">
        <v>26</v>
      </c>
      <c r="D684" s="4" t="s">
        <v>58</v>
      </c>
      <c r="E684" s="4">
        <v>476</v>
      </c>
      <c r="F684" s="4">
        <v>433</v>
      </c>
      <c r="G684" s="4">
        <v>334</v>
      </c>
      <c r="H684" s="4">
        <v>206.11</v>
      </c>
      <c r="I684" s="4">
        <v>158.97999999999999</v>
      </c>
      <c r="J684" s="4">
        <v>47.12</v>
      </c>
      <c r="K684" s="4">
        <v>19.23</v>
      </c>
      <c r="L684" s="4">
        <v>270</v>
      </c>
      <c r="M684" s="4" t="s">
        <v>37</v>
      </c>
      <c r="N684" s="4" t="s">
        <v>24</v>
      </c>
      <c r="O684" s="4" t="s">
        <v>63</v>
      </c>
      <c r="P684" s="4" t="s">
        <v>75</v>
      </c>
    </row>
    <row r="685" spans="1:16" x14ac:dyDescent="0.3">
      <c r="A685" s="4">
        <v>2024</v>
      </c>
      <c r="B685" s="4" t="s">
        <v>21</v>
      </c>
      <c r="C685" s="4" t="s">
        <v>35</v>
      </c>
      <c r="D685" s="4" t="s">
        <v>40</v>
      </c>
      <c r="E685" s="4">
        <v>288</v>
      </c>
      <c r="F685" s="4">
        <v>52</v>
      </c>
      <c r="G685" s="4">
        <v>34</v>
      </c>
      <c r="H685" s="4">
        <v>14.98</v>
      </c>
      <c r="I685" s="4">
        <v>9.7899999999999991</v>
      </c>
      <c r="J685" s="4">
        <v>5.18</v>
      </c>
      <c r="K685" s="4">
        <v>-3.05</v>
      </c>
      <c r="L685" s="4">
        <v>103</v>
      </c>
      <c r="M685" s="4" t="s">
        <v>37</v>
      </c>
      <c r="N685" s="4" t="s">
        <v>24</v>
      </c>
      <c r="O685" s="4" t="s">
        <v>63</v>
      </c>
      <c r="P685" s="4" t="s">
        <v>76</v>
      </c>
    </row>
    <row r="686" spans="1:16" x14ac:dyDescent="0.3">
      <c r="A686" s="4">
        <v>2024</v>
      </c>
      <c r="B686" s="4" t="s">
        <v>32</v>
      </c>
      <c r="C686" s="4" t="s">
        <v>26</v>
      </c>
      <c r="D686" s="4" t="s">
        <v>27</v>
      </c>
      <c r="E686" s="4">
        <v>144</v>
      </c>
      <c r="F686" s="4">
        <v>240</v>
      </c>
      <c r="G686" s="4">
        <v>44</v>
      </c>
      <c r="H686" s="4">
        <v>34.56</v>
      </c>
      <c r="I686" s="4">
        <v>6.34</v>
      </c>
      <c r="J686" s="4">
        <v>28.22</v>
      </c>
      <c r="K686" s="4">
        <v>23.06</v>
      </c>
      <c r="L686" s="4">
        <v>293</v>
      </c>
      <c r="M686" s="4" t="s">
        <v>28</v>
      </c>
      <c r="N686" s="4" t="s">
        <v>38</v>
      </c>
      <c r="O686" s="4" t="s">
        <v>44</v>
      </c>
      <c r="P686" s="4" t="s">
        <v>73</v>
      </c>
    </row>
    <row r="687" spans="1:16" x14ac:dyDescent="0.3">
      <c r="A687" s="4">
        <v>2024</v>
      </c>
      <c r="B687" s="4" t="s">
        <v>32</v>
      </c>
      <c r="C687" s="4" t="s">
        <v>22</v>
      </c>
      <c r="D687" s="4" t="s">
        <v>59</v>
      </c>
      <c r="E687" s="4">
        <v>242</v>
      </c>
      <c r="F687" s="4">
        <v>437</v>
      </c>
      <c r="G687" s="4">
        <v>325</v>
      </c>
      <c r="H687" s="4">
        <v>105.75</v>
      </c>
      <c r="I687" s="4">
        <v>78.650000000000006</v>
      </c>
      <c r="J687" s="4">
        <v>27.1</v>
      </c>
      <c r="K687" s="4">
        <v>6.53</v>
      </c>
      <c r="L687" s="4">
        <v>138</v>
      </c>
      <c r="M687" s="4" t="s">
        <v>28</v>
      </c>
      <c r="N687" s="4" t="s">
        <v>31</v>
      </c>
      <c r="O687" s="4" t="s">
        <v>42</v>
      </c>
      <c r="P687" s="4" t="s">
        <v>75</v>
      </c>
    </row>
    <row r="688" spans="1:16" x14ac:dyDescent="0.3">
      <c r="A688" s="4">
        <v>2023</v>
      </c>
      <c r="B688" s="4" t="s">
        <v>21</v>
      </c>
      <c r="C688" s="4" t="s">
        <v>22</v>
      </c>
      <c r="D688" s="4" t="s">
        <v>53</v>
      </c>
      <c r="E688" s="4">
        <v>180</v>
      </c>
      <c r="F688" s="4">
        <v>488</v>
      </c>
      <c r="G688" s="4">
        <v>31</v>
      </c>
      <c r="H688" s="4">
        <v>87.84</v>
      </c>
      <c r="I688" s="4">
        <v>5.58</v>
      </c>
      <c r="J688" s="4">
        <v>82.26</v>
      </c>
      <c r="K688" s="4">
        <v>18.350000000000001</v>
      </c>
      <c r="L688" s="4">
        <v>121</v>
      </c>
      <c r="M688" s="4" t="s">
        <v>28</v>
      </c>
      <c r="N688" s="4" t="s">
        <v>31</v>
      </c>
      <c r="O688" s="4" t="s">
        <v>42</v>
      </c>
      <c r="P688" s="4" t="s">
        <v>74</v>
      </c>
    </row>
    <row r="689" spans="1:16" x14ac:dyDescent="0.3">
      <c r="A689" s="4">
        <v>2023</v>
      </c>
      <c r="B689" s="4" t="s">
        <v>29</v>
      </c>
      <c r="C689" s="4" t="s">
        <v>35</v>
      </c>
      <c r="D689" s="4" t="s">
        <v>40</v>
      </c>
      <c r="E689" s="4">
        <v>191</v>
      </c>
      <c r="F689" s="4">
        <v>343</v>
      </c>
      <c r="G689" s="4">
        <v>79</v>
      </c>
      <c r="H689" s="4">
        <v>65.510000000000005</v>
      </c>
      <c r="I689" s="4">
        <v>15.09</v>
      </c>
      <c r="J689" s="4">
        <v>50.42</v>
      </c>
      <c r="K689" s="4">
        <v>-0.01</v>
      </c>
      <c r="L689" s="4">
        <v>168</v>
      </c>
      <c r="M689" s="4" t="s">
        <v>18</v>
      </c>
      <c r="N689" s="4" t="s">
        <v>38</v>
      </c>
      <c r="O689" s="4" t="s">
        <v>44</v>
      </c>
      <c r="P689" s="4" t="s">
        <v>71</v>
      </c>
    </row>
    <row r="690" spans="1:16" x14ac:dyDescent="0.3">
      <c r="A690" s="4">
        <v>2023</v>
      </c>
      <c r="B690" s="4" t="s">
        <v>39</v>
      </c>
      <c r="C690" s="4" t="s">
        <v>26</v>
      </c>
      <c r="D690" s="4" t="s">
        <v>52</v>
      </c>
      <c r="E690" s="4">
        <v>214</v>
      </c>
      <c r="F690" s="4">
        <v>265</v>
      </c>
      <c r="G690" s="4">
        <v>76</v>
      </c>
      <c r="H690" s="4">
        <v>56.71</v>
      </c>
      <c r="I690" s="4">
        <v>16.260000000000002</v>
      </c>
      <c r="J690" s="4">
        <v>40.450000000000003</v>
      </c>
      <c r="K690" s="4">
        <v>-1.01</v>
      </c>
      <c r="L690" s="4">
        <v>72</v>
      </c>
      <c r="M690" s="4" t="s">
        <v>37</v>
      </c>
      <c r="N690" s="4" t="s">
        <v>19</v>
      </c>
      <c r="O690" s="4" t="s">
        <v>62</v>
      </c>
      <c r="P690" s="4" t="s">
        <v>75</v>
      </c>
    </row>
    <row r="691" spans="1:16" x14ac:dyDescent="0.3">
      <c r="A691" s="4">
        <v>2024</v>
      </c>
      <c r="B691" s="4" t="s">
        <v>46</v>
      </c>
      <c r="C691" s="4" t="s">
        <v>22</v>
      </c>
      <c r="D691" s="4" t="s">
        <v>53</v>
      </c>
      <c r="E691" s="4">
        <v>166</v>
      </c>
      <c r="F691" s="4">
        <v>110</v>
      </c>
      <c r="G691" s="4">
        <v>100</v>
      </c>
      <c r="H691" s="4">
        <v>18.260000000000002</v>
      </c>
      <c r="I691" s="4">
        <v>16.600000000000001</v>
      </c>
      <c r="J691" s="4">
        <v>1.66</v>
      </c>
      <c r="K691" s="4">
        <v>-9.32</v>
      </c>
      <c r="L691" s="4">
        <v>29</v>
      </c>
      <c r="M691" s="4" t="s">
        <v>28</v>
      </c>
      <c r="N691" s="4" t="s">
        <v>24</v>
      </c>
      <c r="O691" s="4" t="s">
        <v>63</v>
      </c>
      <c r="P691" s="4" t="s">
        <v>74</v>
      </c>
    </row>
    <row r="692" spans="1:16" x14ac:dyDescent="0.3">
      <c r="A692" s="4">
        <v>2023</v>
      </c>
      <c r="B692" s="4" t="s">
        <v>21</v>
      </c>
      <c r="C692" s="4" t="s">
        <v>22</v>
      </c>
      <c r="D692" s="4" t="s">
        <v>55</v>
      </c>
      <c r="E692" s="4">
        <v>202</v>
      </c>
      <c r="F692" s="4">
        <v>314</v>
      </c>
      <c r="G692" s="4">
        <v>73</v>
      </c>
      <c r="H692" s="4">
        <v>63.43</v>
      </c>
      <c r="I692" s="4">
        <v>14.75</v>
      </c>
      <c r="J692" s="4">
        <v>48.68</v>
      </c>
      <c r="K692" s="4">
        <v>24.09</v>
      </c>
      <c r="L692" s="4">
        <v>181</v>
      </c>
      <c r="M692" s="4" t="s">
        <v>37</v>
      </c>
      <c r="N692" s="4" t="s">
        <v>19</v>
      </c>
      <c r="O692" s="4" t="s">
        <v>62</v>
      </c>
      <c r="P692" s="4" t="s">
        <v>76</v>
      </c>
    </row>
    <row r="693" spans="1:16" x14ac:dyDescent="0.3">
      <c r="A693" s="4">
        <v>2023</v>
      </c>
      <c r="B693" s="4" t="s">
        <v>29</v>
      </c>
      <c r="C693" s="4" t="s">
        <v>26</v>
      </c>
      <c r="D693" s="4" t="s">
        <v>27</v>
      </c>
      <c r="E693" s="4">
        <v>321</v>
      </c>
      <c r="F693" s="4">
        <v>131</v>
      </c>
      <c r="G693" s="4">
        <v>44</v>
      </c>
      <c r="H693" s="4">
        <v>42.05</v>
      </c>
      <c r="I693" s="4">
        <v>14.12</v>
      </c>
      <c r="J693" s="4">
        <v>27.93</v>
      </c>
      <c r="K693" s="4">
        <v>21.09</v>
      </c>
      <c r="L693" s="4">
        <v>129</v>
      </c>
      <c r="M693" s="4" t="s">
        <v>28</v>
      </c>
      <c r="N693" s="4" t="s">
        <v>24</v>
      </c>
      <c r="O693" s="4" t="s">
        <v>63</v>
      </c>
      <c r="P693" s="4" t="s">
        <v>75</v>
      </c>
    </row>
    <row r="694" spans="1:16" x14ac:dyDescent="0.3">
      <c r="A694" s="4">
        <v>2023</v>
      </c>
      <c r="B694" s="4" t="s">
        <v>46</v>
      </c>
      <c r="C694" s="4" t="s">
        <v>35</v>
      </c>
      <c r="D694" s="4" t="s">
        <v>40</v>
      </c>
      <c r="E694" s="4">
        <v>348</v>
      </c>
      <c r="F694" s="4">
        <v>208</v>
      </c>
      <c r="G694" s="4">
        <v>151</v>
      </c>
      <c r="H694" s="4">
        <v>72.38</v>
      </c>
      <c r="I694" s="4">
        <v>52.55</v>
      </c>
      <c r="J694" s="4">
        <v>19.84</v>
      </c>
      <c r="K694" s="4">
        <v>18.239999999999998</v>
      </c>
      <c r="L694" s="4">
        <v>76</v>
      </c>
      <c r="M694" s="4" t="s">
        <v>37</v>
      </c>
      <c r="N694" s="4" t="s">
        <v>19</v>
      </c>
      <c r="O694" s="4" t="s">
        <v>62</v>
      </c>
      <c r="P694" s="4" t="s">
        <v>76</v>
      </c>
    </row>
    <row r="695" spans="1:16" x14ac:dyDescent="0.3">
      <c r="A695" s="4">
        <v>2025</v>
      </c>
      <c r="B695" s="4" t="s">
        <v>51</v>
      </c>
      <c r="C695" s="4" t="s">
        <v>35</v>
      </c>
      <c r="D695" s="4" t="s">
        <v>40</v>
      </c>
      <c r="E695" s="4">
        <v>481</v>
      </c>
      <c r="F695" s="4">
        <v>148</v>
      </c>
      <c r="G695" s="4">
        <v>108</v>
      </c>
      <c r="H695" s="4">
        <v>71.19</v>
      </c>
      <c r="I695" s="4">
        <v>51.95</v>
      </c>
      <c r="J695" s="4">
        <v>19.239999999999998</v>
      </c>
      <c r="K695" s="4">
        <v>22.81</v>
      </c>
      <c r="L695" s="4">
        <v>66</v>
      </c>
      <c r="M695" s="4" t="s">
        <v>37</v>
      </c>
      <c r="N695" s="4" t="s">
        <v>19</v>
      </c>
      <c r="O695" s="4" t="s">
        <v>62</v>
      </c>
      <c r="P695" s="4" t="s">
        <v>71</v>
      </c>
    </row>
    <row r="696" spans="1:16" x14ac:dyDescent="0.3">
      <c r="A696" s="4">
        <v>2025</v>
      </c>
      <c r="B696" s="4" t="s">
        <v>39</v>
      </c>
      <c r="C696" s="4" t="s">
        <v>16</v>
      </c>
      <c r="D696" s="4" t="s">
        <v>56</v>
      </c>
      <c r="E696" s="4">
        <v>485</v>
      </c>
      <c r="F696" s="4">
        <v>278</v>
      </c>
      <c r="G696" s="4">
        <v>238</v>
      </c>
      <c r="H696" s="4">
        <v>134.83000000000001</v>
      </c>
      <c r="I696" s="4">
        <v>115.43</v>
      </c>
      <c r="J696" s="4">
        <v>19.399999999999999</v>
      </c>
      <c r="K696" s="4">
        <v>14.19</v>
      </c>
      <c r="L696" s="4">
        <v>169</v>
      </c>
      <c r="M696" s="4" t="s">
        <v>28</v>
      </c>
      <c r="N696" s="4" t="s">
        <v>24</v>
      </c>
      <c r="O696" s="4" t="s">
        <v>63</v>
      </c>
      <c r="P696" s="4" t="s">
        <v>74</v>
      </c>
    </row>
    <row r="697" spans="1:16" x14ac:dyDescent="0.3">
      <c r="A697" s="4">
        <v>2023</v>
      </c>
      <c r="B697" s="4" t="s">
        <v>51</v>
      </c>
      <c r="C697" s="4" t="s">
        <v>35</v>
      </c>
      <c r="D697" s="4" t="s">
        <v>43</v>
      </c>
      <c r="E697" s="4">
        <v>99</v>
      </c>
      <c r="F697" s="4">
        <v>270</v>
      </c>
      <c r="G697" s="4">
        <v>163</v>
      </c>
      <c r="H697" s="4">
        <v>26.73</v>
      </c>
      <c r="I697" s="4">
        <v>16.14</v>
      </c>
      <c r="J697" s="4">
        <v>10.59</v>
      </c>
      <c r="K697" s="4">
        <v>23.63</v>
      </c>
      <c r="L697" s="4">
        <v>92</v>
      </c>
      <c r="M697" s="4" t="s">
        <v>37</v>
      </c>
      <c r="N697" s="4" t="s">
        <v>19</v>
      </c>
      <c r="O697" s="4" t="s">
        <v>62</v>
      </c>
      <c r="P697" s="4" t="s">
        <v>71</v>
      </c>
    </row>
    <row r="698" spans="1:16" x14ac:dyDescent="0.3">
      <c r="A698" s="4">
        <v>2025</v>
      </c>
      <c r="B698" s="4" t="s">
        <v>45</v>
      </c>
      <c r="C698" s="4" t="s">
        <v>22</v>
      </c>
      <c r="D698" s="4" t="s">
        <v>55</v>
      </c>
      <c r="E698" s="4">
        <v>429</v>
      </c>
      <c r="F698" s="4">
        <v>153</v>
      </c>
      <c r="G698" s="4">
        <v>69</v>
      </c>
      <c r="H698" s="4">
        <v>65.64</v>
      </c>
      <c r="I698" s="4">
        <v>29.6</v>
      </c>
      <c r="J698" s="4">
        <v>36.04</v>
      </c>
      <c r="K698" s="4">
        <v>7.68</v>
      </c>
      <c r="L698" s="4">
        <v>150</v>
      </c>
      <c r="M698" s="4" t="s">
        <v>37</v>
      </c>
      <c r="N698" s="4" t="s">
        <v>31</v>
      </c>
      <c r="O698" s="4" t="s">
        <v>42</v>
      </c>
      <c r="P698" s="4" t="s">
        <v>76</v>
      </c>
    </row>
    <row r="699" spans="1:16" x14ac:dyDescent="0.3">
      <c r="A699" s="4">
        <v>2024</v>
      </c>
      <c r="B699" s="4" t="s">
        <v>21</v>
      </c>
      <c r="C699" s="4" t="s">
        <v>22</v>
      </c>
      <c r="D699" s="4" t="s">
        <v>23</v>
      </c>
      <c r="E699" s="4">
        <v>392</v>
      </c>
      <c r="F699" s="4">
        <v>322</v>
      </c>
      <c r="G699" s="4">
        <v>92</v>
      </c>
      <c r="H699" s="4">
        <v>126.22</v>
      </c>
      <c r="I699" s="4">
        <v>36.06</v>
      </c>
      <c r="J699" s="4">
        <v>90.16</v>
      </c>
      <c r="K699" s="4">
        <v>18.36</v>
      </c>
      <c r="L699" s="4">
        <v>108</v>
      </c>
      <c r="M699" s="4" t="s">
        <v>28</v>
      </c>
      <c r="N699" s="4" t="s">
        <v>24</v>
      </c>
      <c r="O699" s="4" t="s">
        <v>63</v>
      </c>
      <c r="P699" s="4" t="s">
        <v>74</v>
      </c>
    </row>
    <row r="700" spans="1:16" x14ac:dyDescent="0.3">
      <c r="A700" s="4">
        <v>2024</v>
      </c>
      <c r="B700" s="4" t="s">
        <v>45</v>
      </c>
      <c r="C700" s="4" t="s">
        <v>26</v>
      </c>
      <c r="D700" s="4" t="s">
        <v>52</v>
      </c>
      <c r="E700" s="4">
        <v>218</v>
      </c>
      <c r="F700" s="4">
        <v>89</v>
      </c>
      <c r="G700" s="4">
        <v>39</v>
      </c>
      <c r="H700" s="4">
        <v>19.399999999999999</v>
      </c>
      <c r="I700" s="4">
        <v>8.5</v>
      </c>
      <c r="J700" s="4">
        <v>10.9</v>
      </c>
      <c r="K700" s="4">
        <v>1.17</v>
      </c>
      <c r="L700" s="4">
        <v>51</v>
      </c>
      <c r="M700" s="4" t="s">
        <v>28</v>
      </c>
      <c r="N700" s="4" t="s">
        <v>24</v>
      </c>
      <c r="O700" s="4" t="s">
        <v>63</v>
      </c>
      <c r="P700" s="4" t="s">
        <v>75</v>
      </c>
    </row>
    <row r="701" spans="1:16" x14ac:dyDescent="0.3">
      <c r="A701" s="4">
        <v>2024</v>
      </c>
      <c r="B701" s="4" t="s">
        <v>29</v>
      </c>
      <c r="C701" s="4" t="s">
        <v>26</v>
      </c>
      <c r="D701" s="4" t="s">
        <v>27</v>
      </c>
      <c r="E701" s="4">
        <v>256</v>
      </c>
      <c r="F701" s="4">
        <v>311</v>
      </c>
      <c r="G701" s="4">
        <v>289</v>
      </c>
      <c r="H701" s="4">
        <v>79.62</v>
      </c>
      <c r="I701" s="4">
        <v>73.98</v>
      </c>
      <c r="J701" s="4">
        <v>5.63</v>
      </c>
      <c r="K701" s="4">
        <v>21.2</v>
      </c>
      <c r="L701" s="4">
        <v>259</v>
      </c>
      <c r="M701" s="4" t="s">
        <v>37</v>
      </c>
      <c r="N701" s="4" t="s">
        <v>24</v>
      </c>
      <c r="O701" s="4" t="s">
        <v>63</v>
      </c>
      <c r="P701" s="4" t="s">
        <v>72</v>
      </c>
    </row>
    <row r="702" spans="1:16" x14ac:dyDescent="0.3">
      <c r="A702" s="4">
        <v>2024</v>
      </c>
      <c r="B702" s="4" t="s">
        <v>41</v>
      </c>
      <c r="C702" s="4" t="s">
        <v>33</v>
      </c>
      <c r="D702" s="4" t="s">
        <v>48</v>
      </c>
      <c r="E702" s="4">
        <v>191</v>
      </c>
      <c r="F702" s="4">
        <v>452</v>
      </c>
      <c r="G702" s="4">
        <v>330</v>
      </c>
      <c r="H702" s="4">
        <v>86.33</v>
      </c>
      <c r="I702" s="4">
        <v>63.03</v>
      </c>
      <c r="J702" s="4">
        <v>23.3</v>
      </c>
      <c r="K702" s="4">
        <v>-5.27</v>
      </c>
      <c r="L702" s="4">
        <v>265</v>
      </c>
      <c r="M702" s="4" t="s">
        <v>18</v>
      </c>
      <c r="N702" s="4" t="s">
        <v>31</v>
      </c>
      <c r="O702" s="4" t="s">
        <v>42</v>
      </c>
      <c r="P702" s="4" t="s">
        <v>76</v>
      </c>
    </row>
    <row r="703" spans="1:16" x14ac:dyDescent="0.3">
      <c r="A703" s="4">
        <v>2024</v>
      </c>
      <c r="B703" s="4" t="s">
        <v>21</v>
      </c>
      <c r="C703" s="4" t="s">
        <v>16</v>
      </c>
      <c r="D703" s="4" t="s">
        <v>17</v>
      </c>
      <c r="E703" s="4">
        <v>72</v>
      </c>
      <c r="F703" s="4">
        <v>311</v>
      </c>
      <c r="G703" s="4">
        <v>85</v>
      </c>
      <c r="H703" s="4">
        <v>22.39</v>
      </c>
      <c r="I703" s="4">
        <v>6.12</v>
      </c>
      <c r="J703" s="4">
        <v>16.27</v>
      </c>
      <c r="K703" s="4">
        <v>-1.69</v>
      </c>
      <c r="L703" s="4">
        <v>141</v>
      </c>
      <c r="M703" s="4" t="s">
        <v>18</v>
      </c>
      <c r="N703" s="4" t="s">
        <v>31</v>
      </c>
      <c r="O703" s="4" t="s">
        <v>42</v>
      </c>
      <c r="P703" s="4" t="s">
        <v>76</v>
      </c>
    </row>
    <row r="704" spans="1:16" x14ac:dyDescent="0.3">
      <c r="A704" s="4">
        <v>2025</v>
      </c>
      <c r="B704" s="4" t="s">
        <v>29</v>
      </c>
      <c r="C704" s="4" t="s">
        <v>26</v>
      </c>
      <c r="D704" s="4" t="s">
        <v>27</v>
      </c>
      <c r="E704" s="4">
        <v>248</v>
      </c>
      <c r="F704" s="4">
        <v>277</v>
      </c>
      <c r="G704" s="4">
        <v>85</v>
      </c>
      <c r="H704" s="4">
        <v>68.7</v>
      </c>
      <c r="I704" s="4">
        <v>21.08</v>
      </c>
      <c r="J704" s="4">
        <v>47.62</v>
      </c>
      <c r="K704" s="4">
        <v>2</v>
      </c>
      <c r="L704" s="4">
        <v>200</v>
      </c>
      <c r="M704" s="4" t="s">
        <v>28</v>
      </c>
      <c r="N704" s="4" t="s">
        <v>38</v>
      </c>
      <c r="O704" s="4" t="s">
        <v>44</v>
      </c>
      <c r="P704" s="4" t="s">
        <v>72</v>
      </c>
    </row>
    <row r="705" spans="1:16" x14ac:dyDescent="0.3">
      <c r="A705" s="4">
        <v>2025</v>
      </c>
      <c r="B705" s="4" t="s">
        <v>49</v>
      </c>
      <c r="C705" s="4" t="s">
        <v>16</v>
      </c>
      <c r="D705" s="4" t="s">
        <v>17</v>
      </c>
      <c r="E705" s="4">
        <v>132</v>
      </c>
      <c r="F705" s="4">
        <v>336</v>
      </c>
      <c r="G705" s="4">
        <v>241</v>
      </c>
      <c r="H705" s="4">
        <v>44.35</v>
      </c>
      <c r="I705" s="4">
        <v>31.81</v>
      </c>
      <c r="J705" s="4">
        <v>12.54</v>
      </c>
      <c r="K705" s="4">
        <v>-7.8</v>
      </c>
      <c r="L705" s="4">
        <v>190</v>
      </c>
      <c r="M705" s="4" t="s">
        <v>18</v>
      </c>
      <c r="N705" s="4" t="s">
        <v>31</v>
      </c>
      <c r="O705" s="4" t="s">
        <v>42</v>
      </c>
      <c r="P705" s="4" t="s">
        <v>74</v>
      </c>
    </row>
    <row r="706" spans="1:16" x14ac:dyDescent="0.3">
      <c r="A706" s="4">
        <v>2025</v>
      </c>
      <c r="B706" s="4" t="s">
        <v>49</v>
      </c>
      <c r="C706" s="4" t="s">
        <v>33</v>
      </c>
      <c r="D706" s="4" t="s">
        <v>48</v>
      </c>
      <c r="E706" s="4">
        <v>297</v>
      </c>
      <c r="F706" s="4">
        <v>387</v>
      </c>
      <c r="G706" s="4">
        <v>208</v>
      </c>
      <c r="H706" s="4">
        <v>114.94</v>
      </c>
      <c r="I706" s="4">
        <v>61.78</v>
      </c>
      <c r="J706" s="4">
        <v>53.16</v>
      </c>
      <c r="K706" s="4">
        <v>8.99</v>
      </c>
      <c r="L706" s="4">
        <v>169</v>
      </c>
      <c r="M706" s="4" t="s">
        <v>18</v>
      </c>
      <c r="N706" s="4" t="s">
        <v>24</v>
      </c>
      <c r="O706" s="4" t="s">
        <v>63</v>
      </c>
      <c r="P706" s="4" t="s">
        <v>71</v>
      </c>
    </row>
    <row r="707" spans="1:16" x14ac:dyDescent="0.3">
      <c r="A707" s="4">
        <v>2025</v>
      </c>
      <c r="B707" s="4" t="s">
        <v>15</v>
      </c>
      <c r="C707" s="4" t="s">
        <v>22</v>
      </c>
      <c r="D707" s="4" t="s">
        <v>55</v>
      </c>
      <c r="E707" s="4">
        <v>129</v>
      </c>
      <c r="F707" s="4">
        <v>445</v>
      </c>
      <c r="G707" s="4">
        <v>365</v>
      </c>
      <c r="H707" s="4">
        <v>57.41</v>
      </c>
      <c r="I707" s="4">
        <v>47.09</v>
      </c>
      <c r="J707" s="4">
        <v>10.32</v>
      </c>
      <c r="K707" s="4">
        <v>10.74</v>
      </c>
      <c r="L707" s="4">
        <v>209</v>
      </c>
      <c r="M707" s="4" t="s">
        <v>28</v>
      </c>
      <c r="N707" s="4" t="s">
        <v>19</v>
      </c>
      <c r="O707" s="4" t="s">
        <v>62</v>
      </c>
      <c r="P707" s="4" t="s">
        <v>76</v>
      </c>
    </row>
    <row r="708" spans="1:16" x14ac:dyDescent="0.3">
      <c r="A708" s="4">
        <v>2023</v>
      </c>
      <c r="B708" s="4" t="s">
        <v>45</v>
      </c>
      <c r="C708" s="4" t="s">
        <v>35</v>
      </c>
      <c r="D708" s="4" t="s">
        <v>43</v>
      </c>
      <c r="E708" s="4">
        <v>295</v>
      </c>
      <c r="F708" s="4">
        <v>394</v>
      </c>
      <c r="G708" s="4">
        <v>278</v>
      </c>
      <c r="H708" s="4">
        <v>116.23</v>
      </c>
      <c r="I708" s="4">
        <v>82.01</v>
      </c>
      <c r="J708" s="4">
        <v>34.22</v>
      </c>
      <c r="K708" s="4">
        <v>12.4</v>
      </c>
      <c r="L708" s="4">
        <v>193</v>
      </c>
      <c r="M708" s="4" t="s">
        <v>18</v>
      </c>
      <c r="N708" s="4" t="s">
        <v>31</v>
      </c>
      <c r="O708" s="4" t="s">
        <v>42</v>
      </c>
      <c r="P708" s="4" t="s">
        <v>74</v>
      </c>
    </row>
    <row r="709" spans="1:16" x14ac:dyDescent="0.3">
      <c r="A709" s="4">
        <v>2025</v>
      </c>
      <c r="B709" s="4" t="s">
        <v>32</v>
      </c>
      <c r="C709" s="4" t="s">
        <v>26</v>
      </c>
      <c r="D709" s="4" t="s">
        <v>52</v>
      </c>
      <c r="E709" s="4">
        <v>199</v>
      </c>
      <c r="F709" s="4">
        <v>144</v>
      </c>
      <c r="G709" s="4">
        <v>112</v>
      </c>
      <c r="H709" s="4">
        <v>28.66</v>
      </c>
      <c r="I709" s="4">
        <v>22.29</v>
      </c>
      <c r="J709" s="4">
        <v>6.37</v>
      </c>
      <c r="K709" s="4">
        <v>18.36</v>
      </c>
      <c r="L709" s="4">
        <v>90</v>
      </c>
      <c r="M709" s="4" t="s">
        <v>28</v>
      </c>
      <c r="N709" s="4" t="s">
        <v>24</v>
      </c>
      <c r="O709" s="4" t="s">
        <v>63</v>
      </c>
      <c r="P709" s="4" t="s">
        <v>74</v>
      </c>
    </row>
    <row r="710" spans="1:16" x14ac:dyDescent="0.3">
      <c r="A710" s="4">
        <v>2024</v>
      </c>
      <c r="B710" s="4" t="s">
        <v>41</v>
      </c>
      <c r="C710" s="4" t="s">
        <v>26</v>
      </c>
      <c r="D710" s="4" t="s">
        <v>52</v>
      </c>
      <c r="E710" s="4">
        <v>193</v>
      </c>
      <c r="F710" s="4">
        <v>277</v>
      </c>
      <c r="G710" s="4">
        <v>130</v>
      </c>
      <c r="H710" s="4">
        <v>53.46</v>
      </c>
      <c r="I710" s="4">
        <v>25.09</v>
      </c>
      <c r="J710" s="4">
        <v>28.37</v>
      </c>
      <c r="K710" s="4">
        <v>24.64</v>
      </c>
      <c r="L710" s="4">
        <v>101</v>
      </c>
      <c r="M710" s="4" t="s">
        <v>18</v>
      </c>
      <c r="N710" s="4" t="s">
        <v>31</v>
      </c>
      <c r="O710" s="4" t="s">
        <v>42</v>
      </c>
      <c r="P710" s="4" t="s">
        <v>76</v>
      </c>
    </row>
    <row r="711" spans="1:16" x14ac:dyDescent="0.3">
      <c r="A711" s="4">
        <v>2025</v>
      </c>
      <c r="B711" s="4" t="s">
        <v>39</v>
      </c>
      <c r="C711" s="4" t="s">
        <v>35</v>
      </c>
      <c r="D711" s="4" t="s">
        <v>36</v>
      </c>
      <c r="E711" s="4">
        <v>322</v>
      </c>
      <c r="F711" s="4">
        <v>498</v>
      </c>
      <c r="G711" s="4">
        <v>176</v>
      </c>
      <c r="H711" s="4">
        <v>160.36000000000001</v>
      </c>
      <c r="I711" s="4">
        <v>56.67</v>
      </c>
      <c r="J711" s="4">
        <v>103.68</v>
      </c>
      <c r="K711" s="4">
        <v>2.29</v>
      </c>
      <c r="L711" s="4">
        <v>238</v>
      </c>
      <c r="M711" s="4" t="s">
        <v>18</v>
      </c>
      <c r="N711" s="4" t="s">
        <v>38</v>
      </c>
      <c r="O711" s="4" t="s">
        <v>44</v>
      </c>
      <c r="P711" s="4" t="s">
        <v>71</v>
      </c>
    </row>
    <row r="712" spans="1:16" x14ac:dyDescent="0.3">
      <c r="A712" s="4">
        <v>2024</v>
      </c>
      <c r="B712" s="4" t="s">
        <v>41</v>
      </c>
      <c r="C712" s="4" t="s">
        <v>33</v>
      </c>
      <c r="D712" s="4" t="s">
        <v>50</v>
      </c>
      <c r="E712" s="4">
        <v>240</v>
      </c>
      <c r="F712" s="4">
        <v>284</v>
      </c>
      <c r="G712" s="4">
        <v>96</v>
      </c>
      <c r="H712" s="4">
        <v>68.16</v>
      </c>
      <c r="I712" s="4">
        <v>23.04</v>
      </c>
      <c r="J712" s="4">
        <v>45.12</v>
      </c>
      <c r="K712" s="4">
        <v>-6.24</v>
      </c>
      <c r="L712" s="4">
        <v>268</v>
      </c>
      <c r="M712" s="4" t="s">
        <v>18</v>
      </c>
      <c r="N712" s="4" t="s">
        <v>38</v>
      </c>
      <c r="O712" s="4" t="s">
        <v>44</v>
      </c>
      <c r="P712" s="4" t="s">
        <v>72</v>
      </c>
    </row>
    <row r="713" spans="1:16" x14ac:dyDescent="0.3">
      <c r="A713" s="4">
        <v>2025</v>
      </c>
      <c r="B713" s="4" t="s">
        <v>32</v>
      </c>
      <c r="C713" s="4" t="s">
        <v>35</v>
      </c>
      <c r="D713" s="4" t="s">
        <v>36</v>
      </c>
      <c r="E713" s="4">
        <v>450</v>
      </c>
      <c r="F713" s="4">
        <v>322</v>
      </c>
      <c r="G713" s="4">
        <v>40</v>
      </c>
      <c r="H713" s="4">
        <v>144.9</v>
      </c>
      <c r="I713" s="4">
        <v>18</v>
      </c>
      <c r="J713" s="4">
        <v>126.9</v>
      </c>
      <c r="K713" s="4">
        <v>20.190000000000001</v>
      </c>
      <c r="L713" s="4">
        <v>270</v>
      </c>
      <c r="M713" s="4" t="s">
        <v>37</v>
      </c>
      <c r="N713" s="4" t="s">
        <v>19</v>
      </c>
      <c r="O713" s="4" t="s">
        <v>62</v>
      </c>
      <c r="P713" s="4" t="s">
        <v>75</v>
      </c>
    </row>
    <row r="714" spans="1:16" x14ac:dyDescent="0.3">
      <c r="A714" s="4">
        <v>2025</v>
      </c>
      <c r="B714" s="4" t="s">
        <v>51</v>
      </c>
      <c r="C714" s="4" t="s">
        <v>33</v>
      </c>
      <c r="D714" s="4" t="s">
        <v>48</v>
      </c>
      <c r="E714" s="4">
        <v>207</v>
      </c>
      <c r="F714" s="4">
        <v>101</v>
      </c>
      <c r="G714" s="4">
        <v>50</v>
      </c>
      <c r="H714" s="4">
        <v>20.91</v>
      </c>
      <c r="I714" s="4">
        <v>10.35</v>
      </c>
      <c r="J714" s="4">
        <v>10.56</v>
      </c>
      <c r="K714" s="4">
        <v>13.12</v>
      </c>
      <c r="L714" s="4">
        <v>239</v>
      </c>
      <c r="M714" s="4" t="s">
        <v>37</v>
      </c>
      <c r="N714" s="4" t="s">
        <v>24</v>
      </c>
      <c r="O714" s="4" t="s">
        <v>63</v>
      </c>
      <c r="P714" s="4" t="s">
        <v>75</v>
      </c>
    </row>
    <row r="715" spans="1:16" x14ac:dyDescent="0.3">
      <c r="A715" s="4">
        <v>2023</v>
      </c>
      <c r="B715" s="4" t="s">
        <v>41</v>
      </c>
      <c r="C715" s="4" t="s">
        <v>33</v>
      </c>
      <c r="D715" s="4" t="s">
        <v>48</v>
      </c>
      <c r="E715" s="4">
        <v>372</v>
      </c>
      <c r="F715" s="4">
        <v>307</v>
      </c>
      <c r="G715" s="4">
        <v>153</v>
      </c>
      <c r="H715" s="4">
        <v>114.2</v>
      </c>
      <c r="I715" s="4">
        <v>56.92</v>
      </c>
      <c r="J715" s="4">
        <v>57.29</v>
      </c>
      <c r="K715" s="4">
        <v>-4.38</v>
      </c>
      <c r="L715" s="4">
        <v>124</v>
      </c>
      <c r="M715" s="4" t="s">
        <v>28</v>
      </c>
      <c r="N715" s="4" t="s">
        <v>38</v>
      </c>
      <c r="O715" s="4" t="s">
        <v>44</v>
      </c>
      <c r="P715" s="4" t="s">
        <v>73</v>
      </c>
    </row>
    <row r="716" spans="1:16" x14ac:dyDescent="0.3">
      <c r="A716" s="4">
        <v>2025</v>
      </c>
      <c r="B716" s="4" t="s">
        <v>47</v>
      </c>
      <c r="C716" s="4" t="s">
        <v>33</v>
      </c>
      <c r="D716" s="4" t="s">
        <v>50</v>
      </c>
      <c r="E716" s="4">
        <v>285</v>
      </c>
      <c r="F716" s="4">
        <v>230</v>
      </c>
      <c r="G716" s="4">
        <v>43</v>
      </c>
      <c r="H716" s="4">
        <v>65.55</v>
      </c>
      <c r="I716" s="4">
        <v>12.26</v>
      </c>
      <c r="J716" s="4">
        <v>53.29</v>
      </c>
      <c r="K716" s="4">
        <v>-9.69</v>
      </c>
      <c r="L716" s="4">
        <v>122</v>
      </c>
      <c r="M716" s="4" t="s">
        <v>18</v>
      </c>
      <c r="N716" s="4" t="s">
        <v>38</v>
      </c>
      <c r="O716" s="4" t="s">
        <v>44</v>
      </c>
      <c r="P716" s="4" t="s">
        <v>72</v>
      </c>
    </row>
    <row r="717" spans="1:16" x14ac:dyDescent="0.3">
      <c r="A717" s="4">
        <v>2023</v>
      </c>
      <c r="B717" s="4" t="s">
        <v>29</v>
      </c>
      <c r="C717" s="4" t="s">
        <v>16</v>
      </c>
      <c r="D717" s="4" t="s">
        <v>30</v>
      </c>
      <c r="E717" s="4">
        <v>428</v>
      </c>
      <c r="F717" s="4">
        <v>434</v>
      </c>
      <c r="G717" s="4">
        <v>113</v>
      </c>
      <c r="H717" s="4">
        <v>185.75</v>
      </c>
      <c r="I717" s="4">
        <v>48.36</v>
      </c>
      <c r="J717" s="4">
        <v>137.38999999999999</v>
      </c>
      <c r="K717" s="4">
        <v>20.440000000000001</v>
      </c>
      <c r="L717" s="4">
        <v>154</v>
      </c>
      <c r="M717" s="4" t="s">
        <v>37</v>
      </c>
      <c r="N717" s="4" t="s">
        <v>24</v>
      </c>
      <c r="O717" s="4" t="s">
        <v>63</v>
      </c>
      <c r="P717" s="4" t="s">
        <v>75</v>
      </c>
    </row>
    <row r="718" spans="1:16" x14ac:dyDescent="0.3">
      <c r="A718" s="4">
        <v>2023</v>
      </c>
      <c r="B718" s="4" t="s">
        <v>49</v>
      </c>
      <c r="C718" s="4" t="s">
        <v>33</v>
      </c>
      <c r="D718" s="4" t="s">
        <v>34</v>
      </c>
      <c r="E718" s="4">
        <v>370</v>
      </c>
      <c r="F718" s="4">
        <v>469</v>
      </c>
      <c r="G718" s="4">
        <v>44</v>
      </c>
      <c r="H718" s="4">
        <v>173.53</v>
      </c>
      <c r="I718" s="4">
        <v>16.28</v>
      </c>
      <c r="J718" s="4">
        <v>157.25</v>
      </c>
      <c r="K718" s="4">
        <v>7.88</v>
      </c>
      <c r="L718" s="4">
        <v>227</v>
      </c>
      <c r="M718" s="4" t="s">
        <v>28</v>
      </c>
      <c r="N718" s="4" t="s">
        <v>38</v>
      </c>
      <c r="O718" s="4" t="s">
        <v>44</v>
      </c>
      <c r="P718" s="4" t="s">
        <v>72</v>
      </c>
    </row>
    <row r="719" spans="1:16" x14ac:dyDescent="0.3">
      <c r="A719" s="4">
        <v>2024</v>
      </c>
      <c r="B719" s="4" t="s">
        <v>39</v>
      </c>
      <c r="C719" s="4" t="s">
        <v>26</v>
      </c>
      <c r="D719" s="4" t="s">
        <v>27</v>
      </c>
      <c r="E719" s="4">
        <v>170</v>
      </c>
      <c r="F719" s="4">
        <v>379</v>
      </c>
      <c r="G719" s="4">
        <v>216</v>
      </c>
      <c r="H719" s="4">
        <v>64.430000000000007</v>
      </c>
      <c r="I719" s="4">
        <v>36.72</v>
      </c>
      <c r="J719" s="4">
        <v>27.71</v>
      </c>
      <c r="K719" s="4">
        <v>24.4</v>
      </c>
      <c r="L719" s="4">
        <v>56</v>
      </c>
      <c r="M719" s="4" t="s">
        <v>18</v>
      </c>
      <c r="N719" s="4" t="s">
        <v>24</v>
      </c>
      <c r="O719" s="4" t="s">
        <v>63</v>
      </c>
      <c r="P719" s="4" t="s">
        <v>74</v>
      </c>
    </row>
    <row r="720" spans="1:16" x14ac:dyDescent="0.3">
      <c r="A720" s="4">
        <v>2024</v>
      </c>
      <c r="B720" s="4" t="s">
        <v>21</v>
      </c>
      <c r="C720" s="4" t="s">
        <v>16</v>
      </c>
      <c r="D720" s="4" t="s">
        <v>17</v>
      </c>
      <c r="E720" s="4">
        <v>267</v>
      </c>
      <c r="F720" s="4">
        <v>477</v>
      </c>
      <c r="G720" s="4">
        <v>57</v>
      </c>
      <c r="H720" s="4">
        <v>127.36</v>
      </c>
      <c r="I720" s="4">
        <v>15.22</v>
      </c>
      <c r="J720" s="4">
        <v>112.14</v>
      </c>
      <c r="K720" s="4">
        <v>12.86</v>
      </c>
      <c r="L720" s="4">
        <v>101</v>
      </c>
      <c r="M720" s="4" t="s">
        <v>18</v>
      </c>
      <c r="N720" s="4" t="s">
        <v>38</v>
      </c>
      <c r="O720" s="4" t="s">
        <v>44</v>
      </c>
      <c r="P720" s="4" t="s">
        <v>72</v>
      </c>
    </row>
    <row r="721" spans="1:16" x14ac:dyDescent="0.3">
      <c r="A721" s="4">
        <v>2024</v>
      </c>
      <c r="B721" s="4" t="s">
        <v>41</v>
      </c>
      <c r="C721" s="4" t="s">
        <v>35</v>
      </c>
      <c r="D721" s="4" t="s">
        <v>43</v>
      </c>
      <c r="E721" s="4">
        <v>257</v>
      </c>
      <c r="F721" s="4">
        <v>219</v>
      </c>
      <c r="G721" s="4">
        <v>165</v>
      </c>
      <c r="H721" s="4">
        <v>56.28</v>
      </c>
      <c r="I721" s="4">
        <v>42.41</v>
      </c>
      <c r="J721" s="4">
        <v>13.88</v>
      </c>
      <c r="K721" s="4">
        <v>-3.39</v>
      </c>
      <c r="L721" s="4">
        <v>49</v>
      </c>
      <c r="M721" s="4" t="s">
        <v>37</v>
      </c>
      <c r="N721" s="4" t="s">
        <v>31</v>
      </c>
      <c r="O721" s="4" t="s">
        <v>42</v>
      </c>
      <c r="P721" s="4" t="s">
        <v>72</v>
      </c>
    </row>
    <row r="722" spans="1:16" x14ac:dyDescent="0.3">
      <c r="A722" s="4">
        <v>2023</v>
      </c>
      <c r="B722" s="4" t="s">
        <v>29</v>
      </c>
      <c r="C722" s="4" t="s">
        <v>35</v>
      </c>
      <c r="D722" s="4" t="s">
        <v>36</v>
      </c>
      <c r="E722" s="4">
        <v>427</v>
      </c>
      <c r="F722" s="4">
        <v>160</v>
      </c>
      <c r="G722" s="4">
        <v>31</v>
      </c>
      <c r="H722" s="4">
        <v>68.319999999999993</v>
      </c>
      <c r="I722" s="4">
        <v>13.24</v>
      </c>
      <c r="J722" s="4">
        <v>55.08</v>
      </c>
      <c r="K722" s="4">
        <v>24.16</v>
      </c>
      <c r="L722" s="4">
        <v>223</v>
      </c>
      <c r="M722" s="4" t="s">
        <v>28</v>
      </c>
      <c r="N722" s="4" t="s">
        <v>24</v>
      </c>
      <c r="O722" s="4" t="s">
        <v>63</v>
      </c>
      <c r="P722" s="4" t="s">
        <v>71</v>
      </c>
    </row>
    <row r="723" spans="1:16" x14ac:dyDescent="0.3">
      <c r="A723" s="4">
        <v>2025</v>
      </c>
      <c r="B723" s="4" t="s">
        <v>51</v>
      </c>
      <c r="C723" s="4" t="s">
        <v>35</v>
      </c>
      <c r="D723" s="4" t="s">
        <v>36</v>
      </c>
      <c r="E723" s="4">
        <v>139</v>
      </c>
      <c r="F723" s="4">
        <v>60</v>
      </c>
      <c r="G723" s="4">
        <v>38</v>
      </c>
      <c r="H723" s="4">
        <v>8.34</v>
      </c>
      <c r="I723" s="4">
        <v>5.28</v>
      </c>
      <c r="J723" s="4">
        <v>3.06</v>
      </c>
      <c r="K723" s="4">
        <v>1.31</v>
      </c>
      <c r="L723" s="4">
        <v>79</v>
      </c>
      <c r="M723" s="4" t="s">
        <v>28</v>
      </c>
      <c r="N723" s="4" t="s">
        <v>19</v>
      </c>
      <c r="O723" s="4" t="s">
        <v>62</v>
      </c>
      <c r="P723" s="4" t="s">
        <v>76</v>
      </c>
    </row>
    <row r="724" spans="1:16" x14ac:dyDescent="0.3">
      <c r="A724" s="4">
        <v>2023</v>
      </c>
      <c r="B724" s="4" t="s">
        <v>29</v>
      </c>
      <c r="C724" s="4" t="s">
        <v>16</v>
      </c>
      <c r="D724" s="4" t="s">
        <v>17</v>
      </c>
      <c r="E724" s="4">
        <v>135</v>
      </c>
      <c r="F724" s="4">
        <v>383</v>
      </c>
      <c r="G724" s="4">
        <v>279</v>
      </c>
      <c r="H724" s="4">
        <v>51.7</v>
      </c>
      <c r="I724" s="4">
        <v>37.659999999999997</v>
      </c>
      <c r="J724" s="4">
        <v>14.04</v>
      </c>
      <c r="K724" s="4">
        <v>6.31</v>
      </c>
      <c r="L724" s="4">
        <v>25</v>
      </c>
      <c r="M724" s="4" t="s">
        <v>37</v>
      </c>
      <c r="N724" s="4" t="s">
        <v>24</v>
      </c>
      <c r="O724" s="4" t="s">
        <v>63</v>
      </c>
      <c r="P724" s="4" t="s">
        <v>73</v>
      </c>
    </row>
    <row r="725" spans="1:16" x14ac:dyDescent="0.3">
      <c r="A725" s="4">
        <v>2023</v>
      </c>
      <c r="B725" s="4" t="s">
        <v>51</v>
      </c>
      <c r="C725" s="4" t="s">
        <v>26</v>
      </c>
      <c r="D725" s="4" t="s">
        <v>58</v>
      </c>
      <c r="E725" s="4">
        <v>168</v>
      </c>
      <c r="F725" s="4">
        <v>129</v>
      </c>
      <c r="G725" s="4">
        <v>40</v>
      </c>
      <c r="H725" s="4">
        <v>21.67</v>
      </c>
      <c r="I725" s="4">
        <v>6.72</v>
      </c>
      <c r="J725" s="4">
        <v>14.95</v>
      </c>
      <c r="K725" s="4">
        <v>10.92</v>
      </c>
      <c r="L725" s="4">
        <v>62</v>
      </c>
      <c r="M725" s="4" t="s">
        <v>28</v>
      </c>
      <c r="N725" s="4" t="s">
        <v>24</v>
      </c>
      <c r="O725" s="4" t="s">
        <v>63</v>
      </c>
      <c r="P725" s="4" t="s">
        <v>75</v>
      </c>
    </row>
    <row r="726" spans="1:16" x14ac:dyDescent="0.3">
      <c r="A726" s="4">
        <v>2025</v>
      </c>
      <c r="B726" s="4" t="s">
        <v>51</v>
      </c>
      <c r="C726" s="4" t="s">
        <v>26</v>
      </c>
      <c r="D726" s="4" t="s">
        <v>27</v>
      </c>
      <c r="E726" s="4">
        <v>366</v>
      </c>
      <c r="F726" s="4">
        <v>463</v>
      </c>
      <c r="G726" s="4">
        <v>198</v>
      </c>
      <c r="H726" s="4">
        <v>169.46</v>
      </c>
      <c r="I726" s="4">
        <v>72.47</v>
      </c>
      <c r="J726" s="4">
        <v>96.99</v>
      </c>
      <c r="K726" s="4">
        <v>6.23</v>
      </c>
      <c r="L726" s="4">
        <v>272</v>
      </c>
      <c r="M726" s="4" t="s">
        <v>37</v>
      </c>
      <c r="N726" s="4" t="s">
        <v>24</v>
      </c>
      <c r="O726" s="4" t="s">
        <v>63</v>
      </c>
      <c r="P726" s="4" t="s">
        <v>74</v>
      </c>
    </row>
    <row r="727" spans="1:16" x14ac:dyDescent="0.3">
      <c r="A727" s="4">
        <v>2023</v>
      </c>
      <c r="B727" s="4" t="s">
        <v>49</v>
      </c>
      <c r="C727" s="4" t="s">
        <v>16</v>
      </c>
      <c r="D727" s="4" t="s">
        <v>17</v>
      </c>
      <c r="E727" s="4">
        <v>496</v>
      </c>
      <c r="F727" s="4">
        <v>56</v>
      </c>
      <c r="G727" s="4">
        <v>38</v>
      </c>
      <c r="H727" s="4">
        <v>27.78</v>
      </c>
      <c r="I727" s="4">
        <v>18.850000000000001</v>
      </c>
      <c r="J727" s="4">
        <v>8.93</v>
      </c>
      <c r="K727" s="4">
        <v>17.66</v>
      </c>
      <c r="L727" s="4">
        <v>217</v>
      </c>
      <c r="M727" s="4" t="s">
        <v>37</v>
      </c>
      <c r="N727" s="4" t="s">
        <v>24</v>
      </c>
      <c r="O727" s="4" t="s">
        <v>63</v>
      </c>
      <c r="P727" s="4" t="s">
        <v>71</v>
      </c>
    </row>
    <row r="728" spans="1:16" x14ac:dyDescent="0.3">
      <c r="A728" s="4">
        <v>2024</v>
      </c>
      <c r="B728" s="4" t="s">
        <v>46</v>
      </c>
      <c r="C728" s="4" t="s">
        <v>16</v>
      </c>
      <c r="D728" s="4" t="s">
        <v>30</v>
      </c>
      <c r="E728" s="4">
        <v>433</v>
      </c>
      <c r="F728" s="4">
        <v>487</v>
      </c>
      <c r="G728" s="4">
        <v>48</v>
      </c>
      <c r="H728" s="4">
        <v>210.87</v>
      </c>
      <c r="I728" s="4">
        <v>20.78</v>
      </c>
      <c r="J728" s="4">
        <v>190.09</v>
      </c>
      <c r="K728" s="4">
        <v>3.39</v>
      </c>
      <c r="L728" s="4">
        <v>211</v>
      </c>
      <c r="M728" s="4" t="s">
        <v>28</v>
      </c>
      <c r="N728" s="4" t="s">
        <v>24</v>
      </c>
      <c r="O728" s="4" t="s">
        <v>63</v>
      </c>
      <c r="P728" s="4" t="s">
        <v>72</v>
      </c>
    </row>
    <row r="729" spans="1:16" x14ac:dyDescent="0.3">
      <c r="A729" s="4">
        <v>2025</v>
      </c>
      <c r="B729" s="4" t="s">
        <v>29</v>
      </c>
      <c r="C729" s="4" t="s">
        <v>22</v>
      </c>
      <c r="D729" s="4" t="s">
        <v>59</v>
      </c>
      <c r="E729" s="4">
        <v>421</v>
      </c>
      <c r="F729" s="4">
        <v>330</v>
      </c>
      <c r="G729" s="4">
        <v>231</v>
      </c>
      <c r="H729" s="4">
        <v>138.93</v>
      </c>
      <c r="I729" s="4">
        <v>97.25</v>
      </c>
      <c r="J729" s="4">
        <v>41.68</v>
      </c>
      <c r="K729" s="4">
        <v>-8.19</v>
      </c>
      <c r="L729" s="4">
        <v>45</v>
      </c>
      <c r="M729" s="4" t="s">
        <v>37</v>
      </c>
      <c r="N729" s="4" t="s">
        <v>38</v>
      </c>
      <c r="O729" s="4" t="s">
        <v>44</v>
      </c>
      <c r="P729" s="4" t="s">
        <v>72</v>
      </c>
    </row>
    <row r="730" spans="1:16" x14ac:dyDescent="0.3">
      <c r="A730" s="4">
        <v>2023</v>
      </c>
      <c r="B730" s="4" t="s">
        <v>15</v>
      </c>
      <c r="C730" s="4" t="s">
        <v>22</v>
      </c>
      <c r="D730" s="4" t="s">
        <v>55</v>
      </c>
      <c r="E730" s="4">
        <v>208</v>
      </c>
      <c r="F730" s="4">
        <v>166</v>
      </c>
      <c r="G730" s="4">
        <v>76</v>
      </c>
      <c r="H730" s="4">
        <v>34.53</v>
      </c>
      <c r="I730" s="4">
        <v>15.81</v>
      </c>
      <c r="J730" s="4">
        <v>18.72</v>
      </c>
      <c r="K730" s="4">
        <v>4.45</v>
      </c>
      <c r="L730" s="4">
        <v>25</v>
      </c>
      <c r="M730" s="4" t="s">
        <v>28</v>
      </c>
      <c r="N730" s="4" t="s">
        <v>38</v>
      </c>
      <c r="O730" s="4" t="s">
        <v>44</v>
      </c>
      <c r="P730" s="4" t="s">
        <v>73</v>
      </c>
    </row>
    <row r="731" spans="1:16" x14ac:dyDescent="0.3">
      <c r="A731" s="4">
        <v>2025</v>
      </c>
      <c r="B731" s="4" t="s">
        <v>32</v>
      </c>
      <c r="C731" s="4" t="s">
        <v>35</v>
      </c>
      <c r="D731" s="4" t="s">
        <v>40</v>
      </c>
      <c r="E731" s="4">
        <v>295</v>
      </c>
      <c r="F731" s="4">
        <v>209</v>
      </c>
      <c r="G731" s="4">
        <v>142</v>
      </c>
      <c r="H731" s="4">
        <v>61.66</v>
      </c>
      <c r="I731" s="4">
        <v>41.89</v>
      </c>
      <c r="J731" s="4">
        <v>19.77</v>
      </c>
      <c r="K731" s="4">
        <v>11.93</v>
      </c>
      <c r="L731" s="4">
        <v>153</v>
      </c>
      <c r="M731" s="4" t="s">
        <v>28</v>
      </c>
      <c r="N731" s="4" t="s">
        <v>38</v>
      </c>
      <c r="O731" s="4" t="s">
        <v>44</v>
      </c>
      <c r="P731" s="4" t="s">
        <v>73</v>
      </c>
    </row>
    <row r="732" spans="1:16" x14ac:dyDescent="0.3">
      <c r="A732" s="4">
        <v>2023</v>
      </c>
      <c r="B732" s="4" t="s">
        <v>47</v>
      </c>
      <c r="C732" s="4" t="s">
        <v>22</v>
      </c>
      <c r="D732" s="4" t="s">
        <v>23</v>
      </c>
      <c r="E732" s="4">
        <v>291</v>
      </c>
      <c r="F732" s="4">
        <v>182</v>
      </c>
      <c r="G732" s="4">
        <v>120</v>
      </c>
      <c r="H732" s="4">
        <v>52.96</v>
      </c>
      <c r="I732" s="4">
        <v>34.92</v>
      </c>
      <c r="J732" s="4">
        <v>18.04</v>
      </c>
      <c r="K732" s="4">
        <v>21</v>
      </c>
      <c r="L732" s="4">
        <v>48</v>
      </c>
      <c r="M732" s="4" t="s">
        <v>18</v>
      </c>
      <c r="N732" s="4" t="s">
        <v>24</v>
      </c>
      <c r="O732" s="4" t="s">
        <v>63</v>
      </c>
      <c r="P732" s="4" t="s">
        <v>75</v>
      </c>
    </row>
    <row r="733" spans="1:16" x14ac:dyDescent="0.3">
      <c r="A733" s="4">
        <v>2025</v>
      </c>
      <c r="B733" s="4" t="s">
        <v>15</v>
      </c>
      <c r="C733" s="4" t="s">
        <v>22</v>
      </c>
      <c r="D733" s="4" t="s">
        <v>59</v>
      </c>
      <c r="E733" s="4">
        <v>373</v>
      </c>
      <c r="F733" s="4">
        <v>222</v>
      </c>
      <c r="G733" s="4">
        <v>38</v>
      </c>
      <c r="H733" s="4">
        <v>82.81</v>
      </c>
      <c r="I733" s="4">
        <v>14.17</v>
      </c>
      <c r="J733" s="4">
        <v>68.63</v>
      </c>
      <c r="K733" s="4">
        <v>9.4600000000000009</v>
      </c>
      <c r="L733" s="4">
        <v>132</v>
      </c>
      <c r="M733" s="4" t="s">
        <v>18</v>
      </c>
      <c r="N733" s="4" t="s">
        <v>24</v>
      </c>
      <c r="O733" s="4" t="s">
        <v>63</v>
      </c>
      <c r="P733" s="4" t="s">
        <v>71</v>
      </c>
    </row>
    <row r="734" spans="1:16" x14ac:dyDescent="0.3">
      <c r="A734" s="4">
        <v>2025</v>
      </c>
      <c r="B734" s="4" t="s">
        <v>45</v>
      </c>
      <c r="C734" s="4" t="s">
        <v>22</v>
      </c>
      <c r="D734" s="4" t="s">
        <v>59</v>
      </c>
      <c r="E734" s="4">
        <v>80</v>
      </c>
      <c r="F734" s="4">
        <v>85</v>
      </c>
      <c r="G734" s="4">
        <v>53</v>
      </c>
      <c r="H734" s="4">
        <v>6.8</v>
      </c>
      <c r="I734" s="4">
        <v>4.24</v>
      </c>
      <c r="J734" s="4">
        <v>2.56</v>
      </c>
      <c r="K734" s="4">
        <v>6.55</v>
      </c>
      <c r="L734" s="4">
        <v>297</v>
      </c>
      <c r="M734" s="4" t="s">
        <v>18</v>
      </c>
      <c r="N734" s="4" t="s">
        <v>24</v>
      </c>
      <c r="O734" s="4" t="s">
        <v>63</v>
      </c>
      <c r="P734" s="4" t="s">
        <v>72</v>
      </c>
    </row>
    <row r="735" spans="1:16" x14ac:dyDescent="0.3">
      <c r="A735" s="4">
        <v>2023</v>
      </c>
      <c r="B735" s="4" t="s">
        <v>41</v>
      </c>
      <c r="C735" s="4" t="s">
        <v>33</v>
      </c>
      <c r="D735" s="4" t="s">
        <v>48</v>
      </c>
      <c r="E735" s="4">
        <v>238</v>
      </c>
      <c r="F735" s="4">
        <v>180</v>
      </c>
      <c r="G735" s="4">
        <v>111</v>
      </c>
      <c r="H735" s="4">
        <v>42.84</v>
      </c>
      <c r="I735" s="4">
        <v>26.42</v>
      </c>
      <c r="J735" s="4">
        <v>16.420000000000002</v>
      </c>
      <c r="K735" s="4">
        <v>17.739999999999998</v>
      </c>
      <c r="L735" s="4">
        <v>168</v>
      </c>
      <c r="M735" s="4" t="s">
        <v>28</v>
      </c>
      <c r="N735" s="4" t="s">
        <v>38</v>
      </c>
      <c r="O735" s="4" t="s">
        <v>44</v>
      </c>
      <c r="P735" s="4" t="s">
        <v>74</v>
      </c>
    </row>
    <row r="736" spans="1:16" x14ac:dyDescent="0.3">
      <c r="A736" s="4">
        <v>2023</v>
      </c>
      <c r="B736" s="4" t="s">
        <v>57</v>
      </c>
      <c r="C736" s="4" t="s">
        <v>26</v>
      </c>
      <c r="D736" s="4" t="s">
        <v>58</v>
      </c>
      <c r="E736" s="4">
        <v>152</v>
      </c>
      <c r="F736" s="4">
        <v>349</v>
      </c>
      <c r="G736" s="4">
        <v>82</v>
      </c>
      <c r="H736" s="4">
        <v>53.05</v>
      </c>
      <c r="I736" s="4">
        <v>12.46</v>
      </c>
      <c r="J736" s="4">
        <v>40.58</v>
      </c>
      <c r="K736" s="4">
        <v>-9.7899999999999991</v>
      </c>
      <c r="L736" s="4">
        <v>37</v>
      </c>
      <c r="M736" s="4" t="s">
        <v>18</v>
      </c>
      <c r="N736" s="4" t="s">
        <v>24</v>
      </c>
      <c r="O736" s="4" t="s">
        <v>63</v>
      </c>
      <c r="P736" s="4" t="s">
        <v>74</v>
      </c>
    </row>
    <row r="737" spans="1:16" x14ac:dyDescent="0.3">
      <c r="A737" s="4">
        <v>2025</v>
      </c>
      <c r="B737" s="4" t="s">
        <v>32</v>
      </c>
      <c r="C737" s="4" t="s">
        <v>22</v>
      </c>
      <c r="D737" s="4" t="s">
        <v>23</v>
      </c>
      <c r="E737" s="4">
        <v>296</v>
      </c>
      <c r="F737" s="4">
        <v>258</v>
      </c>
      <c r="G737" s="4">
        <v>95</v>
      </c>
      <c r="H737" s="4">
        <v>76.37</v>
      </c>
      <c r="I737" s="4">
        <v>28.12</v>
      </c>
      <c r="J737" s="4">
        <v>48.25</v>
      </c>
      <c r="K737" s="4">
        <v>-6.3</v>
      </c>
      <c r="L737" s="4">
        <v>164</v>
      </c>
      <c r="M737" s="4" t="s">
        <v>18</v>
      </c>
      <c r="N737" s="4" t="s">
        <v>31</v>
      </c>
      <c r="O737" s="4" t="s">
        <v>42</v>
      </c>
      <c r="P737" s="4" t="s">
        <v>72</v>
      </c>
    </row>
    <row r="738" spans="1:16" x14ac:dyDescent="0.3">
      <c r="A738" s="4">
        <v>2023</v>
      </c>
      <c r="B738" s="4" t="s">
        <v>45</v>
      </c>
      <c r="C738" s="4" t="s">
        <v>33</v>
      </c>
      <c r="D738" s="4" t="s">
        <v>50</v>
      </c>
      <c r="E738" s="4">
        <v>182</v>
      </c>
      <c r="F738" s="4">
        <v>55</v>
      </c>
      <c r="G738" s="4">
        <v>32</v>
      </c>
      <c r="H738" s="4">
        <v>10.01</v>
      </c>
      <c r="I738" s="4">
        <v>5.82</v>
      </c>
      <c r="J738" s="4">
        <v>4.1900000000000004</v>
      </c>
      <c r="K738" s="4">
        <v>-2.15</v>
      </c>
      <c r="L738" s="4">
        <v>35</v>
      </c>
      <c r="M738" s="4" t="s">
        <v>28</v>
      </c>
      <c r="N738" s="4" t="s">
        <v>31</v>
      </c>
      <c r="O738" s="4" t="s">
        <v>42</v>
      </c>
      <c r="P738" s="4" t="s">
        <v>73</v>
      </c>
    </row>
    <row r="739" spans="1:16" x14ac:dyDescent="0.3">
      <c r="A739" s="4">
        <v>2025</v>
      </c>
      <c r="B739" s="4" t="s">
        <v>47</v>
      </c>
      <c r="C739" s="4" t="s">
        <v>35</v>
      </c>
      <c r="D739" s="4" t="s">
        <v>43</v>
      </c>
      <c r="E739" s="4">
        <v>442</v>
      </c>
      <c r="F739" s="4">
        <v>131</v>
      </c>
      <c r="G739" s="4">
        <v>100</v>
      </c>
      <c r="H739" s="4">
        <v>57.9</v>
      </c>
      <c r="I739" s="4">
        <v>44.2</v>
      </c>
      <c r="J739" s="4">
        <v>13.7</v>
      </c>
      <c r="K739" s="4">
        <v>19.809999999999999</v>
      </c>
      <c r="L739" s="4">
        <v>190</v>
      </c>
      <c r="M739" s="4" t="s">
        <v>28</v>
      </c>
      <c r="N739" s="4" t="s">
        <v>38</v>
      </c>
      <c r="O739" s="4" t="s">
        <v>44</v>
      </c>
      <c r="P739" s="4" t="s">
        <v>74</v>
      </c>
    </row>
    <row r="740" spans="1:16" x14ac:dyDescent="0.3">
      <c r="A740" s="4">
        <v>2025</v>
      </c>
      <c r="B740" s="4" t="s">
        <v>49</v>
      </c>
      <c r="C740" s="4" t="s">
        <v>26</v>
      </c>
      <c r="D740" s="4" t="s">
        <v>52</v>
      </c>
      <c r="E740" s="4">
        <v>154</v>
      </c>
      <c r="F740" s="4">
        <v>343</v>
      </c>
      <c r="G740" s="4">
        <v>264</v>
      </c>
      <c r="H740" s="4">
        <v>52.82</v>
      </c>
      <c r="I740" s="4">
        <v>40.659999999999997</v>
      </c>
      <c r="J740" s="4">
        <v>12.17</v>
      </c>
      <c r="K740" s="4">
        <v>-1.41</v>
      </c>
      <c r="L740" s="4">
        <v>287</v>
      </c>
      <c r="M740" s="4" t="s">
        <v>37</v>
      </c>
      <c r="N740" s="4" t="s">
        <v>24</v>
      </c>
      <c r="O740" s="4" t="s">
        <v>63</v>
      </c>
      <c r="P740" s="4" t="s">
        <v>76</v>
      </c>
    </row>
    <row r="741" spans="1:16" x14ac:dyDescent="0.3">
      <c r="A741" s="4">
        <v>2023</v>
      </c>
      <c r="B741" s="4" t="s">
        <v>39</v>
      </c>
      <c r="C741" s="4" t="s">
        <v>22</v>
      </c>
      <c r="D741" s="4" t="s">
        <v>23</v>
      </c>
      <c r="E741" s="4">
        <v>373</v>
      </c>
      <c r="F741" s="4">
        <v>254</v>
      </c>
      <c r="G741" s="4">
        <v>205</v>
      </c>
      <c r="H741" s="4">
        <v>94.74</v>
      </c>
      <c r="I741" s="4">
        <v>76.47</v>
      </c>
      <c r="J741" s="4">
        <v>18.28</v>
      </c>
      <c r="K741" s="4">
        <v>13.51</v>
      </c>
      <c r="L741" s="4">
        <v>145</v>
      </c>
      <c r="M741" s="4" t="s">
        <v>18</v>
      </c>
      <c r="N741" s="4" t="s">
        <v>19</v>
      </c>
      <c r="O741" s="4" t="s">
        <v>62</v>
      </c>
      <c r="P741" s="4" t="s">
        <v>75</v>
      </c>
    </row>
    <row r="742" spans="1:16" x14ac:dyDescent="0.3">
      <c r="A742" s="4">
        <v>2025</v>
      </c>
      <c r="B742" s="4" t="s">
        <v>45</v>
      </c>
      <c r="C742" s="4" t="s">
        <v>33</v>
      </c>
      <c r="D742" s="4" t="s">
        <v>54</v>
      </c>
      <c r="E742" s="4">
        <v>264</v>
      </c>
      <c r="F742" s="4">
        <v>327</v>
      </c>
      <c r="G742" s="4">
        <v>48</v>
      </c>
      <c r="H742" s="4">
        <v>86.33</v>
      </c>
      <c r="I742" s="4">
        <v>12.67</v>
      </c>
      <c r="J742" s="4">
        <v>73.66</v>
      </c>
      <c r="K742" s="4">
        <v>-7.73</v>
      </c>
      <c r="L742" s="4">
        <v>238</v>
      </c>
      <c r="M742" s="4" t="s">
        <v>37</v>
      </c>
      <c r="N742" s="4" t="s">
        <v>31</v>
      </c>
      <c r="O742" s="4" t="s">
        <v>42</v>
      </c>
      <c r="P742" s="4" t="s">
        <v>73</v>
      </c>
    </row>
    <row r="743" spans="1:16" x14ac:dyDescent="0.3">
      <c r="A743" s="4">
        <v>2024</v>
      </c>
      <c r="B743" s="4" t="s">
        <v>41</v>
      </c>
      <c r="C743" s="4" t="s">
        <v>22</v>
      </c>
      <c r="D743" s="4" t="s">
        <v>55</v>
      </c>
      <c r="E743" s="4">
        <v>206</v>
      </c>
      <c r="F743" s="4">
        <v>296</v>
      </c>
      <c r="G743" s="4">
        <v>285</v>
      </c>
      <c r="H743" s="4">
        <v>60.98</v>
      </c>
      <c r="I743" s="4">
        <v>58.71</v>
      </c>
      <c r="J743" s="4">
        <v>2.27</v>
      </c>
      <c r="K743" s="4">
        <v>11.11</v>
      </c>
      <c r="L743" s="4">
        <v>252</v>
      </c>
      <c r="M743" s="4" t="s">
        <v>18</v>
      </c>
      <c r="N743" s="4" t="s">
        <v>31</v>
      </c>
      <c r="O743" s="4" t="s">
        <v>42</v>
      </c>
      <c r="P743" s="4" t="s">
        <v>74</v>
      </c>
    </row>
    <row r="744" spans="1:16" x14ac:dyDescent="0.3">
      <c r="A744" s="4">
        <v>2023</v>
      </c>
      <c r="B744" s="4" t="s">
        <v>21</v>
      </c>
      <c r="C744" s="4" t="s">
        <v>22</v>
      </c>
      <c r="D744" s="4" t="s">
        <v>23</v>
      </c>
      <c r="E744" s="4">
        <v>445</v>
      </c>
      <c r="F744" s="4">
        <v>165</v>
      </c>
      <c r="G744" s="4">
        <v>73</v>
      </c>
      <c r="H744" s="4">
        <v>73.42</v>
      </c>
      <c r="I744" s="4">
        <v>32.479999999999997</v>
      </c>
      <c r="J744" s="4">
        <v>40.94</v>
      </c>
      <c r="K744" s="4">
        <v>23.4</v>
      </c>
      <c r="L744" s="4">
        <v>58</v>
      </c>
      <c r="M744" s="4" t="s">
        <v>37</v>
      </c>
      <c r="N744" s="4" t="s">
        <v>38</v>
      </c>
      <c r="O744" s="4" t="s">
        <v>44</v>
      </c>
      <c r="P744" s="4" t="s">
        <v>72</v>
      </c>
    </row>
    <row r="745" spans="1:16" x14ac:dyDescent="0.3">
      <c r="A745" s="4">
        <v>2025</v>
      </c>
      <c r="B745" s="4" t="s">
        <v>15</v>
      </c>
      <c r="C745" s="4" t="s">
        <v>22</v>
      </c>
      <c r="D745" s="4" t="s">
        <v>55</v>
      </c>
      <c r="E745" s="4">
        <v>329</v>
      </c>
      <c r="F745" s="4">
        <v>231</v>
      </c>
      <c r="G745" s="4">
        <v>205</v>
      </c>
      <c r="H745" s="4">
        <v>76</v>
      </c>
      <c r="I745" s="4">
        <v>67.44</v>
      </c>
      <c r="J745" s="4">
        <v>8.5500000000000007</v>
      </c>
      <c r="K745" s="4">
        <v>3.22</v>
      </c>
      <c r="L745" s="4">
        <v>101</v>
      </c>
      <c r="M745" s="4" t="s">
        <v>28</v>
      </c>
      <c r="N745" s="4" t="s">
        <v>31</v>
      </c>
      <c r="O745" s="4" t="s">
        <v>42</v>
      </c>
      <c r="P745" s="4" t="s">
        <v>71</v>
      </c>
    </row>
    <row r="746" spans="1:16" x14ac:dyDescent="0.3">
      <c r="A746" s="4">
        <v>2024</v>
      </c>
      <c r="B746" s="4" t="s">
        <v>45</v>
      </c>
      <c r="C746" s="4" t="s">
        <v>35</v>
      </c>
      <c r="D746" s="4" t="s">
        <v>43</v>
      </c>
      <c r="E746" s="4">
        <v>150</v>
      </c>
      <c r="F746" s="4">
        <v>308</v>
      </c>
      <c r="G746" s="4">
        <v>186</v>
      </c>
      <c r="H746" s="4">
        <v>46.2</v>
      </c>
      <c r="I746" s="4">
        <v>27.9</v>
      </c>
      <c r="J746" s="4">
        <v>18.3</v>
      </c>
      <c r="K746" s="4">
        <v>19.079999999999998</v>
      </c>
      <c r="L746" s="4">
        <v>36</v>
      </c>
      <c r="M746" s="4" t="s">
        <v>28</v>
      </c>
      <c r="N746" s="4" t="s">
        <v>31</v>
      </c>
      <c r="O746" s="4" t="s">
        <v>42</v>
      </c>
      <c r="P746" s="4" t="s">
        <v>73</v>
      </c>
    </row>
    <row r="747" spans="1:16" x14ac:dyDescent="0.3">
      <c r="A747" s="4">
        <v>2023</v>
      </c>
      <c r="B747" s="4" t="s">
        <v>47</v>
      </c>
      <c r="C747" s="4" t="s">
        <v>35</v>
      </c>
      <c r="D747" s="4" t="s">
        <v>43</v>
      </c>
      <c r="E747" s="4">
        <v>410</v>
      </c>
      <c r="F747" s="4">
        <v>454</v>
      </c>
      <c r="G747" s="4">
        <v>323</v>
      </c>
      <c r="H747" s="4">
        <v>186.14</v>
      </c>
      <c r="I747" s="4">
        <v>132.43</v>
      </c>
      <c r="J747" s="4">
        <v>53.71</v>
      </c>
      <c r="K747" s="4">
        <v>-6.95</v>
      </c>
      <c r="L747" s="4">
        <v>212</v>
      </c>
      <c r="M747" s="4" t="s">
        <v>18</v>
      </c>
      <c r="N747" s="4" t="s">
        <v>24</v>
      </c>
      <c r="O747" s="4" t="s">
        <v>63</v>
      </c>
      <c r="P747" s="4" t="s">
        <v>72</v>
      </c>
    </row>
    <row r="748" spans="1:16" x14ac:dyDescent="0.3">
      <c r="A748" s="4">
        <v>2025</v>
      </c>
      <c r="B748" s="4" t="s">
        <v>57</v>
      </c>
      <c r="C748" s="4" t="s">
        <v>22</v>
      </c>
      <c r="D748" s="4" t="s">
        <v>55</v>
      </c>
      <c r="E748" s="4">
        <v>424</v>
      </c>
      <c r="F748" s="4">
        <v>280</v>
      </c>
      <c r="G748" s="4">
        <v>122</v>
      </c>
      <c r="H748" s="4">
        <v>118.72</v>
      </c>
      <c r="I748" s="4">
        <v>51.73</v>
      </c>
      <c r="J748" s="4">
        <v>66.989999999999995</v>
      </c>
      <c r="K748" s="4">
        <v>-6.4</v>
      </c>
      <c r="L748" s="4">
        <v>295</v>
      </c>
      <c r="M748" s="4" t="s">
        <v>18</v>
      </c>
      <c r="N748" s="4" t="s">
        <v>31</v>
      </c>
      <c r="O748" s="4" t="s">
        <v>42</v>
      </c>
      <c r="P748" s="4" t="s">
        <v>71</v>
      </c>
    </row>
    <row r="749" spans="1:16" x14ac:dyDescent="0.3">
      <c r="A749" s="4">
        <v>2024</v>
      </c>
      <c r="B749" s="4" t="s">
        <v>51</v>
      </c>
      <c r="C749" s="4" t="s">
        <v>22</v>
      </c>
      <c r="D749" s="4" t="s">
        <v>55</v>
      </c>
      <c r="E749" s="4">
        <v>94</v>
      </c>
      <c r="F749" s="4">
        <v>361</v>
      </c>
      <c r="G749" s="4">
        <v>312</v>
      </c>
      <c r="H749" s="4">
        <v>33.93</v>
      </c>
      <c r="I749" s="4">
        <v>29.33</v>
      </c>
      <c r="J749" s="4">
        <v>4.6100000000000003</v>
      </c>
      <c r="K749" s="4">
        <v>-4.9000000000000004</v>
      </c>
      <c r="L749" s="4">
        <v>221</v>
      </c>
      <c r="M749" s="4" t="s">
        <v>18</v>
      </c>
      <c r="N749" s="4" t="s">
        <v>24</v>
      </c>
      <c r="O749" s="4" t="s">
        <v>63</v>
      </c>
      <c r="P749" s="4" t="s">
        <v>76</v>
      </c>
    </row>
    <row r="750" spans="1:16" x14ac:dyDescent="0.3">
      <c r="A750" s="4">
        <v>2025</v>
      </c>
      <c r="B750" s="4" t="s">
        <v>46</v>
      </c>
      <c r="C750" s="4" t="s">
        <v>26</v>
      </c>
      <c r="D750" s="4" t="s">
        <v>52</v>
      </c>
      <c r="E750" s="4">
        <v>438</v>
      </c>
      <c r="F750" s="4">
        <v>203</v>
      </c>
      <c r="G750" s="4">
        <v>167</v>
      </c>
      <c r="H750" s="4">
        <v>88.91</v>
      </c>
      <c r="I750" s="4">
        <v>73.150000000000006</v>
      </c>
      <c r="J750" s="4">
        <v>15.77</v>
      </c>
      <c r="K750" s="4">
        <v>20.58</v>
      </c>
      <c r="L750" s="4">
        <v>125</v>
      </c>
      <c r="M750" s="4" t="s">
        <v>18</v>
      </c>
      <c r="N750" s="4" t="s">
        <v>31</v>
      </c>
      <c r="O750" s="4" t="s">
        <v>42</v>
      </c>
      <c r="P750" s="4" t="s">
        <v>73</v>
      </c>
    </row>
    <row r="751" spans="1:16" x14ac:dyDescent="0.3">
      <c r="A751" s="4">
        <v>2023</v>
      </c>
      <c r="B751" s="4" t="s">
        <v>46</v>
      </c>
      <c r="C751" s="4" t="s">
        <v>22</v>
      </c>
      <c r="D751" s="4" t="s">
        <v>59</v>
      </c>
      <c r="E751" s="4">
        <v>380</v>
      </c>
      <c r="F751" s="4">
        <v>268</v>
      </c>
      <c r="G751" s="4">
        <v>172</v>
      </c>
      <c r="H751" s="4">
        <v>101.84</v>
      </c>
      <c r="I751" s="4">
        <v>65.36</v>
      </c>
      <c r="J751" s="4">
        <v>36.479999999999997</v>
      </c>
      <c r="K751" s="4">
        <v>18.829999999999998</v>
      </c>
      <c r="L751" s="4">
        <v>278</v>
      </c>
      <c r="M751" s="4" t="s">
        <v>28</v>
      </c>
      <c r="N751" s="4" t="s">
        <v>24</v>
      </c>
      <c r="O751" s="4" t="s">
        <v>63</v>
      </c>
      <c r="P751" s="4" t="s">
        <v>75</v>
      </c>
    </row>
    <row r="752" spans="1:16" x14ac:dyDescent="0.3">
      <c r="A752" s="4">
        <v>2024</v>
      </c>
      <c r="B752" s="4" t="s">
        <v>45</v>
      </c>
      <c r="C752" s="4" t="s">
        <v>22</v>
      </c>
      <c r="D752" s="4" t="s">
        <v>53</v>
      </c>
      <c r="E752" s="4">
        <v>184</v>
      </c>
      <c r="F752" s="4">
        <v>375</v>
      </c>
      <c r="G752" s="4">
        <v>342</v>
      </c>
      <c r="H752" s="4">
        <v>69</v>
      </c>
      <c r="I752" s="4">
        <v>62.93</v>
      </c>
      <c r="J752" s="4">
        <v>6.07</v>
      </c>
      <c r="K752" s="4">
        <v>8.4</v>
      </c>
      <c r="L752" s="4">
        <v>268</v>
      </c>
      <c r="M752" s="4" t="s">
        <v>37</v>
      </c>
      <c r="N752" s="4" t="s">
        <v>31</v>
      </c>
      <c r="O752" s="4" t="s">
        <v>42</v>
      </c>
      <c r="P752" s="4" t="s">
        <v>71</v>
      </c>
    </row>
    <row r="753" spans="1:16" x14ac:dyDescent="0.3">
      <c r="A753" s="4">
        <v>2025</v>
      </c>
      <c r="B753" s="4" t="s">
        <v>57</v>
      </c>
      <c r="C753" s="4" t="s">
        <v>22</v>
      </c>
      <c r="D753" s="4" t="s">
        <v>23</v>
      </c>
      <c r="E753" s="4">
        <v>356</v>
      </c>
      <c r="F753" s="4">
        <v>229</v>
      </c>
      <c r="G753" s="4">
        <v>34</v>
      </c>
      <c r="H753" s="4">
        <v>81.52</v>
      </c>
      <c r="I753" s="4">
        <v>12.1</v>
      </c>
      <c r="J753" s="4">
        <v>69.42</v>
      </c>
      <c r="K753" s="4">
        <v>13.16</v>
      </c>
      <c r="L753" s="4">
        <v>105</v>
      </c>
      <c r="M753" s="4" t="s">
        <v>28</v>
      </c>
      <c r="N753" s="4" t="s">
        <v>19</v>
      </c>
      <c r="O753" s="4" t="s">
        <v>62</v>
      </c>
      <c r="P753" s="4" t="s">
        <v>73</v>
      </c>
    </row>
    <row r="754" spans="1:16" x14ac:dyDescent="0.3">
      <c r="A754" s="4">
        <v>2023</v>
      </c>
      <c r="B754" s="4" t="s">
        <v>47</v>
      </c>
      <c r="C754" s="4" t="s">
        <v>35</v>
      </c>
      <c r="D754" s="4" t="s">
        <v>36</v>
      </c>
      <c r="E754" s="4">
        <v>354</v>
      </c>
      <c r="F754" s="4">
        <v>79</v>
      </c>
      <c r="G754" s="4">
        <v>30</v>
      </c>
      <c r="H754" s="4">
        <v>27.97</v>
      </c>
      <c r="I754" s="4">
        <v>10.62</v>
      </c>
      <c r="J754" s="4">
        <v>17.350000000000001</v>
      </c>
      <c r="K754" s="4">
        <v>-0.19</v>
      </c>
      <c r="L754" s="4">
        <v>252</v>
      </c>
      <c r="M754" s="4" t="s">
        <v>28</v>
      </c>
      <c r="N754" s="4" t="s">
        <v>19</v>
      </c>
      <c r="O754" s="4" t="s">
        <v>62</v>
      </c>
      <c r="P754" s="4" t="s">
        <v>71</v>
      </c>
    </row>
    <row r="755" spans="1:16" x14ac:dyDescent="0.3">
      <c r="A755" s="4">
        <v>2024</v>
      </c>
      <c r="B755" s="4" t="s">
        <v>45</v>
      </c>
      <c r="C755" s="4" t="s">
        <v>22</v>
      </c>
      <c r="D755" s="4" t="s">
        <v>53</v>
      </c>
      <c r="E755" s="4">
        <v>352</v>
      </c>
      <c r="F755" s="4">
        <v>368</v>
      </c>
      <c r="G755" s="4">
        <v>210</v>
      </c>
      <c r="H755" s="4">
        <v>129.54</v>
      </c>
      <c r="I755" s="4">
        <v>73.92</v>
      </c>
      <c r="J755" s="4">
        <v>55.62</v>
      </c>
      <c r="K755" s="4">
        <v>-3.98</v>
      </c>
      <c r="L755" s="4">
        <v>94</v>
      </c>
      <c r="M755" s="4" t="s">
        <v>37</v>
      </c>
      <c r="N755" s="4" t="s">
        <v>19</v>
      </c>
      <c r="O755" s="4" t="s">
        <v>62</v>
      </c>
      <c r="P755" s="4" t="s">
        <v>74</v>
      </c>
    </row>
    <row r="756" spans="1:16" x14ac:dyDescent="0.3">
      <c r="A756" s="4">
        <v>2025</v>
      </c>
      <c r="B756" s="4" t="s">
        <v>49</v>
      </c>
      <c r="C756" s="4" t="s">
        <v>33</v>
      </c>
      <c r="D756" s="4" t="s">
        <v>50</v>
      </c>
      <c r="E756" s="4">
        <v>214</v>
      </c>
      <c r="F756" s="4">
        <v>76</v>
      </c>
      <c r="G756" s="4">
        <v>44</v>
      </c>
      <c r="H756" s="4">
        <v>16.260000000000002</v>
      </c>
      <c r="I756" s="4">
        <v>9.42</v>
      </c>
      <c r="J756" s="4">
        <v>6.85</v>
      </c>
      <c r="K756" s="4">
        <v>12.62</v>
      </c>
      <c r="L756" s="4">
        <v>219</v>
      </c>
      <c r="M756" s="4" t="s">
        <v>28</v>
      </c>
      <c r="N756" s="4" t="s">
        <v>24</v>
      </c>
      <c r="O756" s="4" t="s">
        <v>63</v>
      </c>
      <c r="P756" s="4" t="s">
        <v>74</v>
      </c>
    </row>
    <row r="757" spans="1:16" x14ac:dyDescent="0.3">
      <c r="A757" s="4">
        <v>2025</v>
      </c>
      <c r="B757" s="4" t="s">
        <v>45</v>
      </c>
      <c r="C757" s="4" t="s">
        <v>33</v>
      </c>
      <c r="D757" s="4" t="s">
        <v>54</v>
      </c>
      <c r="E757" s="4">
        <v>308</v>
      </c>
      <c r="F757" s="4">
        <v>413</v>
      </c>
      <c r="G757" s="4">
        <v>195</v>
      </c>
      <c r="H757" s="4">
        <v>127.2</v>
      </c>
      <c r="I757" s="4">
        <v>60.06</v>
      </c>
      <c r="J757" s="4">
        <v>67.14</v>
      </c>
      <c r="K757" s="4">
        <v>-1.17</v>
      </c>
      <c r="L757" s="4">
        <v>242</v>
      </c>
      <c r="M757" s="4" t="s">
        <v>28</v>
      </c>
      <c r="N757" s="4" t="s">
        <v>31</v>
      </c>
      <c r="O757" s="4" t="s">
        <v>42</v>
      </c>
      <c r="P757" s="4" t="s">
        <v>74</v>
      </c>
    </row>
    <row r="758" spans="1:16" x14ac:dyDescent="0.3">
      <c r="A758" s="4">
        <v>2024</v>
      </c>
      <c r="B758" s="4" t="s">
        <v>45</v>
      </c>
      <c r="C758" s="4" t="s">
        <v>16</v>
      </c>
      <c r="D758" s="4" t="s">
        <v>56</v>
      </c>
      <c r="E758" s="4">
        <v>116</v>
      </c>
      <c r="F758" s="4">
        <v>487</v>
      </c>
      <c r="G758" s="4">
        <v>337</v>
      </c>
      <c r="H758" s="4">
        <v>56.49</v>
      </c>
      <c r="I758" s="4">
        <v>39.090000000000003</v>
      </c>
      <c r="J758" s="4">
        <v>17.399999999999999</v>
      </c>
      <c r="K758" s="4">
        <v>3.66</v>
      </c>
      <c r="L758" s="4">
        <v>57</v>
      </c>
      <c r="M758" s="4" t="s">
        <v>28</v>
      </c>
      <c r="N758" s="4" t="s">
        <v>19</v>
      </c>
      <c r="O758" s="4" t="s">
        <v>62</v>
      </c>
      <c r="P758" s="4" t="s">
        <v>71</v>
      </c>
    </row>
    <row r="759" spans="1:16" x14ac:dyDescent="0.3">
      <c r="A759" s="4">
        <v>2023</v>
      </c>
      <c r="B759" s="4" t="s">
        <v>15</v>
      </c>
      <c r="C759" s="4" t="s">
        <v>26</v>
      </c>
      <c r="D759" s="4" t="s">
        <v>52</v>
      </c>
      <c r="E759" s="4">
        <v>371</v>
      </c>
      <c r="F759" s="4">
        <v>376</v>
      </c>
      <c r="G759" s="4">
        <v>102</v>
      </c>
      <c r="H759" s="4">
        <v>139.5</v>
      </c>
      <c r="I759" s="4">
        <v>37.840000000000003</v>
      </c>
      <c r="J759" s="4">
        <v>101.65</v>
      </c>
      <c r="K759" s="4">
        <v>-5.42</v>
      </c>
      <c r="L759" s="4">
        <v>85</v>
      </c>
      <c r="M759" s="4" t="s">
        <v>37</v>
      </c>
      <c r="N759" s="4" t="s">
        <v>38</v>
      </c>
      <c r="O759" s="4" t="s">
        <v>44</v>
      </c>
      <c r="P759" s="4" t="s">
        <v>74</v>
      </c>
    </row>
    <row r="760" spans="1:16" x14ac:dyDescent="0.3">
      <c r="A760" s="4">
        <v>2023</v>
      </c>
      <c r="B760" s="4" t="s">
        <v>32</v>
      </c>
      <c r="C760" s="4" t="s">
        <v>26</v>
      </c>
      <c r="D760" s="4" t="s">
        <v>52</v>
      </c>
      <c r="E760" s="4">
        <v>323</v>
      </c>
      <c r="F760" s="4">
        <v>134</v>
      </c>
      <c r="G760" s="4">
        <v>41</v>
      </c>
      <c r="H760" s="4">
        <v>43.28</v>
      </c>
      <c r="I760" s="4">
        <v>13.24</v>
      </c>
      <c r="J760" s="4">
        <v>30.04</v>
      </c>
      <c r="K760" s="4">
        <v>17.25</v>
      </c>
      <c r="L760" s="4">
        <v>172</v>
      </c>
      <c r="M760" s="4" t="s">
        <v>18</v>
      </c>
      <c r="N760" s="4" t="s">
        <v>38</v>
      </c>
      <c r="O760" s="4" t="s">
        <v>44</v>
      </c>
      <c r="P760" s="4" t="s">
        <v>74</v>
      </c>
    </row>
    <row r="761" spans="1:16" x14ac:dyDescent="0.3">
      <c r="A761" s="4">
        <v>2024</v>
      </c>
      <c r="B761" s="4" t="s">
        <v>21</v>
      </c>
      <c r="C761" s="4" t="s">
        <v>22</v>
      </c>
      <c r="D761" s="4" t="s">
        <v>23</v>
      </c>
      <c r="E761" s="4">
        <v>432</v>
      </c>
      <c r="F761" s="4">
        <v>458</v>
      </c>
      <c r="G761" s="4">
        <v>427</v>
      </c>
      <c r="H761" s="4">
        <v>197.86</v>
      </c>
      <c r="I761" s="4">
        <v>184.46</v>
      </c>
      <c r="J761" s="4">
        <v>13.39</v>
      </c>
      <c r="K761" s="4">
        <v>13.38</v>
      </c>
      <c r="L761" s="4">
        <v>239</v>
      </c>
      <c r="M761" s="4" t="s">
        <v>28</v>
      </c>
      <c r="N761" s="4" t="s">
        <v>24</v>
      </c>
      <c r="O761" s="4" t="s">
        <v>63</v>
      </c>
      <c r="P761" s="4" t="s">
        <v>76</v>
      </c>
    </row>
    <row r="762" spans="1:16" x14ac:dyDescent="0.3">
      <c r="A762" s="4">
        <v>2023</v>
      </c>
      <c r="B762" s="4" t="s">
        <v>47</v>
      </c>
      <c r="C762" s="4" t="s">
        <v>35</v>
      </c>
      <c r="D762" s="4" t="s">
        <v>40</v>
      </c>
      <c r="E762" s="4">
        <v>210</v>
      </c>
      <c r="F762" s="4">
        <v>239</v>
      </c>
      <c r="G762" s="4">
        <v>223</v>
      </c>
      <c r="H762" s="4">
        <v>50.19</v>
      </c>
      <c r="I762" s="4">
        <v>46.83</v>
      </c>
      <c r="J762" s="4">
        <v>3.36</v>
      </c>
      <c r="K762" s="4">
        <v>2.35</v>
      </c>
      <c r="L762" s="4">
        <v>73</v>
      </c>
      <c r="M762" s="4" t="s">
        <v>37</v>
      </c>
      <c r="N762" s="4" t="s">
        <v>31</v>
      </c>
      <c r="O762" s="4" t="s">
        <v>42</v>
      </c>
      <c r="P762" s="4" t="s">
        <v>74</v>
      </c>
    </row>
    <row r="763" spans="1:16" x14ac:dyDescent="0.3">
      <c r="A763" s="4">
        <v>2025</v>
      </c>
      <c r="B763" s="4" t="s">
        <v>47</v>
      </c>
      <c r="C763" s="4" t="s">
        <v>16</v>
      </c>
      <c r="D763" s="4" t="s">
        <v>56</v>
      </c>
      <c r="E763" s="4">
        <v>424</v>
      </c>
      <c r="F763" s="4">
        <v>223</v>
      </c>
      <c r="G763" s="4">
        <v>201</v>
      </c>
      <c r="H763" s="4">
        <v>94.55</v>
      </c>
      <c r="I763" s="4">
        <v>85.22</v>
      </c>
      <c r="J763" s="4">
        <v>9.33</v>
      </c>
      <c r="K763" s="4">
        <v>6.94</v>
      </c>
      <c r="L763" s="4">
        <v>300</v>
      </c>
      <c r="M763" s="4" t="s">
        <v>28</v>
      </c>
      <c r="N763" s="4" t="s">
        <v>24</v>
      </c>
      <c r="O763" s="4" t="s">
        <v>63</v>
      </c>
      <c r="P763" s="4" t="s">
        <v>76</v>
      </c>
    </row>
    <row r="764" spans="1:16" x14ac:dyDescent="0.3">
      <c r="A764" s="4">
        <v>2024</v>
      </c>
      <c r="B764" s="4" t="s">
        <v>49</v>
      </c>
      <c r="C764" s="4" t="s">
        <v>33</v>
      </c>
      <c r="D764" s="4" t="s">
        <v>54</v>
      </c>
      <c r="E764" s="4">
        <v>406</v>
      </c>
      <c r="F764" s="4">
        <v>306</v>
      </c>
      <c r="G764" s="4">
        <v>132</v>
      </c>
      <c r="H764" s="4">
        <v>124.24</v>
      </c>
      <c r="I764" s="4">
        <v>53.59</v>
      </c>
      <c r="J764" s="4">
        <v>70.64</v>
      </c>
      <c r="K764" s="4">
        <v>16.16</v>
      </c>
      <c r="L764" s="4">
        <v>114</v>
      </c>
      <c r="M764" s="4" t="s">
        <v>28</v>
      </c>
      <c r="N764" s="4" t="s">
        <v>24</v>
      </c>
      <c r="O764" s="4" t="s">
        <v>63</v>
      </c>
      <c r="P764" s="4" t="s">
        <v>71</v>
      </c>
    </row>
    <row r="765" spans="1:16" x14ac:dyDescent="0.3">
      <c r="A765" s="4">
        <v>2024</v>
      </c>
      <c r="B765" s="4" t="s">
        <v>32</v>
      </c>
      <c r="C765" s="4" t="s">
        <v>26</v>
      </c>
      <c r="D765" s="4" t="s">
        <v>52</v>
      </c>
      <c r="E765" s="4">
        <v>268</v>
      </c>
      <c r="F765" s="4">
        <v>394</v>
      </c>
      <c r="G765" s="4">
        <v>196</v>
      </c>
      <c r="H765" s="4">
        <v>105.59</v>
      </c>
      <c r="I765" s="4">
        <v>52.53</v>
      </c>
      <c r="J765" s="4">
        <v>53.06</v>
      </c>
      <c r="K765" s="4">
        <v>10.52</v>
      </c>
      <c r="L765" s="4">
        <v>169</v>
      </c>
      <c r="M765" s="4" t="s">
        <v>18</v>
      </c>
      <c r="N765" s="4" t="s">
        <v>31</v>
      </c>
      <c r="O765" s="4" t="s">
        <v>42</v>
      </c>
      <c r="P765" s="4" t="s">
        <v>73</v>
      </c>
    </row>
    <row r="766" spans="1:16" x14ac:dyDescent="0.3">
      <c r="A766" s="4">
        <v>2025</v>
      </c>
      <c r="B766" s="4" t="s">
        <v>29</v>
      </c>
      <c r="C766" s="4" t="s">
        <v>16</v>
      </c>
      <c r="D766" s="4" t="s">
        <v>56</v>
      </c>
      <c r="E766" s="4">
        <v>79</v>
      </c>
      <c r="F766" s="4">
        <v>219</v>
      </c>
      <c r="G766" s="4">
        <v>198</v>
      </c>
      <c r="H766" s="4">
        <v>17.3</v>
      </c>
      <c r="I766" s="4">
        <v>15.64</v>
      </c>
      <c r="J766" s="4">
        <v>1.66</v>
      </c>
      <c r="K766" s="4">
        <v>23.49</v>
      </c>
      <c r="L766" s="4">
        <v>223</v>
      </c>
      <c r="M766" s="4" t="s">
        <v>18</v>
      </c>
      <c r="N766" s="4" t="s">
        <v>31</v>
      </c>
      <c r="O766" s="4" t="s">
        <v>42</v>
      </c>
      <c r="P766" s="4" t="s">
        <v>76</v>
      </c>
    </row>
    <row r="767" spans="1:16" x14ac:dyDescent="0.3">
      <c r="A767" s="4">
        <v>2023</v>
      </c>
      <c r="B767" s="4" t="s">
        <v>49</v>
      </c>
      <c r="C767" s="4" t="s">
        <v>16</v>
      </c>
      <c r="D767" s="4" t="s">
        <v>30</v>
      </c>
      <c r="E767" s="4">
        <v>405</v>
      </c>
      <c r="F767" s="4">
        <v>334</v>
      </c>
      <c r="G767" s="4">
        <v>212</v>
      </c>
      <c r="H767" s="4">
        <v>135.27000000000001</v>
      </c>
      <c r="I767" s="4">
        <v>85.86</v>
      </c>
      <c r="J767" s="4">
        <v>49.41</v>
      </c>
      <c r="K767" s="4">
        <v>18.239999999999998</v>
      </c>
      <c r="L767" s="4">
        <v>98</v>
      </c>
      <c r="M767" s="4" t="s">
        <v>18</v>
      </c>
      <c r="N767" s="4" t="s">
        <v>24</v>
      </c>
      <c r="O767" s="4" t="s">
        <v>63</v>
      </c>
      <c r="P767" s="4" t="s">
        <v>75</v>
      </c>
    </row>
    <row r="768" spans="1:16" x14ac:dyDescent="0.3">
      <c r="A768" s="4">
        <v>2025</v>
      </c>
      <c r="B768" s="4" t="s">
        <v>41</v>
      </c>
      <c r="C768" s="4" t="s">
        <v>22</v>
      </c>
      <c r="D768" s="4" t="s">
        <v>59</v>
      </c>
      <c r="E768" s="4">
        <v>167</v>
      </c>
      <c r="F768" s="4">
        <v>91</v>
      </c>
      <c r="G768" s="4">
        <v>38</v>
      </c>
      <c r="H768" s="4">
        <v>15.2</v>
      </c>
      <c r="I768" s="4">
        <v>6.35</v>
      </c>
      <c r="J768" s="4">
        <v>8.85</v>
      </c>
      <c r="K768" s="4">
        <v>16.16</v>
      </c>
      <c r="L768" s="4">
        <v>29</v>
      </c>
      <c r="M768" s="4" t="s">
        <v>18</v>
      </c>
      <c r="N768" s="4" t="s">
        <v>31</v>
      </c>
      <c r="O768" s="4" t="s">
        <v>42</v>
      </c>
      <c r="P768" s="4" t="s">
        <v>76</v>
      </c>
    </row>
    <row r="769" spans="1:16" x14ac:dyDescent="0.3">
      <c r="A769" s="4">
        <v>2024</v>
      </c>
      <c r="B769" s="4" t="s">
        <v>47</v>
      </c>
      <c r="C769" s="4" t="s">
        <v>33</v>
      </c>
      <c r="D769" s="4" t="s">
        <v>48</v>
      </c>
      <c r="E769" s="4">
        <v>258</v>
      </c>
      <c r="F769" s="4">
        <v>185</v>
      </c>
      <c r="G769" s="4">
        <v>53</v>
      </c>
      <c r="H769" s="4">
        <v>47.73</v>
      </c>
      <c r="I769" s="4">
        <v>13.67</v>
      </c>
      <c r="J769" s="4">
        <v>34.06</v>
      </c>
      <c r="K769" s="4">
        <v>18.59</v>
      </c>
      <c r="L769" s="4">
        <v>37</v>
      </c>
      <c r="M769" s="4" t="s">
        <v>28</v>
      </c>
      <c r="N769" s="4" t="s">
        <v>38</v>
      </c>
      <c r="O769" s="4" t="s">
        <v>44</v>
      </c>
      <c r="P769" s="4" t="s">
        <v>71</v>
      </c>
    </row>
    <row r="770" spans="1:16" x14ac:dyDescent="0.3">
      <c r="A770" s="4">
        <v>2025</v>
      </c>
      <c r="B770" s="4" t="s">
        <v>51</v>
      </c>
      <c r="C770" s="4" t="s">
        <v>22</v>
      </c>
      <c r="D770" s="4" t="s">
        <v>59</v>
      </c>
      <c r="E770" s="4">
        <v>127</v>
      </c>
      <c r="F770" s="4">
        <v>214</v>
      </c>
      <c r="G770" s="4">
        <v>186</v>
      </c>
      <c r="H770" s="4">
        <v>27.18</v>
      </c>
      <c r="I770" s="4">
        <v>23.62</v>
      </c>
      <c r="J770" s="4">
        <v>3.56</v>
      </c>
      <c r="K770" s="4">
        <v>8.14</v>
      </c>
      <c r="L770" s="4">
        <v>247</v>
      </c>
      <c r="M770" s="4" t="s">
        <v>37</v>
      </c>
      <c r="N770" s="4" t="s">
        <v>24</v>
      </c>
      <c r="O770" s="4" t="s">
        <v>63</v>
      </c>
      <c r="P770" s="4" t="s">
        <v>76</v>
      </c>
    </row>
    <row r="771" spans="1:16" x14ac:dyDescent="0.3">
      <c r="A771" s="4">
        <v>2025</v>
      </c>
      <c r="B771" s="4" t="s">
        <v>15</v>
      </c>
      <c r="C771" s="4" t="s">
        <v>33</v>
      </c>
      <c r="D771" s="4" t="s">
        <v>54</v>
      </c>
      <c r="E771" s="4">
        <v>475</v>
      </c>
      <c r="F771" s="4">
        <v>242</v>
      </c>
      <c r="G771" s="4">
        <v>177</v>
      </c>
      <c r="H771" s="4">
        <v>114.95</v>
      </c>
      <c r="I771" s="4">
        <v>84.08</v>
      </c>
      <c r="J771" s="4">
        <v>30.88</v>
      </c>
      <c r="K771" s="4">
        <v>5.39</v>
      </c>
      <c r="L771" s="4">
        <v>160</v>
      </c>
      <c r="M771" s="4" t="s">
        <v>28</v>
      </c>
      <c r="N771" s="4" t="s">
        <v>31</v>
      </c>
      <c r="O771" s="4" t="s">
        <v>42</v>
      </c>
      <c r="P771" s="4" t="s">
        <v>76</v>
      </c>
    </row>
    <row r="772" spans="1:16" x14ac:dyDescent="0.3">
      <c r="A772" s="4">
        <v>2024</v>
      </c>
      <c r="B772" s="4" t="s">
        <v>29</v>
      </c>
      <c r="C772" s="4" t="s">
        <v>26</v>
      </c>
      <c r="D772" s="4" t="s">
        <v>58</v>
      </c>
      <c r="E772" s="4">
        <v>433</v>
      </c>
      <c r="F772" s="4">
        <v>309</v>
      </c>
      <c r="G772" s="4">
        <v>184</v>
      </c>
      <c r="H772" s="4">
        <v>133.80000000000001</v>
      </c>
      <c r="I772" s="4">
        <v>79.67</v>
      </c>
      <c r="J772" s="4">
        <v>54.12</v>
      </c>
      <c r="K772" s="4">
        <v>15.35</v>
      </c>
      <c r="L772" s="4">
        <v>147</v>
      </c>
      <c r="M772" s="4" t="s">
        <v>37</v>
      </c>
      <c r="N772" s="4" t="s">
        <v>19</v>
      </c>
      <c r="O772" s="4" t="s">
        <v>62</v>
      </c>
      <c r="P772" s="4" t="s">
        <v>73</v>
      </c>
    </row>
    <row r="773" spans="1:16" x14ac:dyDescent="0.3">
      <c r="A773" s="4">
        <v>2024</v>
      </c>
      <c r="B773" s="4" t="s">
        <v>15</v>
      </c>
      <c r="C773" s="4" t="s">
        <v>16</v>
      </c>
      <c r="D773" s="4" t="s">
        <v>56</v>
      </c>
      <c r="E773" s="4">
        <v>360</v>
      </c>
      <c r="F773" s="4">
        <v>476</v>
      </c>
      <c r="G773" s="4">
        <v>46</v>
      </c>
      <c r="H773" s="4">
        <v>171.36</v>
      </c>
      <c r="I773" s="4">
        <v>16.559999999999999</v>
      </c>
      <c r="J773" s="4">
        <v>154.80000000000001</v>
      </c>
      <c r="K773" s="4">
        <v>13.77</v>
      </c>
      <c r="L773" s="4">
        <v>148</v>
      </c>
      <c r="M773" s="4" t="s">
        <v>28</v>
      </c>
      <c r="N773" s="4" t="s">
        <v>31</v>
      </c>
      <c r="O773" s="4" t="s">
        <v>42</v>
      </c>
      <c r="P773" s="4" t="s">
        <v>74</v>
      </c>
    </row>
    <row r="774" spans="1:16" x14ac:dyDescent="0.3">
      <c r="A774" s="4">
        <v>2023</v>
      </c>
      <c r="B774" s="4" t="s">
        <v>32</v>
      </c>
      <c r="C774" s="4" t="s">
        <v>26</v>
      </c>
      <c r="D774" s="4" t="s">
        <v>27</v>
      </c>
      <c r="E774" s="4">
        <v>165</v>
      </c>
      <c r="F774" s="4">
        <v>224</v>
      </c>
      <c r="G774" s="4">
        <v>141</v>
      </c>
      <c r="H774" s="4">
        <v>36.96</v>
      </c>
      <c r="I774" s="4">
        <v>23.27</v>
      </c>
      <c r="J774" s="4">
        <v>13.7</v>
      </c>
      <c r="K774" s="4">
        <v>-7.66</v>
      </c>
      <c r="L774" s="4">
        <v>194</v>
      </c>
      <c r="M774" s="4" t="s">
        <v>18</v>
      </c>
      <c r="N774" s="4" t="s">
        <v>38</v>
      </c>
      <c r="O774" s="4" t="s">
        <v>44</v>
      </c>
      <c r="P774" s="4" t="s">
        <v>73</v>
      </c>
    </row>
    <row r="775" spans="1:16" x14ac:dyDescent="0.3">
      <c r="A775" s="4">
        <v>2024</v>
      </c>
      <c r="B775" s="4" t="s">
        <v>46</v>
      </c>
      <c r="C775" s="4" t="s">
        <v>22</v>
      </c>
      <c r="D775" s="4" t="s">
        <v>23</v>
      </c>
      <c r="E775" s="4">
        <v>481</v>
      </c>
      <c r="F775" s="4">
        <v>342</v>
      </c>
      <c r="G775" s="4">
        <v>190</v>
      </c>
      <c r="H775" s="4">
        <v>164.5</v>
      </c>
      <c r="I775" s="4">
        <v>91.39</v>
      </c>
      <c r="J775" s="4">
        <v>73.11</v>
      </c>
      <c r="K775" s="4">
        <v>1.89</v>
      </c>
      <c r="L775" s="4">
        <v>127</v>
      </c>
      <c r="M775" s="4" t="s">
        <v>37</v>
      </c>
      <c r="N775" s="4" t="s">
        <v>31</v>
      </c>
      <c r="O775" s="4" t="s">
        <v>42</v>
      </c>
      <c r="P775" s="4" t="s">
        <v>74</v>
      </c>
    </row>
    <row r="776" spans="1:16" x14ac:dyDescent="0.3">
      <c r="A776" s="4">
        <v>2023</v>
      </c>
      <c r="B776" s="4" t="s">
        <v>46</v>
      </c>
      <c r="C776" s="4" t="s">
        <v>35</v>
      </c>
      <c r="D776" s="4" t="s">
        <v>40</v>
      </c>
      <c r="E776" s="4">
        <v>496</v>
      </c>
      <c r="F776" s="4">
        <v>351</v>
      </c>
      <c r="G776" s="4">
        <v>278</v>
      </c>
      <c r="H776" s="4">
        <v>174.1</v>
      </c>
      <c r="I776" s="4">
        <v>137.88999999999999</v>
      </c>
      <c r="J776" s="4">
        <v>36.21</v>
      </c>
      <c r="K776" s="4">
        <v>-2.96</v>
      </c>
      <c r="L776" s="4">
        <v>167</v>
      </c>
      <c r="M776" s="4" t="s">
        <v>37</v>
      </c>
      <c r="N776" s="4" t="s">
        <v>38</v>
      </c>
      <c r="O776" s="4" t="s">
        <v>44</v>
      </c>
      <c r="P776" s="4" t="s">
        <v>73</v>
      </c>
    </row>
    <row r="777" spans="1:16" x14ac:dyDescent="0.3">
      <c r="A777" s="4">
        <v>2024</v>
      </c>
      <c r="B777" s="4" t="s">
        <v>21</v>
      </c>
      <c r="C777" s="4" t="s">
        <v>26</v>
      </c>
      <c r="D777" s="4" t="s">
        <v>58</v>
      </c>
      <c r="E777" s="4">
        <v>78</v>
      </c>
      <c r="F777" s="4">
        <v>156</v>
      </c>
      <c r="G777" s="4">
        <v>134</v>
      </c>
      <c r="H777" s="4">
        <v>12.17</v>
      </c>
      <c r="I777" s="4">
        <v>10.45</v>
      </c>
      <c r="J777" s="4">
        <v>1.72</v>
      </c>
      <c r="K777" s="4">
        <v>-5.49</v>
      </c>
      <c r="L777" s="4">
        <v>121</v>
      </c>
      <c r="M777" s="4" t="s">
        <v>28</v>
      </c>
      <c r="N777" s="4" t="s">
        <v>38</v>
      </c>
      <c r="O777" s="4" t="s">
        <v>44</v>
      </c>
      <c r="P777" s="4" t="s">
        <v>72</v>
      </c>
    </row>
    <row r="778" spans="1:16" x14ac:dyDescent="0.3">
      <c r="A778" s="4">
        <v>2023</v>
      </c>
      <c r="B778" s="4" t="s">
        <v>49</v>
      </c>
      <c r="C778" s="4" t="s">
        <v>16</v>
      </c>
      <c r="D778" s="4" t="s">
        <v>56</v>
      </c>
      <c r="E778" s="4">
        <v>423</v>
      </c>
      <c r="F778" s="4">
        <v>66</v>
      </c>
      <c r="G778" s="4">
        <v>51</v>
      </c>
      <c r="H778" s="4">
        <v>27.92</v>
      </c>
      <c r="I778" s="4">
        <v>21.57</v>
      </c>
      <c r="J778" s="4">
        <v>6.34</v>
      </c>
      <c r="K778" s="4">
        <v>0.27</v>
      </c>
      <c r="L778" s="4">
        <v>72</v>
      </c>
      <c r="M778" s="4" t="s">
        <v>18</v>
      </c>
      <c r="N778" s="4" t="s">
        <v>24</v>
      </c>
      <c r="O778" s="4" t="s">
        <v>63</v>
      </c>
      <c r="P778" s="4" t="s">
        <v>71</v>
      </c>
    </row>
    <row r="779" spans="1:16" x14ac:dyDescent="0.3">
      <c r="A779" s="4">
        <v>2025</v>
      </c>
      <c r="B779" s="4" t="s">
        <v>39</v>
      </c>
      <c r="C779" s="4" t="s">
        <v>35</v>
      </c>
      <c r="D779" s="4" t="s">
        <v>36</v>
      </c>
      <c r="E779" s="4">
        <v>122</v>
      </c>
      <c r="F779" s="4">
        <v>324</v>
      </c>
      <c r="G779" s="4">
        <v>222</v>
      </c>
      <c r="H779" s="4">
        <v>39.53</v>
      </c>
      <c r="I779" s="4">
        <v>27.08</v>
      </c>
      <c r="J779" s="4">
        <v>12.44</v>
      </c>
      <c r="K779" s="4">
        <v>-5.09</v>
      </c>
      <c r="L779" s="4">
        <v>115</v>
      </c>
      <c r="M779" s="4" t="s">
        <v>28</v>
      </c>
      <c r="N779" s="4" t="s">
        <v>24</v>
      </c>
      <c r="O779" s="4" t="s">
        <v>63</v>
      </c>
      <c r="P779" s="4" t="s">
        <v>76</v>
      </c>
    </row>
    <row r="780" spans="1:16" x14ac:dyDescent="0.3">
      <c r="A780" s="4">
        <v>2025</v>
      </c>
      <c r="B780" s="4" t="s">
        <v>49</v>
      </c>
      <c r="C780" s="4" t="s">
        <v>26</v>
      </c>
      <c r="D780" s="4" t="s">
        <v>58</v>
      </c>
      <c r="E780" s="4">
        <v>354</v>
      </c>
      <c r="F780" s="4">
        <v>348</v>
      </c>
      <c r="G780" s="4">
        <v>125</v>
      </c>
      <c r="H780" s="4">
        <v>123.19</v>
      </c>
      <c r="I780" s="4">
        <v>44.25</v>
      </c>
      <c r="J780" s="4">
        <v>78.94</v>
      </c>
      <c r="K780" s="4">
        <v>6.22</v>
      </c>
      <c r="L780" s="4">
        <v>183</v>
      </c>
      <c r="M780" s="4" t="s">
        <v>28</v>
      </c>
      <c r="N780" s="4" t="s">
        <v>19</v>
      </c>
      <c r="O780" s="4" t="s">
        <v>62</v>
      </c>
      <c r="P780" s="4" t="s">
        <v>73</v>
      </c>
    </row>
    <row r="781" spans="1:16" x14ac:dyDescent="0.3">
      <c r="A781" s="4">
        <v>2024</v>
      </c>
      <c r="B781" s="4" t="s">
        <v>45</v>
      </c>
      <c r="C781" s="4" t="s">
        <v>16</v>
      </c>
      <c r="D781" s="4" t="s">
        <v>17</v>
      </c>
      <c r="E781" s="4">
        <v>458</v>
      </c>
      <c r="F781" s="4">
        <v>394</v>
      </c>
      <c r="G781" s="4">
        <v>342</v>
      </c>
      <c r="H781" s="4">
        <v>180.45</v>
      </c>
      <c r="I781" s="4">
        <v>156.63999999999999</v>
      </c>
      <c r="J781" s="4">
        <v>23.82</v>
      </c>
      <c r="K781" s="4">
        <v>-4.62</v>
      </c>
      <c r="L781" s="4">
        <v>40</v>
      </c>
      <c r="M781" s="4" t="s">
        <v>37</v>
      </c>
      <c r="N781" s="4" t="s">
        <v>19</v>
      </c>
      <c r="O781" s="4" t="s">
        <v>62</v>
      </c>
      <c r="P781" s="4" t="s">
        <v>71</v>
      </c>
    </row>
    <row r="782" spans="1:16" x14ac:dyDescent="0.3">
      <c r="A782" s="4">
        <v>2024</v>
      </c>
      <c r="B782" s="4" t="s">
        <v>29</v>
      </c>
      <c r="C782" s="4" t="s">
        <v>26</v>
      </c>
      <c r="D782" s="4" t="s">
        <v>58</v>
      </c>
      <c r="E782" s="4">
        <v>165</v>
      </c>
      <c r="F782" s="4">
        <v>70</v>
      </c>
      <c r="G782" s="4">
        <v>38</v>
      </c>
      <c r="H782" s="4">
        <v>11.55</v>
      </c>
      <c r="I782" s="4">
        <v>6.27</v>
      </c>
      <c r="J782" s="4">
        <v>5.28</v>
      </c>
      <c r="K782" s="4">
        <v>9.56</v>
      </c>
      <c r="L782" s="4">
        <v>269</v>
      </c>
      <c r="M782" s="4" t="s">
        <v>28</v>
      </c>
      <c r="N782" s="4" t="s">
        <v>31</v>
      </c>
      <c r="O782" s="4" t="s">
        <v>42</v>
      </c>
      <c r="P782" s="4" t="s">
        <v>71</v>
      </c>
    </row>
    <row r="783" spans="1:16" x14ac:dyDescent="0.3">
      <c r="A783" s="4">
        <v>2023</v>
      </c>
      <c r="B783" s="4" t="s">
        <v>15</v>
      </c>
      <c r="C783" s="4" t="s">
        <v>22</v>
      </c>
      <c r="D783" s="4" t="s">
        <v>59</v>
      </c>
      <c r="E783" s="4">
        <v>274</v>
      </c>
      <c r="F783" s="4">
        <v>133</v>
      </c>
      <c r="G783" s="4">
        <v>69</v>
      </c>
      <c r="H783" s="4">
        <v>36.44</v>
      </c>
      <c r="I783" s="4">
        <v>18.91</v>
      </c>
      <c r="J783" s="4">
        <v>17.54</v>
      </c>
      <c r="K783" s="4">
        <v>22.72</v>
      </c>
      <c r="L783" s="4">
        <v>82</v>
      </c>
      <c r="M783" s="4" t="s">
        <v>18</v>
      </c>
      <c r="N783" s="4" t="s">
        <v>24</v>
      </c>
      <c r="O783" s="4" t="s">
        <v>63</v>
      </c>
      <c r="P783" s="4" t="s">
        <v>73</v>
      </c>
    </row>
    <row r="784" spans="1:16" x14ac:dyDescent="0.3">
      <c r="A784" s="4">
        <v>2024</v>
      </c>
      <c r="B784" s="4" t="s">
        <v>51</v>
      </c>
      <c r="C784" s="4" t="s">
        <v>26</v>
      </c>
      <c r="D784" s="4" t="s">
        <v>58</v>
      </c>
      <c r="E784" s="4">
        <v>455</v>
      </c>
      <c r="F784" s="4">
        <v>126</v>
      </c>
      <c r="G784" s="4">
        <v>78</v>
      </c>
      <c r="H784" s="4">
        <v>57.33</v>
      </c>
      <c r="I784" s="4">
        <v>35.49</v>
      </c>
      <c r="J784" s="4">
        <v>21.84</v>
      </c>
      <c r="K784" s="4">
        <v>-6.11</v>
      </c>
      <c r="L784" s="4">
        <v>132</v>
      </c>
      <c r="M784" s="4" t="s">
        <v>28</v>
      </c>
      <c r="N784" s="4" t="s">
        <v>31</v>
      </c>
      <c r="O784" s="4" t="s">
        <v>42</v>
      </c>
      <c r="P784" s="4" t="s">
        <v>73</v>
      </c>
    </row>
    <row r="785" spans="1:16" x14ac:dyDescent="0.3">
      <c r="A785" s="4">
        <v>2025</v>
      </c>
      <c r="B785" s="4" t="s">
        <v>49</v>
      </c>
      <c r="C785" s="4" t="s">
        <v>16</v>
      </c>
      <c r="D785" s="4" t="s">
        <v>17</v>
      </c>
      <c r="E785" s="4">
        <v>446</v>
      </c>
      <c r="F785" s="4">
        <v>174</v>
      </c>
      <c r="G785" s="4">
        <v>128</v>
      </c>
      <c r="H785" s="4">
        <v>77.599999999999994</v>
      </c>
      <c r="I785" s="4">
        <v>57.09</v>
      </c>
      <c r="J785" s="4">
        <v>20.52</v>
      </c>
      <c r="K785" s="4">
        <v>16.93</v>
      </c>
      <c r="L785" s="4">
        <v>52</v>
      </c>
      <c r="M785" s="4" t="s">
        <v>37</v>
      </c>
      <c r="N785" s="4" t="s">
        <v>38</v>
      </c>
      <c r="O785" s="4" t="s">
        <v>44</v>
      </c>
      <c r="P785" s="4" t="s">
        <v>76</v>
      </c>
    </row>
    <row r="786" spans="1:16" x14ac:dyDescent="0.3">
      <c r="A786" s="4">
        <v>2023</v>
      </c>
      <c r="B786" s="4" t="s">
        <v>46</v>
      </c>
      <c r="C786" s="4" t="s">
        <v>33</v>
      </c>
      <c r="D786" s="4" t="s">
        <v>54</v>
      </c>
      <c r="E786" s="4">
        <v>258</v>
      </c>
      <c r="F786" s="4">
        <v>339</v>
      </c>
      <c r="G786" s="4">
        <v>58</v>
      </c>
      <c r="H786" s="4">
        <v>87.46</v>
      </c>
      <c r="I786" s="4">
        <v>14.96</v>
      </c>
      <c r="J786" s="4">
        <v>72.5</v>
      </c>
      <c r="K786" s="4">
        <v>19.71</v>
      </c>
      <c r="L786" s="4">
        <v>216</v>
      </c>
      <c r="M786" s="4" t="s">
        <v>28</v>
      </c>
      <c r="N786" s="4" t="s">
        <v>31</v>
      </c>
      <c r="O786" s="4" t="s">
        <v>42</v>
      </c>
      <c r="P786" s="4" t="s">
        <v>76</v>
      </c>
    </row>
    <row r="787" spans="1:16" x14ac:dyDescent="0.3">
      <c r="A787" s="4">
        <v>2023</v>
      </c>
      <c r="B787" s="4" t="s">
        <v>57</v>
      </c>
      <c r="C787" s="4" t="s">
        <v>22</v>
      </c>
      <c r="D787" s="4" t="s">
        <v>53</v>
      </c>
      <c r="E787" s="4">
        <v>321</v>
      </c>
      <c r="F787" s="4">
        <v>246</v>
      </c>
      <c r="G787" s="4">
        <v>137</v>
      </c>
      <c r="H787" s="4">
        <v>78.97</v>
      </c>
      <c r="I787" s="4">
        <v>43.98</v>
      </c>
      <c r="J787" s="4">
        <v>34.99</v>
      </c>
      <c r="K787" s="4">
        <v>-1.01</v>
      </c>
      <c r="L787" s="4">
        <v>298</v>
      </c>
      <c r="M787" s="4" t="s">
        <v>37</v>
      </c>
      <c r="N787" s="4" t="s">
        <v>24</v>
      </c>
      <c r="O787" s="4" t="s">
        <v>63</v>
      </c>
      <c r="P787" s="4" t="s">
        <v>71</v>
      </c>
    </row>
    <row r="788" spans="1:16" x14ac:dyDescent="0.3">
      <c r="A788" s="4">
        <v>2024</v>
      </c>
      <c r="B788" s="4" t="s">
        <v>46</v>
      </c>
      <c r="C788" s="4" t="s">
        <v>16</v>
      </c>
      <c r="D788" s="4" t="s">
        <v>30</v>
      </c>
      <c r="E788" s="4">
        <v>450</v>
      </c>
      <c r="F788" s="4">
        <v>448</v>
      </c>
      <c r="G788" s="4">
        <v>331</v>
      </c>
      <c r="H788" s="4">
        <v>201.6</v>
      </c>
      <c r="I788" s="4">
        <v>148.94999999999999</v>
      </c>
      <c r="J788" s="4">
        <v>52.65</v>
      </c>
      <c r="K788" s="4">
        <v>9.75</v>
      </c>
      <c r="L788" s="4">
        <v>244</v>
      </c>
      <c r="M788" s="4" t="s">
        <v>37</v>
      </c>
      <c r="N788" s="4" t="s">
        <v>19</v>
      </c>
      <c r="O788" s="4" t="s">
        <v>62</v>
      </c>
      <c r="P788" s="4" t="s">
        <v>73</v>
      </c>
    </row>
    <row r="789" spans="1:16" x14ac:dyDescent="0.3">
      <c r="A789" s="4">
        <v>2024</v>
      </c>
      <c r="B789" s="4" t="s">
        <v>29</v>
      </c>
      <c r="C789" s="4" t="s">
        <v>16</v>
      </c>
      <c r="D789" s="4" t="s">
        <v>56</v>
      </c>
      <c r="E789" s="4">
        <v>254</v>
      </c>
      <c r="F789" s="4">
        <v>61</v>
      </c>
      <c r="G789" s="4">
        <v>45</v>
      </c>
      <c r="H789" s="4">
        <v>15.49</v>
      </c>
      <c r="I789" s="4">
        <v>11.43</v>
      </c>
      <c r="J789" s="4">
        <v>4.0599999999999996</v>
      </c>
      <c r="K789" s="4">
        <v>-8.0399999999999991</v>
      </c>
      <c r="L789" s="4">
        <v>246</v>
      </c>
      <c r="M789" s="4" t="s">
        <v>37</v>
      </c>
      <c r="N789" s="4" t="s">
        <v>31</v>
      </c>
      <c r="O789" s="4" t="s">
        <v>42</v>
      </c>
      <c r="P789" s="4" t="s">
        <v>71</v>
      </c>
    </row>
    <row r="790" spans="1:16" x14ac:dyDescent="0.3">
      <c r="A790" s="4">
        <v>2023</v>
      </c>
      <c r="B790" s="4" t="s">
        <v>51</v>
      </c>
      <c r="C790" s="4" t="s">
        <v>35</v>
      </c>
      <c r="D790" s="4" t="s">
        <v>36</v>
      </c>
      <c r="E790" s="4">
        <v>258</v>
      </c>
      <c r="F790" s="4">
        <v>220</v>
      </c>
      <c r="G790" s="4">
        <v>189</v>
      </c>
      <c r="H790" s="4">
        <v>56.76</v>
      </c>
      <c r="I790" s="4">
        <v>48.76</v>
      </c>
      <c r="J790" s="4">
        <v>8</v>
      </c>
      <c r="K790" s="4">
        <v>22.57</v>
      </c>
      <c r="L790" s="4">
        <v>248</v>
      </c>
      <c r="M790" s="4" t="s">
        <v>18</v>
      </c>
      <c r="N790" s="4" t="s">
        <v>38</v>
      </c>
      <c r="O790" s="4" t="s">
        <v>44</v>
      </c>
      <c r="P790" s="4" t="s">
        <v>73</v>
      </c>
    </row>
    <row r="791" spans="1:16" x14ac:dyDescent="0.3">
      <c r="A791" s="4">
        <v>2023</v>
      </c>
      <c r="B791" s="4" t="s">
        <v>57</v>
      </c>
      <c r="C791" s="4" t="s">
        <v>22</v>
      </c>
      <c r="D791" s="4" t="s">
        <v>59</v>
      </c>
      <c r="E791" s="4">
        <v>172</v>
      </c>
      <c r="F791" s="4">
        <v>61</v>
      </c>
      <c r="G791" s="4">
        <v>30</v>
      </c>
      <c r="H791" s="4">
        <v>10.49</v>
      </c>
      <c r="I791" s="4">
        <v>5.16</v>
      </c>
      <c r="J791" s="4">
        <v>5.33</v>
      </c>
      <c r="K791" s="4">
        <v>2.94</v>
      </c>
      <c r="L791" s="4">
        <v>211</v>
      </c>
      <c r="M791" s="4" t="s">
        <v>18</v>
      </c>
      <c r="N791" s="4" t="s">
        <v>19</v>
      </c>
      <c r="O791" s="4" t="s">
        <v>62</v>
      </c>
      <c r="P791" s="4" t="s">
        <v>72</v>
      </c>
    </row>
    <row r="792" spans="1:16" x14ac:dyDescent="0.3">
      <c r="A792" s="4">
        <v>2024</v>
      </c>
      <c r="B792" s="4" t="s">
        <v>15</v>
      </c>
      <c r="C792" s="4" t="s">
        <v>26</v>
      </c>
      <c r="D792" s="4" t="s">
        <v>27</v>
      </c>
      <c r="E792" s="4">
        <v>70</v>
      </c>
      <c r="F792" s="4">
        <v>92</v>
      </c>
      <c r="G792" s="4">
        <v>74</v>
      </c>
      <c r="H792" s="4">
        <v>6.44</v>
      </c>
      <c r="I792" s="4">
        <v>5.18</v>
      </c>
      <c r="J792" s="4">
        <v>1.26</v>
      </c>
      <c r="K792" s="4">
        <v>0.75</v>
      </c>
      <c r="L792" s="4">
        <v>279</v>
      </c>
      <c r="M792" s="4" t="s">
        <v>37</v>
      </c>
      <c r="N792" s="4" t="s">
        <v>24</v>
      </c>
      <c r="O792" s="4" t="s">
        <v>63</v>
      </c>
      <c r="P792" s="4" t="s">
        <v>71</v>
      </c>
    </row>
    <row r="793" spans="1:16" x14ac:dyDescent="0.3">
      <c r="A793" s="4">
        <v>2024</v>
      </c>
      <c r="B793" s="4" t="s">
        <v>47</v>
      </c>
      <c r="C793" s="4" t="s">
        <v>22</v>
      </c>
      <c r="D793" s="4" t="s">
        <v>53</v>
      </c>
      <c r="E793" s="4">
        <v>341</v>
      </c>
      <c r="F793" s="4">
        <v>352</v>
      </c>
      <c r="G793" s="4">
        <v>96</v>
      </c>
      <c r="H793" s="4">
        <v>120.03</v>
      </c>
      <c r="I793" s="4">
        <v>32.74</v>
      </c>
      <c r="J793" s="4">
        <v>87.3</v>
      </c>
      <c r="K793" s="4">
        <v>-6.39</v>
      </c>
      <c r="L793" s="4">
        <v>65</v>
      </c>
      <c r="M793" s="4" t="s">
        <v>18</v>
      </c>
      <c r="N793" s="4" t="s">
        <v>19</v>
      </c>
      <c r="O793" s="4" t="s">
        <v>62</v>
      </c>
      <c r="P793" s="4" t="s">
        <v>72</v>
      </c>
    </row>
    <row r="794" spans="1:16" x14ac:dyDescent="0.3">
      <c r="A794" s="4">
        <v>2024</v>
      </c>
      <c r="B794" s="4" t="s">
        <v>41</v>
      </c>
      <c r="C794" s="4" t="s">
        <v>22</v>
      </c>
      <c r="D794" s="4" t="s">
        <v>59</v>
      </c>
      <c r="E794" s="4">
        <v>479</v>
      </c>
      <c r="F794" s="4">
        <v>404</v>
      </c>
      <c r="G794" s="4">
        <v>69</v>
      </c>
      <c r="H794" s="4">
        <v>193.52</v>
      </c>
      <c r="I794" s="4">
        <v>33.049999999999997</v>
      </c>
      <c r="J794" s="4">
        <v>160.46</v>
      </c>
      <c r="K794" s="4">
        <v>8.1300000000000008</v>
      </c>
      <c r="L794" s="4">
        <v>265</v>
      </c>
      <c r="M794" s="4" t="s">
        <v>28</v>
      </c>
      <c r="N794" s="4" t="s">
        <v>38</v>
      </c>
      <c r="O794" s="4" t="s">
        <v>44</v>
      </c>
      <c r="P794" s="4" t="s">
        <v>75</v>
      </c>
    </row>
    <row r="795" spans="1:16" x14ac:dyDescent="0.3">
      <c r="A795" s="4">
        <v>2025</v>
      </c>
      <c r="B795" s="4" t="s">
        <v>57</v>
      </c>
      <c r="C795" s="4" t="s">
        <v>22</v>
      </c>
      <c r="D795" s="4" t="s">
        <v>53</v>
      </c>
      <c r="E795" s="4">
        <v>154</v>
      </c>
      <c r="F795" s="4">
        <v>220</v>
      </c>
      <c r="G795" s="4">
        <v>193</v>
      </c>
      <c r="H795" s="4">
        <v>33.880000000000003</v>
      </c>
      <c r="I795" s="4">
        <v>29.72</v>
      </c>
      <c r="J795" s="4">
        <v>4.16</v>
      </c>
      <c r="K795" s="4">
        <v>-6.31</v>
      </c>
      <c r="L795" s="4">
        <v>172</v>
      </c>
      <c r="M795" s="4" t="s">
        <v>18</v>
      </c>
      <c r="N795" s="4" t="s">
        <v>31</v>
      </c>
      <c r="O795" s="4" t="s">
        <v>42</v>
      </c>
      <c r="P795" s="4" t="s">
        <v>71</v>
      </c>
    </row>
    <row r="796" spans="1:16" x14ac:dyDescent="0.3">
      <c r="A796" s="4">
        <v>2024</v>
      </c>
      <c r="B796" s="4" t="s">
        <v>49</v>
      </c>
      <c r="C796" s="4" t="s">
        <v>16</v>
      </c>
      <c r="D796" s="4" t="s">
        <v>56</v>
      </c>
      <c r="E796" s="4">
        <v>264</v>
      </c>
      <c r="F796" s="4">
        <v>480</v>
      </c>
      <c r="G796" s="4">
        <v>48</v>
      </c>
      <c r="H796" s="4">
        <v>126.72</v>
      </c>
      <c r="I796" s="4">
        <v>12.67</v>
      </c>
      <c r="J796" s="4">
        <v>114.05</v>
      </c>
      <c r="K796" s="4">
        <v>5.26</v>
      </c>
      <c r="L796" s="4">
        <v>229</v>
      </c>
      <c r="M796" s="4" t="s">
        <v>37</v>
      </c>
      <c r="N796" s="4" t="s">
        <v>38</v>
      </c>
      <c r="O796" s="4" t="s">
        <v>44</v>
      </c>
      <c r="P796" s="4" t="s">
        <v>76</v>
      </c>
    </row>
    <row r="797" spans="1:16" x14ac:dyDescent="0.3">
      <c r="A797" s="4">
        <v>2023</v>
      </c>
      <c r="B797" s="4" t="s">
        <v>49</v>
      </c>
      <c r="C797" s="4" t="s">
        <v>33</v>
      </c>
      <c r="D797" s="4" t="s">
        <v>50</v>
      </c>
      <c r="E797" s="4">
        <v>270</v>
      </c>
      <c r="F797" s="4">
        <v>182</v>
      </c>
      <c r="G797" s="4">
        <v>151</v>
      </c>
      <c r="H797" s="4">
        <v>49.14</v>
      </c>
      <c r="I797" s="4">
        <v>40.770000000000003</v>
      </c>
      <c r="J797" s="4">
        <v>8.3699999999999992</v>
      </c>
      <c r="K797" s="4">
        <v>-0.5</v>
      </c>
      <c r="L797" s="4">
        <v>195</v>
      </c>
      <c r="M797" s="4" t="s">
        <v>18</v>
      </c>
      <c r="N797" s="4" t="s">
        <v>38</v>
      </c>
      <c r="O797" s="4" t="s">
        <v>44</v>
      </c>
      <c r="P797" s="4" t="s">
        <v>74</v>
      </c>
    </row>
    <row r="798" spans="1:16" x14ac:dyDescent="0.3">
      <c r="A798" s="4">
        <v>2024</v>
      </c>
      <c r="B798" s="4" t="s">
        <v>32</v>
      </c>
      <c r="C798" s="4" t="s">
        <v>22</v>
      </c>
      <c r="D798" s="4" t="s">
        <v>55</v>
      </c>
      <c r="E798" s="4">
        <v>344</v>
      </c>
      <c r="F798" s="4">
        <v>279</v>
      </c>
      <c r="G798" s="4">
        <v>78</v>
      </c>
      <c r="H798" s="4">
        <v>95.98</v>
      </c>
      <c r="I798" s="4">
        <v>26.83</v>
      </c>
      <c r="J798" s="4">
        <v>69.14</v>
      </c>
      <c r="K798" s="4">
        <v>7.69</v>
      </c>
      <c r="L798" s="4">
        <v>76</v>
      </c>
      <c r="M798" s="4" t="s">
        <v>28</v>
      </c>
      <c r="N798" s="4" t="s">
        <v>31</v>
      </c>
      <c r="O798" s="4" t="s">
        <v>42</v>
      </c>
      <c r="P798" s="4" t="s">
        <v>71</v>
      </c>
    </row>
    <row r="799" spans="1:16" x14ac:dyDescent="0.3">
      <c r="A799" s="4">
        <v>2025</v>
      </c>
      <c r="B799" s="4" t="s">
        <v>15</v>
      </c>
      <c r="C799" s="4" t="s">
        <v>16</v>
      </c>
      <c r="D799" s="4" t="s">
        <v>56</v>
      </c>
      <c r="E799" s="4">
        <v>320</v>
      </c>
      <c r="F799" s="4">
        <v>211</v>
      </c>
      <c r="G799" s="4">
        <v>45</v>
      </c>
      <c r="H799" s="4">
        <v>67.52</v>
      </c>
      <c r="I799" s="4">
        <v>14.4</v>
      </c>
      <c r="J799" s="4">
        <v>53.12</v>
      </c>
      <c r="K799" s="4">
        <v>7.56</v>
      </c>
      <c r="L799" s="4">
        <v>46</v>
      </c>
      <c r="M799" s="4" t="s">
        <v>18</v>
      </c>
      <c r="N799" s="4" t="s">
        <v>19</v>
      </c>
      <c r="O799" s="4" t="s">
        <v>62</v>
      </c>
      <c r="P799" s="4" t="s">
        <v>75</v>
      </c>
    </row>
    <row r="800" spans="1:16" x14ac:dyDescent="0.3">
      <c r="A800" s="4">
        <v>2023</v>
      </c>
      <c r="B800" s="4" t="s">
        <v>15</v>
      </c>
      <c r="C800" s="4" t="s">
        <v>35</v>
      </c>
      <c r="D800" s="4" t="s">
        <v>36</v>
      </c>
      <c r="E800" s="4">
        <v>81</v>
      </c>
      <c r="F800" s="4">
        <v>277</v>
      </c>
      <c r="G800" s="4">
        <v>165</v>
      </c>
      <c r="H800" s="4">
        <v>22.44</v>
      </c>
      <c r="I800" s="4">
        <v>13.37</v>
      </c>
      <c r="J800" s="4">
        <v>9.07</v>
      </c>
      <c r="K800" s="4">
        <v>-5.22</v>
      </c>
      <c r="L800" s="4">
        <v>112</v>
      </c>
      <c r="M800" s="4" t="s">
        <v>28</v>
      </c>
      <c r="N800" s="4" t="s">
        <v>24</v>
      </c>
      <c r="O800" s="4" t="s">
        <v>63</v>
      </c>
      <c r="P800" s="4" t="s">
        <v>71</v>
      </c>
    </row>
    <row r="801" spans="1:16" x14ac:dyDescent="0.3">
      <c r="A801" s="4">
        <v>2024</v>
      </c>
      <c r="B801" s="4" t="s">
        <v>45</v>
      </c>
      <c r="C801" s="4" t="s">
        <v>26</v>
      </c>
      <c r="D801" s="4" t="s">
        <v>27</v>
      </c>
      <c r="E801" s="4">
        <v>177</v>
      </c>
      <c r="F801" s="4">
        <v>369</v>
      </c>
      <c r="G801" s="4">
        <v>281</v>
      </c>
      <c r="H801" s="4">
        <v>65.31</v>
      </c>
      <c r="I801" s="4">
        <v>49.74</v>
      </c>
      <c r="J801" s="4">
        <v>15.58</v>
      </c>
      <c r="K801" s="4">
        <v>5.48</v>
      </c>
      <c r="L801" s="4">
        <v>87</v>
      </c>
      <c r="M801" s="4" t="s">
        <v>28</v>
      </c>
      <c r="N801" s="4" t="s">
        <v>38</v>
      </c>
      <c r="O801" s="4" t="s">
        <v>44</v>
      </c>
      <c r="P801" s="4" t="s">
        <v>75</v>
      </c>
    </row>
    <row r="802" spans="1:16" x14ac:dyDescent="0.3">
      <c r="A802" s="4">
        <v>2023</v>
      </c>
      <c r="B802" s="4" t="s">
        <v>21</v>
      </c>
      <c r="C802" s="4" t="s">
        <v>35</v>
      </c>
      <c r="D802" s="4" t="s">
        <v>43</v>
      </c>
      <c r="E802" s="4">
        <v>312</v>
      </c>
      <c r="F802" s="4">
        <v>223</v>
      </c>
      <c r="G802" s="4">
        <v>30</v>
      </c>
      <c r="H802" s="4">
        <v>69.58</v>
      </c>
      <c r="I802" s="4">
        <v>9.36</v>
      </c>
      <c r="J802" s="4">
        <v>60.22</v>
      </c>
      <c r="K802" s="4">
        <v>8.5299999999999994</v>
      </c>
      <c r="L802" s="4">
        <v>189</v>
      </c>
      <c r="M802" s="4" t="s">
        <v>37</v>
      </c>
      <c r="N802" s="4" t="s">
        <v>24</v>
      </c>
      <c r="O802" s="4" t="s">
        <v>63</v>
      </c>
      <c r="P802" s="4" t="s">
        <v>74</v>
      </c>
    </row>
    <row r="803" spans="1:16" x14ac:dyDescent="0.3">
      <c r="A803" s="4">
        <v>2023</v>
      </c>
      <c r="B803" s="4" t="s">
        <v>51</v>
      </c>
      <c r="C803" s="4" t="s">
        <v>35</v>
      </c>
      <c r="D803" s="4" t="s">
        <v>43</v>
      </c>
      <c r="E803" s="4">
        <v>92</v>
      </c>
      <c r="F803" s="4">
        <v>124</v>
      </c>
      <c r="G803" s="4">
        <v>99</v>
      </c>
      <c r="H803" s="4">
        <v>11.41</v>
      </c>
      <c r="I803" s="4">
        <v>9.11</v>
      </c>
      <c r="J803" s="4">
        <v>2.2999999999999998</v>
      </c>
      <c r="K803" s="4">
        <v>4.18</v>
      </c>
      <c r="L803" s="4">
        <v>284</v>
      </c>
      <c r="M803" s="4" t="s">
        <v>28</v>
      </c>
      <c r="N803" s="4" t="s">
        <v>19</v>
      </c>
      <c r="O803" s="4" t="s">
        <v>62</v>
      </c>
      <c r="P803" s="4" t="s">
        <v>76</v>
      </c>
    </row>
    <row r="804" spans="1:16" x14ac:dyDescent="0.3">
      <c r="A804" s="4">
        <v>2023</v>
      </c>
      <c r="B804" s="4" t="s">
        <v>21</v>
      </c>
      <c r="C804" s="4" t="s">
        <v>22</v>
      </c>
      <c r="D804" s="4" t="s">
        <v>59</v>
      </c>
      <c r="E804" s="4">
        <v>442</v>
      </c>
      <c r="F804" s="4">
        <v>66</v>
      </c>
      <c r="G804" s="4">
        <v>30</v>
      </c>
      <c r="H804" s="4">
        <v>29.17</v>
      </c>
      <c r="I804" s="4">
        <v>13.26</v>
      </c>
      <c r="J804" s="4">
        <v>15.91</v>
      </c>
      <c r="K804" s="4">
        <v>20.84</v>
      </c>
      <c r="L804" s="4">
        <v>184</v>
      </c>
      <c r="M804" s="4" t="s">
        <v>28</v>
      </c>
      <c r="N804" s="4" t="s">
        <v>31</v>
      </c>
      <c r="O804" s="4" t="s">
        <v>42</v>
      </c>
      <c r="P804" s="4" t="s">
        <v>71</v>
      </c>
    </row>
    <row r="805" spans="1:16" x14ac:dyDescent="0.3">
      <c r="A805" s="4">
        <v>2024</v>
      </c>
      <c r="B805" s="4" t="s">
        <v>47</v>
      </c>
      <c r="C805" s="4" t="s">
        <v>26</v>
      </c>
      <c r="D805" s="4" t="s">
        <v>52</v>
      </c>
      <c r="E805" s="4">
        <v>169</v>
      </c>
      <c r="F805" s="4">
        <v>419</v>
      </c>
      <c r="G805" s="4">
        <v>319</v>
      </c>
      <c r="H805" s="4">
        <v>70.81</v>
      </c>
      <c r="I805" s="4">
        <v>53.91</v>
      </c>
      <c r="J805" s="4">
        <v>16.899999999999999</v>
      </c>
      <c r="K805" s="4">
        <v>8.77</v>
      </c>
      <c r="L805" s="4">
        <v>185</v>
      </c>
      <c r="M805" s="4" t="s">
        <v>28</v>
      </c>
      <c r="N805" s="4" t="s">
        <v>31</v>
      </c>
      <c r="O805" s="4" t="s">
        <v>42</v>
      </c>
      <c r="P805" s="4" t="s">
        <v>71</v>
      </c>
    </row>
    <row r="806" spans="1:16" x14ac:dyDescent="0.3">
      <c r="A806" s="4">
        <v>2025</v>
      </c>
      <c r="B806" s="4" t="s">
        <v>21</v>
      </c>
      <c r="C806" s="4" t="s">
        <v>22</v>
      </c>
      <c r="D806" s="4" t="s">
        <v>53</v>
      </c>
      <c r="E806" s="4">
        <v>334</v>
      </c>
      <c r="F806" s="4">
        <v>486</v>
      </c>
      <c r="G806" s="4">
        <v>290</v>
      </c>
      <c r="H806" s="4">
        <v>162.32</v>
      </c>
      <c r="I806" s="4">
        <v>96.86</v>
      </c>
      <c r="J806" s="4">
        <v>65.459999999999994</v>
      </c>
      <c r="K806" s="4">
        <v>24.12</v>
      </c>
      <c r="L806" s="4">
        <v>100</v>
      </c>
      <c r="M806" s="4" t="s">
        <v>37</v>
      </c>
      <c r="N806" s="4" t="s">
        <v>24</v>
      </c>
      <c r="O806" s="4" t="s">
        <v>63</v>
      </c>
      <c r="P806" s="4" t="s">
        <v>75</v>
      </c>
    </row>
    <row r="807" spans="1:16" x14ac:dyDescent="0.3">
      <c r="A807" s="4">
        <v>2025</v>
      </c>
      <c r="B807" s="4" t="s">
        <v>47</v>
      </c>
      <c r="C807" s="4" t="s">
        <v>33</v>
      </c>
      <c r="D807" s="4" t="s">
        <v>50</v>
      </c>
      <c r="E807" s="4">
        <v>242</v>
      </c>
      <c r="F807" s="4">
        <v>315</v>
      </c>
      <c r="G807" s="4">
        <v>149</v>
      </c>
      <c r="H807" s="4">
        <v>76.23</v>
      </c>
      <c r="I807" s="4">
        <v>36.06</v>
      </c>
      <c r="J807" s="4">
        <v>40.17</v>
      </c>
      <c r="K807" s="4">
        <v>-0.37</v>
      </c>
      <c r="L807" s="4">
        <v>245</v>
      </c>
      <c r="M807" s="4" t="s">
        <v>28</v>
      </c>
      <c r="N807" s="4" t="s">
        <v>38</v>
      </c>
      <c r="O807" s="4" t="s">
        <v>44</v>
      </c>
      <c r="P807" s="4" t="s">
        <v>73</v>
      </c>
    </row>
    <row r="808" spans="1:16" x14ac:dyDescent="0.3">
      <c r="A808" s="4">
        <v>2025</v>
      </c>
      <c r="B808" s="4" t="s">
        <v>29</v>
      </c>
      <c r="C808" s="4" t="s">
        <v>33</v>
      </c>
      <c r="D808" s="4" t="s">
        <v>50</v>
      </c>
      <c r="E808" s="4">
        <v>496</v>
      </c>
      <c r="F808" s="4">
        <v>101</v>
      </c>
      <c r="G808" s="4">
        <v>53</v>
      </c>
      <c r="H808" s="4">
        <v>50.1</v>
      </c>
      <c r="I808" s="4">
        <v>26.29</v>
      </c>
      <c r="J808" s="4">
        <v>23.81</v>
      </c>
      <c r="K808" s="4">
        <v>17.54</v>
      </c>
      <c r="L808" s="4">
        <v>47</v>
      </c>
      <c r="M808" s="4" t="s">
        <v>37</v>
      </c>
      <c r="N808" s="4" t="s">
        <v>24</v>
      </c>
      <c r="O808" s="4" t="s">
        <v>63</v>
      </c>
      <c r="P808" s="4" t="s">
        <v>73</v>
      </c>
    </row>
    <row r="809" spans="1:16" x14ac:dyDescent="0.3">
      <c r="A809" s="4">
        <v>2024</v>
      </c>
      <c r="B809" s="4" t="s">
        <v>57</v>
      </c>
      <c r="C809" s="4" t="s">
        <v>22</v>
      </c>
      <c r="D809" s="4" t="s">
        <v>53</v>
      </c>
      <c r="E809" s="4">
        <v>288</v>
      </c>
      <c r="F809" s="4">
        <v>385</v>
      </c>
      <c r="G809" s="4">
        <v>328</v>
      </c>
      <c r="H809" s="4">
        <v>110.88</v>
      </c>
      <c r="I809" s="4">
        <v>94.46</v>
      </c>
      <c r="J809" s="4">
        <v>16.420000000000002</v>
      </c>
      <c r="K809" s="4">
        <v>22.01</v>
      </c>
      <c r="L809" s="4">
        <v>122</v>
      </c>
      <c r="M809" s="4" t="s">
        <v>37</v>
      </c>
      <c r="N809" s="4" t="s">
        <v>38</v>
      </c>
      <c r="O809" s="4" t="s">
        <v>44</v>
      </c>
      <c r="P809" s="4" t="s">
        <v>76</v>
      </c>
    </row>
    <row r="810" spans="1:16" x14ac:dyDescent="0.3">
      <c r="A810" s="4">
        <v>2023</v>
      </c>
      <c r="B810" s="4" t="s">
        <v>49</v>
      </c>
      <c r="C810" s="4" t="s">
        <v>16</v>
      </c>
      <c r="D810" s="4" t="s">
        <v>56</v>
      </c>
      <c r="E810" s="4">
        <v>404</v>
      </c>
      <c r="F810" s="4">
        <v>350</v>
      </c>
      <c r="G810" s="4">
        <v>218</v>
      </c>
      <c r="H810" s="4">
        <v>141.4</v>
      </c>
      <c r="I810" s="4">
        <v>88.07</v>
      </c>
      <c r="J810" s="4">
        <v>53.33</v>
      </c>
      <c r="K810" s="4">
        <v>14.23</v>
      </c>
      <c r="L810" s="4">
        <v>166</v>
      </c>
      <c r="M810" s="4" t="s">
        <v>37</v>
      </c>
      <c r="N810" s="4" t="s">
        <v>31</v>
      </c>
      <c r="O810" s="4" t="s">
        <v>42</v>
      </c>
      <c r="P810" s="4" t="s">
        <v>72</v>
      </c>
    </row>
    <row r="811" spans="1:16" x14ac:dyDescent="0.3">
      <c r="A811" s="4">
        <v>2024</v>
      </c>
      <c r="B811" s="4" t="s">
        <v>49</v>
      </c>
      <c r="C811" s="4" t="s">
        <v>26</v>
      </c>
      <c r="D811" s="4" t="s">
        <v>52</v>
      </c>
      <c r="E811" s="4">
        <v>414</v>
      </c>
      <c r="F811" s="4">
        <v>183</v>
      </c>
      <c r="G811" s="4">
        <v>148</v>
      </c>
      <c r="H811" s="4">
        <v>75.760000000000005</v>
      </c>
      <c r="I811" s="4">
        <v>61.27</v>
      </c>
      <c r="J811" s="4">
        <v>14.49</v>
      </c>
      <c r="K811" s="4">
        <v>0.46</v>
      </c>
      <c r="L811" s="4">
        <v>299</v>
      </c>
      <c r="M811" s="4" t="s">
        <v>28</v>
      </c>
      <c r="N811" s="4" t="s">
        <v>19</v>
      </c>
      <c r="O811" s="4" t="s">
        <v>62</v>
      </c>
      <c r="P811" s="4" t="s">
        <v>76</v>
      </c>
    </row>
    <row r="812" spans="1:16" x14ac:dyDescent="0.3">
      <c r="A812" s="4">
        <v>2025</v>
      </c>
      <c r="B812" s="4" t="s">
        <v>21</v>
      </c>
      <c r="C812" s="4" t="s">
        <v>26</v>
      </c>
      <c r="D812" s="4" t="s">
        <v>27</v>
      </c>
      <c r="E812" s="4">
        <v>319</v>
      </c>
      <c r="F812" s="4">
        <v>341</v>
      </c>
      <c r="G812" s="4">
        <v>36</v>
      </c>
      <c r="H812" s="4">
        <v>108.78</v>
      </c>
      <c r="I812" s="4">
        <v>11.48</v>
      </c>
      <c r="J812" s="4">
        <v>97.3</v>
      </c>
      <c r="K812" s="4">
        <v>12.28</v>
      </c>
      <c r="L812" s="4">
        <v>37</v>
      </c>
      <c r="M812" s="4" t="s">
        <v>37</v>
      </c>
      <c r="N812" s="4" t="s">
        <v>19</v>
      </c>
      <c r="O812" s="4" t="s">
        <v>62</v>
      </c>
      <c r="P812" s="4" t="s">
        <v>74</v>
      </c>
    </row>
    <row r="813" spans="1:16" x14ac:dyDescent="0.3">
      <c r="A813" s="4">
        <v>2023</v>
      </c>
      <c r="B813" s="4" t="s">
        <v>57</v>
      </c>
      <c r="C813" s="4" t="s">
        <v>16</v>
      </c>
      <c r="D813" s="4" t="s">
        <v>17</v>
      </c>
      <c r="E813" s="4">
        <v>352</v>
      </c>
      <c r="F813" s="4">
        <v>387</v>
      </c>
      <c r="G813" s="4">
        <v>216</v>
      </c>
      <c r="H813" s="4">
        <v>136.22</v>
      </c>
      <c r="I813" s="4">
        <v>76.03</v>
      </c>
      <c r="J813" s="4">
        <v>60.19</v>
      </c>
      <c r="K813" s="4">
        <v>6.55</v>
      </c>
      <c r="L813" s="4">
        <v>126</v>
      </c>
      <c r="M813" s="4" t="s">
        <v>37</v>
      </c>
      <c r="N813" s="4" t="s">
        <v>24</v>
      </c>
      <c r="O813" s="4" t="s">
        <v>63</v>
      </c>
      <c r="P813" s="4" t="s">
        <v>73</v>
      </c>
    </row>
    <row r="814" spans="1:16" x14ac:dyDescent="0.3">
      <c r="A814" s="4">
        <v>2024</v>
      </c>
      <c r="B814" s="4" t="s">
        <v>21</v>
      </c>
      <c r="C814" s="4" t="s">
        <v>33</v>
      </c>
      <c r="D814" s="4" t="s">
        <v>48</v>
      </c>
      <c r="E814" s="4">
        <v>140</v>
      </c>
      <c r="F814" s="4">
        <v>97</v>
      </c>
      <c r="G814" s="4">
        <v>42</v>
      </c>
      <c r="H814" s="4">
        <v>13.58</v>
      </c>
      <c r="I814" s="4">
        <v>5.88</v>
      </c>
      <c r="J814" s="4">
        <v>7.7</v>
      </c>
      <c r="K814" s="4">
        <v>17.920000000000002</v>
      </c>
      <c r="L814" s="4">
        <v>263</v>
      </c>
      <c r="M814" s="4" t="s">
        <v>37</v>
      </c>
      <c r="N814" s="4" t="s">
        <v>31</v>
      </c>
      <c r="O814" s="4" t="s">
        <v>42</v>
      </c>
      <c r="P814" s="4" t="s">
        <v>75</v>
      </c>
    </row>
    <row r="815" spans="1:16" x14ac:dyDescent="0.3">
      <c r="A815" s="4">
        <v>2023</v>
      </c>
      <c r="B815" s="4" t="s">
        <v>51</v>
      </c>
      <c r="C815" s="4" t="s">
        <v>33</v>
      </c>
      <c r="D815" s="4" t="s">
        <v>50</v>
      </c>
      <c r="E815" s="4">
        <v>200</v>
      </c>
      <c r="F815" s="4">
        <v>416</v>
      </c>
      <c r="G815" s="4">
        <v>193</v>
      </c>
      <c r="H815" s="4">
        <v>83.2</v>
      </c>
      <c r="I815" s="4">
        <v>38.6</v>
      </c>
      <c r="J815" s="4">
        <v>44.6</v>
      </c>
      <c r="K815" s="4">
        <v>4.22</v>
      </c>
      <c r="L815" s="4">
        <v>147</v>
      </c>
      <c r="M815" s="4" t="s">
        <v>28</v>
      </c>
      <c r="N815" s="4" t="s">
        <v>38</v>
      </c>
      <c r="O815" s="4" t="s">
        <v>44</v>
      </c>
      <c r="P815" s="4" t="s">
        <v>71</v>
      </c>
    </row>
    <row r="816" spans="1:16" x14ac:dyDescent="0.3">
      <c r="A816" s="4">
        <v>2023</v>
      </c>
      <c r="B816" s="4" t="s">
        <v>32</v>
      </c>
      <c r="C816" s="4" t="s">
        <v>22</v>
      </c>
      <c r="D816" s="4" t="s">
        <v>55</v>
      </c>
      <c r="E816" s="4">
        <v>158</v>
      </c>
      <c r="F816" s="4">
        <v>84</v>
      </c>
      <c r="G816" s="4">
        <v>39</v>
      </c>
      <c r="H816" s="4">
        <v>13.27</v>
      </c>
      <c r="I816" s="4">
        <v>6.16</v>
      </c>
      <c r="J816" s="4">
        <v>7.11</v>
      </c>
      <c r="K816" s="4">
        <v>-7.31</v>
      </c>
      <c r="L816" s="4">
        <v>264</v>
      </c>
      <c r="M816" s="4" t="s">
        <v>18</v>
      </c>
      <c r="N816" s="4" t="s">
        <v>31</v>
      </c>
      <c r="O816" s="4" t="s">
        <v>42</v>
      </c>
      <c r="P816" s="4" t="s">
        <v>71</v>
      </c>
    </row>
    <row r="817" spans="1:16" x14ac:dyDescent="0.3">
      <c r="A817" s="4">
        <v>2023</v>
      </c>
      <c r="B817" s="4" t="s">
        <v>15</v>
      </c>
      <c r="C817" s="4" t="s">
        <v>35</v>
      </c>
      <c r="D817" s="4" t="s">
        <v>43</v>
      </c>
      <c r="E817" s="4">
        <v>463</v>
      </c>
      <c r="F817" s="4">
        <v>291</v>
      </c>
      <c r="G817" s="4">
        <v>74</v>
      </c>
      <c r="H817" s="4">
        <v>134.72999999999999</v>
      </c>
      <c r="I817" s="4">
        <v>34.26</v>
      </c>
      <c r="J817" s="4">
        <v>100.47</v>
      </c>
      <c r="K817" s="4">
        <v>19.350000000000001</v>
      </c>
      <c r="L817" s="4">
        <v>219</v>
      </c>
      <c r="M817" s="4" t="s">
        <v>18</v>
      </c>
      <c r="N817" s="4" t="s">
        <v>19</v>
      </c>
      <c r="O817" s="4" t="s">
        <v>62</v>
      </c>
      <c r="P817" s="4" t="s">
        <v>72</v>
      </c>
    </row>
    <row r="818" spans="1:16" x14ac:dyDescent="0.3">
      <c r="A818" s="4">
        <v>2025</v>
      </c>
      <c r="B818" s="4" t="s">
        <v>57</v>
      </c>
      <c r="C818" s="4" t="s">
        <v>35</v>
      </c>
      <c r="D818" s="4" t="s">
        <v>40</v>
      </c>
      <c r="E818" s="4">
        <v>355</v>
      </c>
      <c r="F818" s="4">
        <v>337</v>
      </c>
      <c r="G818" s="4">
        <v>196</v>
      </c>
      <c r="H818" s="4">
        <v>119.64</v>
      </c>
      <c r="I818" s="4">
        <v>69.58</v>
      </c>
      <c r="J818" s="4">
        <v>50.06</v>
      </c>
      <c r="K818" s="4">
        <v>19.940000000000001</v>
      </c>
      <c r="L818" s="4">
        <v>234</v>
      </c>
      <c r="M818" s="4" t="s">
        <v>37</v>
      </c>
      <c r="N818" s="4" t="s">
        <v>24</v>
      </c>
      <c r="O818" s="4" t="s">
        <v>63</v>
      </c>
      <c r="P818" s="4" t="s">
        <v>72</v>
      </c>
    </row>
    <row r="819" spans="1:16" x14ac:dyDescent="0.3">
      <c r="A819" s="4">
        <v>2025</v>
      </c>
      <c r="B819" s="4" t="s">
        <v>49</v>
      </c>
      <c r="C819" s="4" t="s">
        <v>26</v>
      </c>
      <c r="D819" s="4" t="s">
        <v>52</v>
      </c>
      <c r="E819" s="4">
        <v>67</v>
      </c>
      <c r="F819" s="4">
        <v>419</v>
      </c>
      <c r="G819" s="4">
        <v>47</v>
      </c>
      <c r="H819" s="4">
        <v>28.07</v>
      </c>
      <c r="I819" s="4">
        <v>3.15</v>
      </c>
      <c r="J819" s="4">
        <v>24.92</v>
      </c>
      <c r="K819" s="4">
        <v>7.65</v>
      </c>
      <c r="L819" s="4">
        <v>285</v>
      </c>
      <c r="M819" s="4" t="s">
        <v>18</v>
      </c>
      <c r="N819" s="4" t="s">
        <v>24</v>
      </c>
      <c r="O819" s="4" t="s">
        <v>63</v>
      </c>
      <c r="P819" s="4" t="s">
        <v>74</v>
      </c>
    </row>
    <row r="820" spans="1:16" x14ac:dyDescent="0.3">
      <c r="A820" s="4">
        <v>2024</v>
      </c>
      <c r="B820" s="4" t="s">
        <v>39</v>
      </c>
      <c r="C820" s="4" t="s">
        <v>35</v>
      </c>
      <c r="D820" s="4" t="s">
        <v>40</v>
      </c>
      <c r="E820" s="4">
        <v>56</v>
      </c>
      <c r="F820" s="4">
        <v>291</v>
      </c>
      <c r="G820" s="4">
        <v>87</v>
      </c>
      <c r="H820" s="4">
        <v>16.3</v>
      </c>
      <c r="I820" s="4">
        <v>4.87</v>
      </c>
      <c r="J820" s="4">
        <v>11.42</v>
      </c>
      <c r="K820" s="4">
        <v>10.42</v>
      </c>
      <c r="L820" s="4">
        <v>164</v>
      </c>
      <c r="M820" s="4" t="s">
        <v>18</v>
      </c>
      <c r="N820" s="4" t="s">
        <v>24</v>
      </c>
      <c r="O820" s="4" t="s">
        <v>63</v>
      </c>
      <c r="P820" s="4" t="s">
        <v>75</v>
      </c>
    </row>
    <row r="821" spans="1:16" x14ac:dyDescent="0.3">
      <c r="A821" s="4">
        <v>2024</v>
      </c>
      <c r="B821" s="4" t="s">
        <v>51</v>
      </c>
      <c r="C821" s="4" t="s">
        <v>26</v>
      </c>
      <c r="D821" s="4" t="s">
        <v>58</v>
      </c>
      <c r="E821" s="4">
        <v>213</v>
      </c>
      <c r="F821" s="4">
        <v>250</v>
      </c>
      <c r="G821" s="4">
        <v>133</v>
      </c>
      <c r="H821" s="4">
        <v>53.25</v>
      </c>
      <c r="I821" s="4">
        <v>28.33</v>
      </c>
      <c r="J821" s="4">
        <v>24.92</v>
      </c>
      <c r="K821" s="4">
        <v>19.48</v>
      </c>
      <c r="L821" s="4">
        <v>152</v>
      </c>
      <c r="M821" s="4" t="s">
        <v>37</v>
      </c>
      <c r="N821" s="4" t="s">
        <v>38</v>
      </c>
      <c r="O821" s="4" t="s">
        <v>44</v>
      </c>
      <c r="P821" s="4" t="s">
        <v>75</v>
      </c>
    </row>
    <row r="822" spans="1:16" x14ac:dyDescent="0.3">
      <c r="A822" s="4">
        <v>2025</v>
      </c>
      <c r="B822" s="4" t="s">
        <v>57</v>
      </c>
      <c r="C822" s="4" t="s">
        <v>33</v>
      </c>
      <c r="D822" s="4" t="s">
        <v>34</v>
      </c>
      <c r="E822" s="4">
        <v>354</v>
      </c>
      <c r="F822" s="4">
        <v>313</v>
      </c>
      <c r="G822" s="4">
        <v>287</v>
      </c>
      <c r="H822" s="4">
        <v>110.8</v>
      </c>
      <c r="I822" s="4">
        <v>101.6</v>
      </c>
      <c r="J822" s="4">
        <v>9.1999999999999993</v>
      </c>
      <c r="K822" s="4">
        <v>8.2899999999999991</v>
      </c>
      <c r="L822" s="4">
        <v>234</v>
      </c>
      <c r="M822" s="4" t="s">
        <v>28</v>
      </c>
      <c r="N822" s="4" t="s">
        <v>19</v>
      </c>
      <c r="O822" s="4" t="s">
        <v>62</v>
      </c>
      <c r="P822" s="4" t="s">
        <v>75</v>
      </c>
    </row>
    <row r="823" spans="1:16" x14ac:dyDescent="0.3">
      <c r="A823" s="4">
        <v>2023</v>
      </c>
      <c r="B823" s="4" t="s">
        <v>15</v>
      </c>
      <c r="C823" s="4" t="s">
        <v>26</v>
      </c>
      <c r="D823" s="4" t="s">
        <v>58</v>
      </c>
      <c r="E823" s="4">
        <v>250</v>
      </c>
      <c r="F823" s="4">
        <v>128</v>
      </c>
      <c r="G823" s="4">
        <v>50</v>
      </c>
      <c r="H823" s="4">
        <v>32</v>
      </c>
      <c r="I823" s="4">
        <v>12.5</v>
      </c>
      <c r="J823" s="4">
        <v>19.5</v>
      </c>
      <c r="K823" s="4">
        <v>13.6</v>
      </c>
      <c r="L823" s="4">
        <v>230</v>
      </c>
      <c r="M823" s="4" t="s">
        <v>37</v>
      </c>
      <c r="N823" s="4" t="s">
        <v>38</v>
      </c>
      <c r="O823" s="4" t="s">
        <v>44</v>
      </c>
      <c r="P823" s="4" t="s">
        <v>76</v>
      </c>
    </row>
    <row r="824" spans="1:16" x14ac:dyDescent="0.3">
      <c r="A824" s="4">
        <v>2024</v>
      </c>
      <c r="B824" s="4" t="s">
        <v>49</v>
      </c>
      <c r="C824" s="4" t="s">
        <v>22</v>
      </c>
      <c r="D824" s="4" t="s">
        <v>55</v>
      </c>
      <c r="E824" s="4">
        <v>172</v>
      </c>
      <c r="F824" s="4">
        <v>459</v>
      </c>
      <c r="G824" s="4">
        <v>219</v>
      </c>
      <c r="H824" s="4">
        <v>78.95</v>
      </c>
      <c r="I824" s="4">
        <v>37.67</v>
      </c>
      <c r="J824" s="4">
        <v>41.28</v>
      </c>
      <c r="K824" s="4">
        <v>0.17</v>
      </c>
      <c r="L824" s="4">
        <v>43</v>
      </c>
      <c r="M824" s="4" t="s">
        <v>37</v>
      </c>
      <c r="N824" s="4" t="s">
        <v>38</v>
      </c>
      <c r="O824" s="4" t="s">
        <v>44</v>
      </c>
      <c r="P824" s="4" t="s">
        <v>71</v>
      </c>
    </row>
    <row r="825" spans="1:16" x14ac:dyDescent="0.3">
      <c r="A825" s="4">
        <v>2023</v>
      </c>
      <c r="B825" s="4" t="s">
        <v>15</v>
      </c>
      <c r="C825" s="4" t="s">
        <v>33</v>
      </c>
      <c r="D825" s="4" t="s">
        <v>48</v>
      </c>
      <c r="E825" s="4">
        <v>260</v>
      </c>
      <c r="F825" s="4">
        <v>59</v>
      </c>
      <c r="G825" s="4">
        <v>44</v>
      </c>
      <c r="H825" s="4">
        <v>15.34</v>
      </c>
      <c r="I825" s="4">
        <v>11.44</v>
      </c>
      <c r="J825" s="4">
        <v>3.9</v>
      </c>
      <c r="K825" s="4">
        <v>14.89</v>
      </c>
      <c r="L825" s="4">
        <v>49</v>
      </c>
      <c r="M825" s="4" t="s">
        <v>37</v>
      </c>
      <c r="N825" s="4" t="s">
        <v>19</v>
      </c>
      <c r="O825" s="4" t="s">
        <v>62</v>
      </c>
      <c r="P825" s="4" t="s">
        <v>73</v>
      </c>
    </row>
    <row r="826" spans="1:16" x14ac:dyDescent="0.3">
      <c r="A826" s="4">
        <v>2023</v>
      </c>
      <c r="B826" s="4" t="s">
        <v>49</v>
      </c>
      <c r="C826" s="4" t="s">
        <v>35</v>
      </c>
      <c r="D826" s="4" t="s">
        <v>36</v>
      </c>
      <c r="E826" s="4">
        <v>85</v>
      </c>
      <c r="F826" s="4">
        <v>57</v>
      </c>
      <c r="G826" s="4">
        <v>31</v>
      </c>
      <c r="H826" s="4">
        <v>4.84</v>
      </c>
      <c r="I826" s="4">
        <v>2.63</v>
      </c>
      <c r="J826" s="4">
        <v>2.21</v>
      </c>
      <c r="K826" s="4">
        <v>6.07</v>
      </c>
      <c r="L826" s="4">
        <v>223</v>
      </c>
      <c r="M826" s="4" t="s">
        <v>18</v>
      </c>
      <c r="N826" s="4" t="s">
        <v>31</v>
      </c>
      <c r="O826" s="4" t="s">
        <v>42</v>
      </c>
      <c r="P826" s="4" t="s">
        <v>71</v>
      </c>
    </row>
    <row r="827" spans="1:16" x14ac:dyDescent="0.3">
      <c r="A827" s="4">
        <v>2025</v>
      </c>
      <c r="B827" s="4" t="s">
        <v>46</v>
      </c>
      <c r="C827" s="4" t="s">
        <v>26</v>
      </c>
      <c r="D827" s="4" t="s">
        <v>58</v>
      </c>
      <c r="E827" s="4">
        <v>392</v>
      </c>
      <c r="F827" s="4">
        <v>186</v>
      </c>
      <c r="G827" s="4">
        <v>134</v>
      </c>
      <c r="H827" s="4">
        <v>72.91</v>
      </c>
      <c r="I827" s="4">
        <v>52.53</v>
      </c>
      <c r="J827" s="4">
        <v>20.38</v>
      </c>
      <c r="K827" s="4">
        <v>-2.82</v>
      </c>
      <c r="L827" s="4">
        <v>22</v>
      </c>
      <c r="M827" s="4" t="s">
        <v>28</v>
      </c>
      <c r="N827" s="4" t="s">
        <v>38</v>
      </c>
      <c r="O827" s="4" t="s">
        <v>44</v>
      </c>
      <c r="P827" s="4" t="s">
        <v>72</v>
      </c>
    </row>
    <row r="828" spans="1:16" x14ac:dyDescent="0.3">
      <c r="A828" s="4">
        <v>2024</v>
      </c>
      <c r="B828" s="4" t="s">
        <v>49</v>
      </c>
      <c r="C828" s="4" t="s">
        <v>22</v>
      </c>
      <c r="D828" s="4" t="s">
        <v>55</v>
      </c>
      <c r="E828" s="4">
        <v>192</v>
      </c>
      <c r="F828" s="4">
        <v>463</v>
      </c>
      <c r="G828" s="4">
        <v>276</v>
      </c>
      <c r="H828" s="4">
        <v>88.9</v>
      </c>
      <c r="I828" s="4">
        <v>52.99</v>
      </c>
      <c r="J828" s="4">
        <v>35.9</v>
      </c>
      <c r="K828" s="4">
        <v>0.66</v>
      </c>
      <c r="L828" s="4">
        <v>198</v>
      </c>
      <c r="M828" s="4" t="s">
        <v>18</v>
      </c>
      <c r="N828" s="4" t="s">
        <v>24</v>
      </c>
      <c r="O828" s="4" t="s">
        <v>63</v>
      </c>
      <c r="P828" s="4" t="s">
        <v>72</v>
      </c>
    </row>
    <row r="829" spans="1:16" x14ac:dyDescent="0.3">
      <c r="A829" s="4">
        <v>2024</v>
      </c>
      <c r="B829" s="4" t="s">
        <v>29</v>
      </c>
      <c r="C829" s="4" t="s">
        <v>22</v>
      </c>
      <c r="D829" s="4" t="s">
        <v>23</v>
      </c>
      <c r="E829" s="4">
        <v>366</v>
      </c>
      <c r="F829" s="4">
        <v>456</v>
      </c>
      <c r="G829" s="4">
        <v>75</v>
      </c>
      <c r="H829" s="4">
        <v>166.9</v>
      </c>
      <c r="I829" s="4">
        <v>27.45</v>
      </c>
      <c r="J829" s="4">
        <v>139.44999999999999</v>
      </c>
      <c r="K829" s="4">
        <v>3.65</v>
      </c>
      <c r="L829" s="4">
        <v>245</v>
      </c>
      <c r="M829" s="4" t="s">
        <v>37</v>
      </c>
      <c r="N829" s="4" t="s">
        <v>19</v>
      </c>
      <c r="O829" s="4" t="s">
        <v>62</v>
      </c>
      <c r="P829" s="4" t="s">
        <v>74</v>
      </c>
    </row>
    <row r="830" spans="1:16" x14ac:dyDescent="0.3">
      <c r="A830" s="4">
        <v>2025</v>
      </c>
      <c r="B830" s="4" t="s">
        <v>39</v>
      </c>
      <c r="C830" s="4" t="s">
        <v>33</v>
      </c>
      <c r="D830" s="4" t="s">
        <v>48</v>
      </c>
      <c r="E830" s="4">
        <v>126</v>
      </c>
      <c r="F830" s="4">
        <v>287</v>
      </c>
      <c r="G830" s="4">
        <v>120</v>
      </c>
      <c r="H830" s="4">
        <v>36.159999999999997</v>
      </c>
      <c r="I830" s="4">
        <v>15.12</v>
      </c>
      <c r="J830" s="4">
        <v>21.04</v>
      </c>
      <c r="K830" s="4">
        <v>-4.49</v>
      </c>
      <c r="L830" s="4">
        <v>85</v>
      </c>
      <c r="M830" s="4" t="s">
        <v>18</v>
      </c>
      <c r="N830" s="4" t="s">
        <v>38</v>
      </c>
      <c r="O830" s="4" t="s">
        <v>44</v>
      </c>
      <c r="P830" s="4" t="s">
        <v>72</v>
      </c>
    </row>
    <row r="831" spans="1:16" x14ac:dyDescent="0.3">
      <c r="A831" s="4">
        <v>2023</v>
      </c>
      <c r="B831" s="4" t="s">
        <v>29</v>
      </c>
      <c r="C831" s="4" t="s">
        <v>26</v>
      </c>
      <c r="D831" s="4" t="s">
        <v>27</v>
      </c>
      <c r="E831" s="4">
        <v>482</v>
      </c>
      <c r="F831" s="4">
        <v>283</v>
      </c>
      <c r="G831" s="4">
        <v>166</v>
      </c>
      <c r="H831" s="4">
        <v>136.41</v>
      </c>
      <c r="I831" s="4">
        <v>80.010000000000005</v>
      </c>
      <c r="J831" s="4">
        <v>56.39</v>
      </c>
      <c r="K831" s="4">
        <v>7.19</v>
      </c>
      <c r="L831" s="4">
        <v>186</v>
      </c>
      <c r="M831" s="4" t="s">
        <v>18</v>
      </c>
      <c r="N831" s="4" t="s">
        <v>24</v>
      </c>
      <c r="O831" s="4" t="s">
        <v>63</v>
      </c>
      <c r="P831" s="4" t="s">
        <v>74</v>
      </c>
    </row>
    <row r="832" spans="1:16" x14ac:dyDescent="0.3">
      <c r="A832" s="4">
        <v>2024</v>
      </c>
      <c r="B832" s="4" t="s">
        <v>45</v>
      </c>
      <c r="C832" s="4" t="s">
        <v>22</v>
      </c>
      <c r="D832" s="4" t="s">
        <v>59</v>
      </c>
      <c r="E832" s="4">
        <v>355</v>
      </c>
      <c r="F832" s="4">
        <v>350</v>
      </c>
      <c r="G832" s="4">
        <v>57</v>
      </c>
      <c r="H832" s="4">
        <v>124.25</v>
      </c>
      <c r="I832" s="4">
        <v>20.23</v>
      </c>
      <c r="J832" s="4">
        <v>104.02</v>
      </c>
      <c r="K832" s="4">
        <v>-1.77</v>
      </c>
      <c r="L832" s="4">
        <v>268</v>
      </c>
      <c r="M832" s="4" t="s">
        <v>18</v>
      </c>
      <c r="N832" s="4" t="s">
        <v>19</v>
      </c>
      <c r="O832" s="4" t="s">
        <v>62</v>
      </c>
      <c r="P832" s="4" t="s">
        <v>71</v>
      </c>
    </row>
    <row r="833" spans="1:16" x14ac:dyDescent="0.3">
      <c r="A833" s="4">
        <v>2025</v>
      </c>
      <c r="B833" s="4" t="s">
        <v>41</v>
      </c>
      <c r="C833" s="4" t="s">
        <v>22</v>
      </c>
      <c r="D833" s="4" t="s">
        <v>23</v>
      </c>
      <c r="E833" s="4">
        <v>129</v>
      </c>
      <c r="F833" s="4">
        <v>304</v>
      </c>
      <c r="G833" s="4">
        <v>238</v>
      </c>
      <c r="H833" s="4">
        <v>39.22</v>
      </c>
      <c r="I833" s="4">
        <v>30.7</v>
      </c>
      <c r="J833" s="4">
        <v>8.51</v>
      </c>
      <c r="K833" s="4">
        <v>-7.86</v>
      </c>
      <c r="L833" s="4">
        <v>30</v>
      </c>
      <c r="M833" s="4" t="s">
        <v>28</v>
      </c>
      <c r="N833" s="4" t="s">
        <v>24</v>
      </c>
      <c r="O833" s="4" t="s">
        <v>63</v>
      </c>
      <c r="P833" s="4" t="s">
        <v>72</v>
      </c>
    </row>
    <row r="834" spans="1:16" x14ac:dyDescent="0.3">
      <c r="A834" s="4">
        <v>2024</v>
      </c>
      <c r="B834" s="4" t="s">
        <v>32</v>
      </c>
      <c r="C834" s="4" t="s">
        <v>35</v>
      </c>
      <c r="D834" s="4" t="s">
        <v>43</v>
      </c>
      <c r="E834" s="4">
        <v>277</v>
      </c>
      <c r="F834" s="4">
        <v>140</v>
      </c>
      <c r="G834" s="4">
        <v>112</v>
      </c>
      <c r="H834" s="4">
        <v>38.78</v>
      </c>
      <c r="I834" s="4">
        <v>31.02</v>
      </c>
      <c r="J834" s="4">
        <v>7.76</v>
      </c>
      <c r="K834" s="4">
        <v>0.95</v>
      </c>
      <c r="L834" s="4">
        <v>88</v>
      </c>
      <c r="M834" s="4" t="s">
        <v>18</v>
      </c>
      <c r="N834" s="4" t="s">
        <v>31</v>
      </c>
      <c r="O834" s="4" t="s">
        <v>42</v>
      </c>
      <c r="P834" s="4" t="s">
        <v>75</v>
      </c>
    </row>
    <row r="835" spans="1:16" x14ac:dyDescent="0.3">
      <c r="A835" s="4">
        <v>2023</v>
      </c>
      <c r="B835" s="4" t="s">
        <v>15</v>
      </c>
      <c r="C835" s="4" t="s">
        <v>33</v>
      </c>
      <c r="D835" s="4" t="s">
        <v>50</v>
      </c>
      <c r="E835" s="4">
        <v>448</v>
      </c>
      <c r="F835" s="4">
        <v>499</v>
      </c>
      <c r="G835" s="4">
        <v>319</v>
      </c>
      <c r="H835" s="4">
        <v>223.55</v>
      </c>
      <c r="I835" s="4">
        <v>142.91</v>
      </c>
      <c r="J835" s="4">
        <v>80.64</v>
      </c>
      <c r="K835" s="4">
        <v>13.57</v>
      </c>
      <c r="L835" s="4">
        <v>169</v>
      </c>
      <c r="M835" s="4" t="s">
        <v>28</v>
      </c>
      <c r="N835" s="4" t="s">
        <v>24</v>
      </c>
      <c r="O835" s="4" t="s">
        <v>63</v>
      </c>
      <c r="P835" s="4" t="s">
        <v>75</v>
      </c>
    </row>
    <row r="836" spans="1:16" x14ac:dyDescent="0.3">
      <c r="A836" s="4">
        <v>2024</v>
      </c>
      <c r="B836" s="4" t="s">
        <v>32</v>
      </c>
      <c r="C836" s="4" t="s">
        <v>26</v>
      </c>
      <c r="D836" s="4" t="s">
        <v>27</v>
      </c>
      <c r="E836" s="4">
        <v>51</v>
      </c>
      <c r="F836" s="4">
        <v>446</v>
      </c>
      <c r="G836" s="4">
        <v>126</v>
      </c>
      <c r="H836" s="4">
        <v>22.75</v>
      </c>
      <c r="I836" s="4">
        <v>6.43</v>
      </c>
      <c r="J836" s="4">
        <v>16.32</v>
      </c>
      <c r="K836" s="4">
        <v>3.78</v>
      </c>
      <c r="L836" s="4">
        <v>228</v>
      </c>
      <c r="M836" s="4" t="s">
        <v>37</v>
      </c>
      <c r="N836" s="4" t="s">
        <v>31</v>
      </c>
      <c r="O836" s="4" t="s">
        <v>42</v>
      </c>
      <c r="P836" s="4" t="s">
        <v>72</v>
      </c>
    </row>
    <row r="837" spans="1:16" x14ac:dyDescent="0.3">
      <c r="A837" s="4">
        <v>2024</v>
      </c>
      <c r="B837" s="4" t="s">
        <v>47</v>
      </c>
      <c r="C837" s="4" t="s">
        <v>35</v>
      </c>
      <c r="D837" s="4" t="s">
        <v>43</v>
      </c>
      <c r="E837" s="4">
        <v>112</v>
      </c>
      <c r="F837" s="4">
        <v>293</v>
      </c>
      <c r="G837" s="4">
        <v>257</v>
      </c>
      <c r="H837" s="4">
        <v>32.82</v>
      </c>
      <c r="I837" s="4">
        <v>28.78</v>
      </c>
      <c r="J837" s="4">
        <v>4.03</v>
      </c>
      <c r="K837" s="4">
        <v>4.16</v>
      </c>
      <c r="L837" s="4">
        <v>259</v>
      </c>
      <c r="M837" s="4" t="s">
        <v>18</v>
      </c>
      <c r="N837" s="4" t="s">
        <v>38</v>
      </c>
      <c r="O837" s="4" t="s">
        <v>44</v>
      </c>
      <c r="P837" s="4" t="s">
        <v>76</v>
      </c>
    </row>
    <row r="838" spans="1:16" x14ac:dyDescent="0.3">
      <c r="A838" s="4">
        <v>2025</v>
      </c>
      <c r="B838" s="4" t="s">
        <v>57</v>
      </c>
      <c r="C838" s="4" t="s">
        <v>16</v>
      </c>
      <c r="D838" s="4" t="s">
        <v>56</v>
      </c>
      <c r="E838" s="4">
        <v>160</v>
      </c>
      <c r="F838" s="4">
        <v>309</v>
      </c>
      <c r="G838" s="4">
        <v>183</v>
      </c>
      <c r="H838" s="4">
        <v>49.44</v>
      </c>
      <c r="I838" s="4">
        <v>29.28</v>
      </c>
      <c r="J838" s="4">
        <v>20.16</v>
      </c>
      <c r="K838" s="4">
        <v>10.39</v>
      </c>
      <c r="L838" s="4">
        <v>285</v>
      </c>
      <c r="M838" s="4" t="s">
        <v>37</v>
      </c>
      <c r="N838" s="4" t="s">
        <v>19</v>
      </c>
      <c r="O838" s="4" t="s">
        <v>62</v>
      </c>
      <c r="P838" s="4" t="s">
        <v>73</v>
      </c>
    </row>
    <row r="839" spans="1:16" x14ac:dyDescent="0.3">
      <c r="A839" s="4">
        <v>2024</v>
      </c>
      <c r="B839" s="4" t="s">
        <v>21</v>
      </c>
      <c r="C839" s="4" t="s">
        <v>22</v>
      </c>
      <c r="D839" s="4" t="s">
        <v>59</v>
      </c>
      <c r="E839" s="4">
        <v>76</v>
      </c>
      <c r="F839" s="4">
        <v>258</v>
      </c>
      <c r="G839" s="4">
        <v>227</v>
      </c>
      <c r="H839" s="4">
        <v>19.61</v>
      </c>
      <c r="I839" s="4">
        <v>17.25</v>
      </c>
      <c r="J839" s="4">
        <v>2.36</v>
      </c>
      <c r="K839" s="4">
        <v>12.49</v>
      </c>
      <c r="L839" s="4">
        <v>208</v>
      </c>
      <c r="M839" s="4" t="s">
        <v>18</v>
      </c>
      <c r="N839" s="4" t="s">
        <v>19</v>
      </c>
      <c r="O839" s="4" t="s">
        <v>62</v>
      </c>
      <c r="P839" s="4" t="s">
        <v>76</v>
      </c>
    </row>
    <row r="840" spans="1:16" x14ac:dyDescent="0.3">
      <c r="A840" s="4">
        <v>2024</v>
      </c>
      <c r="B840" s="4" t="s">
        <v>39</v>
      </c>
      <c r="C840" s="4" t="s">
        <v>35</v>
      </c>
      <c r="D840" s="4" t="s">
        <v>36</v>
      </c>
      <c r="E840" s="4">
        <v>325</v>
      </c>
      <c r="F840" s="4">
        <v>79</v>
      </c>
      <c r="G840" s="4">
        <v>36</v>
      </c>
      <c r="H840" s="4">
        <v>25.68</v>
      </c>
      <c r="I840" s="4">
        <v>11.7</v>
      </c>
      <c r="J840" s="4">
        <v>13.98</v>
      </c>
      <c r="K840" s="4">
        <v>2.1800000000000002</v>
      </c>
      <c r="L840" s="4">
        <v>127</v>
      </c>
      <c r="M840" s="4" t="s">
        <v>18</v>
      </c>
      <c r="N840" s="4" t="s">
        <v>31</v>
      </c>
      <c r="O840" s="4" t="s">
        <v>42</v>
      </c>
      <c r="P840" s="4" t="s">
        <v>76</v>
      </c>
    </row>
    <row r="841" spans="1:16" x14ac:dyDescent="0.3">
      <c r="A841" s="4">
        <v>2024</v>
      </c>
      <c r="B841" s="4" t="s">
        <v>21</v>
      </c>
      <c r="C841" s="4" t="s">
        <v>26</v>
      </c>
      <c r="D841" s="4" t="s">
        <v>58</v>
      </c>
      <c r="E841" s="4">
        <v>97</v>
      </c>
      <c r="F841" s="4">
        <v>93</v>
      </c>
      <c r="G841" s="4">
        <v>52</v>
      </c>
      <c r="H841" s="4">
        <v>9.02</v>
      </c>
      <c r="I841" s="4">
        <v>5.04</v>
      </c>
      <c r="J841" s="4">
        <v>3.98</v>
      </c>
      <c r="K841" s="4">
        <v>8.18</v>
      </c>
      <c r="L841" s="4">
        <v>101</v>
      </c>
      <c r="M841" s="4" t="s">
        <v>28</v>
      </c>
      <c r="N841" s="4" t="s">
        <v>19</v>
      </c>
      <c r="O841" s="4" t="s">
        <v>62</v>
      </c>
      <c r="P841" s="4" t="s">
        <v>72</v>
      </c>
    </row>
    <row r="842" spans="1:16" x14ac:dyDescent="0.3">
      <c r="A842" s="4">
        <v>2023</v>
      </c>
      <c r="B842" s="4" t="s">
        <v>46</v>
      </c>
      <c r="C842" s="4" t="s">
        <v>26</v>
      </c>
      <c r="D842" s="4" t="s">
        <v>52</v>
      </c>
      <c r="E842" s="4">
        <v>217</v>
      </c>
      <c r="F842" s="4">
        <v>84</v>
      </c>
      <c r="G842" s="4">
        <v>38</v>
      </c>
      <c r="H842" s="4">
        <v>18.23</v>
      </c>
      <c r="I842" s="4">
        <v>8.25</v>
      </c>
      <c r="J842" s="4">
        <v>9.98</v>
      </c>
      <c r="K842" s="4">
        <v>10.039999999999999</v>
      </c>
      <c r="L842" s="4">
        <v>164</v>
      </c>
      <c r="M842" s="4" t="s">
        <v>28</v>
      </c>
      <c r="N842" s="4" t="s">
        <v>31</v>
      </c>
      <c r="O842" s="4" t="s">
        <v>42</v>
      </c>
      <c r="P842" s="4" t="s">
        <v>73</v>
      </c>
    </row>
    <row r="843" spans="1:16" x14ac:dyDescent="0.3">
      <c r="A843" s="4">
        <v>2023</v>
      </c>
      <c r="B843" s="4" t="s">
        <v>57</v>
      </c>
      <c r="C843" s="4" t="s">
        <v>33</v>
      </c>
      <c r="D843" s="4" t="s">
        <v>50</v>
      </c>
      <c r="E843" s="4">
        <v>124</v>
      </c>
      <c r="F843" s="4">
        <v>281</v>
      </c>
      <c r="G843" s="4">
        <v>185</v>
      </c>
      <c r="H843" s="4">
        <v>34.840000000000003</v>
      </c>
      <c r="I843" s="4">
        <v>22.94</v>
      </c>
      <c r="J843" s="4">
        <v>11.9</v>
      </c>
      <c r="K843" s="4">
        <v>20.13</v>
      </c>
      <c r="L843" s="4">
        <v>220</v>
      </c>
      <c r="M843" s="4" t="s">
        <v>28</v>
      </c>
      <c r="N843" s="4" t="s">
        <v>38</v>
      </c>
      <c r="O843" s="4" t="s">
        <v>44</v>
      </c>
      <c r="P843" s="4" t="s">
        <v>75</v>
      </c>
    </row>
    <row r="844" spans="1:16" x14ac:dyDescent="0.3">
      <c r="A844" s="4">
        <v>2025</v>
      </c>
      <c r="B844" s="4" t="s">
        <v>41</v>
      </c>
      <c r="C844" s="4" t="s">
        <v>33</v>
      </c>
      <c r="D844" s="4" t="s">
        <v>48</v>
      </c>
      <c r="E844" s="4">
        <v>148</v>
      </c>
      <c r="F844" s="4">
        <v>192</v>
      </c>
      <c r="G844" s="4">
        <v>165</v>
      </c>
      <c r="H844" s="4">
        <v>28.42</v>
      </c>
      <c r="I844" s="4">
        <v>24.42</v>
      </c>
      <c r="J844" s="4">
        <v>4</v>
      </c>
      <c r="K844" s="4">
        <v>4.88</v>
      </c>
      <c r="L844" s="4">
        <v>37</v>
      </c>
      <c r="M844" s="4" t="s">
        <v>28</v>
      </c>
      <c r="N844" s="4" t="s">
        <v>19</v>
      </c>
      <c r="O844" s="4" t="s">
        <v>62</v>
      </c>
      <c r="P844" s="4" t="s">
        <v>76</v>
      </c>
    </row>
    <row r="845" spans="1:16" x14ac:dyDescent="0.3">
      <c r="A845" s="4">
        <v>2025</v>
      </c>
      <c r="B845" s="4" t="s">
        <v>51</v>
      </c>
      <c r="C845" s="4" t="s">
        <v>35</v>
      </c>
      <c r="D845" s="4" t="s">
        <v>36</v>
      </c>
      <c r="E845" s="4">
        <v>213</v>
      </c>
      <c r="F845" s="4">
        <v>396</v>
      </c>
      <c r="G845" s="4">
        <v>256</v>
      </c>
      <c r="H845" s="4">
        <v>84.35</v>
      </c>
      <c r="I845" s="4">
        <v>54.53</v>
      </c>
      <c r="J845" s="4">
        <v>29.82</v>
      </c>
      <c r="K845" s="4">
        <v>19.440000000000001</v>
      </c>
      <c r="L845" s="4">
        <v>260</v>
      </c>
      <c r="M845" s="4" t="s">
        <v>18</v>
      </c>
      <c r="N845" s="4" t="s">
        <v>19</v>
      </c>
      <c r="O845" s="4" t="s">
        <v>62</v>
      </c>
      <c r="P845" s="4" t="s">
        <v>71</v>
      </c>
    </row>
    <row r="846" spans="1:16" x14ac:dyDescent="0.3">
      <c r="A846" s="4">
        <v>2024</v>
      </c>
      <c r="B846" s="4" t="s">
        <v>49</v>
      </c>
      <c r="C846" s="4" t="s">
        <v>16</v>
      </c>
      <c r="D846" s="4" t="s">
        <v>17</v>
      </c>
      <c r="E846" s="4">
        <v>179</v>
      </c>
      <c r="F846" s="4">
        <v>236</v>
      </c>
      <c r="G846" s="4">
        <v>187</v>
      </c>
      <c r="H846" s="4">
        <v>42.24</v>
      </c>
      <c r="I846" s="4">
        <v>33.47</v>
      </c>
      <c r="J846" s="4">
        <v>8.77</v>
      </c>
      <c r="K846" s="4">
        <v>7.67</v>
      </c>
      <c r="L846" s="4">
        <v>162</v>
      </c>
      <c r="M846" s="4" t="s">
        <v>37</v>
      </c>
      <c r="N846" s="4" t="s">
        <v>38</v>
      </c>
      <c r="O846" s="4" t="s">
        <v>44</v>
      </c>
      <c r="P846" s="4" t="s">
        <v>74</v>
      </c>
    </row>
    <row r="847" spans="1:16" x14ac:dyDescent="0.3">
      <c r="A847" s="4">
        <v>2023</v>
      </c>
      <c r="B847" s="4" t="s">
        <v>15</v>
      </c>
      <c r="C847" s="4" t="s">
        <v>22</v>
      </c>
      <c r="D847" s="4" t="s">
        <v>55</v>
      </c>
      <c r="E847" s="4">
        <v>353</v>
      </c>
      <c r="F847" s="4">
        <v>461</v>
      </c>
      <c r="G847" s="4">
        <v>401</v>
      </c>
      <c r="H847" s="4">
        <v>162.72999999999999</v>
      </c>
      <c r="I847" s="4">
        <v>141.55000000000001</v>
      </c>
      <c r="J847" s="4">
        <v>21.18</v>
      </c>
      <c r="K847" s="4">
        <v>1.3</v>
      </c>
      <c r="L847" s="4">
        <v>167</v>
      </c>
      <c r="M847" s="4" t="s">
        <v>28</v>
      </c>
      <c r="N847" s="4" t="s">
        <v>38</v>
      </c>
      <c r="O847" s="4" t="s">
        <v>44</v>
      </c>
      <c r="P847" s="4" t="s">
        <v>73</v>
      </c>
    </row>
    <row r="848" spans="1:16" x14ac:dyDescent="0.3">
      <c r="A848" s="4">
        <v>2023</v>
      </c>
      <c r="B848" s="4" t="s">
        <v>21</v>
      </c>
      <c r="C848" s="4" t="s">
        <v>26</v>
      </c>
      <c r="D848" s="4" t="s">
        <v>58</v>
      </c>
      <c r="E848" s="4">
        <v>255</v>
      </c>
      <c r="F848" s="4">
        <v>284</v>
      </c>
      <c r="G848" s="4">
        <v>168</v>
      </c>
      <c r="H848" s="4">
        <v>72.42</v>
      </c>
      <c r="I848" s="4">
        <v>42.84</v>
      </c>
      <c r="J848" s="4">
        <v>29.58</v>
      </c>
      <c r="K848" s="4">
        <v>11.94</v>
      </c>
      <c r="L848" s="4">
        <v>133</v>
      </c>
      <c r="M848" s="4" t="s">
        <v>18</v>
      </c>
      <c r="N848" s="4" t="s">
        <v>38</v>
      </c>
      <c r="O848" s="4" t="s">
        <v>44</v>
      </c>
      <c r="P848" s="4" t="s">
        <v>75</v>
      </c>
    </row>
    <row r="849" spans="1:16" x14ac:dyDescent="0.3">
      <c r="A849" s="4">
        <v>2025</v>
      </c>
      <c r="B849" s="4" t="s">
        <v>49</v>
      </c>
      <c r="C849" s="4" t="s">
        <v>22</v>
      </c>
      <c r="D849" s="4" t="s">
        <v>53</v>
      </c>
      <c r="E849" s="4">
        <v>449</v>
      </c>
      <c r="F849" s="4">
        <v>430</v>
      </c>
      <c r="G849" s="4">
        <v>62</v>
      </c>
      <c r="H849" s="4">
        <v>193.07</v>
      </c>
      <c r="I849" s="4">
        <v>27.84</v>
      </c>
      <c r="J849" s="4">
        <v>165.23</v>
      </c>
      <c r="K849" s="4">
        <v>0.87</v>
      </c>
      <c r="L849" s="4">
        <v>155</v>
      </c>
      <c r="M849" s="4" t="s">
        <v>28</v>
      </c>
      <c r="N849" s="4" t="s">
        <v>38</v>
      </c>
      <c r="O849" s="4" t="s">
        <v>44</v>
      </c>
      <c r="P849" s="4" t="s">
        <v>71</v>
      </c>
    </row>
    <row r="850" spans="1:16" x14ac:dyDescent="0.3">
      <c r="A850" s="4">
        <v>2023</v>
      </c>
      <c r="B850" s="4" t="s">
        <v>39</v>
      </c>
      <c r="C850" s="4" t="s">
        <v>16</v>
      </c>
      <c r="D850" s="4" t="s">
        <v>30</v>
      </c>
      <c r="E850" s="4">
        <v>360</v>
      </c>
      <c r="F850" s="4">
        <v>247</v>
      </c>
      <c r="G850" s="4">
        <v>73</v>
      </c>
      <c r="H850" s="4">
        <v>88.92</v>
      </c>
      <c r="I850" s="4">
        <v>26.28</v>
      </c>
      <c r="J850" s="4">
        <v>62.64</v>
      </c>
      <c r="K850" s="4">
        <v>14.17</v>
      </c>
      <c r="L850" s="4">
        <v>64</v>
      </c>
      <c r="M850" s="4" t="s">
        <v>18</v>
      </c>
      <c r="N850" s="4" t="s">
        <v>31</v>
      </c>
      <c r="O850" s="4" t="s">
        <v>42</v>
      </c>
      <c r="P850" s="4" t="s">
        <v>74</v>
      </c>
    </row>
    <row r="851" spans="1:16" x14ac:dyDescent="0.3">
      <c r="A851" s="4">
        <v>2025</v>
      </c>
      <c r="B851" s="4" t="s">
        <v>29</v>
      </c>
      <c r="C851" s="4" t="s">
        <v>26</v>
      </c>
      <c r="D851" s="4" t="s">
        <v>52</v>
      </c>
      <c r="E851" s="4">
        <v>74</v>
      </c>
      <c r="F851" s="4">
        <v>429</v>
      </c>
      <c r="G851" s="4">
        <v>115</v>
      </c>
      <c r="H851" s="4">
        <v>31.75</v>
      </c>
      <c r="I851" s="4">
        <v>8.51</v>
      </c>
      <c r="J851" s="4">
        <v>23.24</v>
      </c>
      <c r="K851" s="4">
        <v>22.7</v>
      </c>
      <c r="L851" s="4">
        <v>284</v>
      </c>
      <c r="M851" s="4" t="s">
        <v>37</v>
      </c>
      <c r="N851" s="4" t="s">
        <v>31</v>
      </c>
      <c r="O851" s="4" t="s">
        <v>42</v>
      </c>
      <c r="P851" s="4" t="s">
        <v>72</v>
      </c>
    </row>
    <row r="852" spans="1:16" x14ac:dyDescent="0.3">
      <c r="A852" s="4">
        <v>2023</v>
      </c>
      <c r="B852" s="4" t="s">
        <v>49</v>
      </c>
      <c r="C852" s="4" t="s">
        <v>22</v>
      </c>
      <c r="D852" s="4" t="s">
        <v>53</v>
      </c>
      <c r="E852" s="4">
        <v>199</v>
      </c>
      <c r="F852" s="4">
        <v>174</v>
      </c>
      <c r="G852" s="4">
        <v>41</v>
      </c>
      <c r="H852" s="4">
        <v>34.630000000000003</v>
      </c>
      <c r="I852" s="4">
        <v>8.16</v>
      </c>
      <c r="J852" s="4">
        <v>26.47</v>
      </c>
      <c r="K852" s="4">
        <v>22.87</v>
      </c>
      <c r="L852" s="4">
        <v>24</v>
      </c>
      <c r="M852" s="4" t="s">
        <v>37</v>
      </c>
      <c r="N852" s="4" t="s">
        <v>31</v>
      </c>
      <c r="O852" s="4" t="s">
        <v>42</v>
      </c>
      <c r="P852" s="4" t="s">
        <v>72</v>
      </c>
    </row>
    <row r="853" spans="1:16" x14ac:dyDescent="0.3">
      <c r="A853" s="4">
        <v>2024</v>
      </c>
      <c r="B853" s="4" t="s">
        <v>29</v>
      </c>
      <c r="C853" s="4" t="s">
        <v>16</v>
      </c>
      <c r="D853" s="4" t="s">
        <v>17</v>
      </c>
      <c r="E853" s="4">
        <v>203</v>
      </c>
      <c r="F853" s="4">
        <v>430</v>
      </c>
      <c r="G853" s="4">
        <v>222</v>
      </c>
      <c r="H853" s="4">
        <v>87.29</v>
      </c>
      <c r="I853" s="4">
        <v>45.07</v>
      </c>
      <c r="J853" s="4">
        <v>42.22</v>
      </c>
      <c r="K853" s="4">
        <v>-0.04</v>
      </c>
      <c r="L853" s="4">
        <v>135</v>
      </c>
      <c r="M853" s="4" t="s">
        <v>28</v>
      </c>
      <c r="N853" s="4" t="s">
        <v>19</v>
      </c>
      <c r="O853" s="4" t="s">
        <v>62</v>
      </c>
      <c r="P853" s="4" t="s">
        <v>73</v>
      </c>
    </row>
    <row r="854" spans="1:16" x14ac:dyDescent="0.3">
      <c r="A854" s="4">
        <v>2025</v>
      </c>
      <c r="B854" s="4" t="s">
        <v>49</v>
      </c>
      <c r="C854" s="4" t="s">
        <v>35</v>
      </c>
      <c r="D854" s="4" t="s">
        <v>36</v>
      </c>
      <c r="E854" s="4">
        <v>461</v>
      </c>
      <c r="F854" s="4">
        <v>422</v>
      </c>
      <c r="G854" s="4">
        <v>117</v>
      </c>
      <c r="H854" s="4">
        <v>194.54</v>
      </c>
      <c r="I854" s="4">
        <v>53.94</v>
      </c>
      <c r="J854" s="4">
        <v>140.61000000000001</v>
      </c>
      <c r="K854" s="4">
        <v>-1</v>
      </c>
      <c r="L854" s="4">
        <v>256</v>
      </c>
      <c r="M854" s="4" t="s">
        <v>18</v>
      </c>
      <c r="N854" s="4" t="s">
        <v>31</v>
      </c>
      <c r="O854" s="4" t="s">
        <v>42</v>
      </c>
      <c r="P854" s="4" t="s">
        <v>75</v>
      </c>
    </row>
    <row r="855" spans="1:16" x14ac:dyDescent="0.3">
      <c r="A855" s="4">
        <v>2024</v>
      </c>
      <c r="B855" s="4" t="s">
        <v>47</v>
      </c>
      <c r="C855" s="4" t="s">
        <v>35</v>
      </c>
      <c r="D855" s="4" t="s">
        <v>43</v>
      </c>
      <c r="E855" s="4">
        <v>463</v>
      </c>
      <c r="F855" s="4">
        <v>57</v>
      </c>
      <c r="G855" s="4">
        <v>37</v>
      </c>
      <c r="H855" s="4">
        <v>26.39</v>
      </c>
      <c r="I855" s="4">
        <v>17.13</v>
      </c>
      <c r="J855" s="4">
        <v>9.26</v>
      </c>
      <c r="K855" s="4">
        <v>-2.4700000000000002</v>
      </c>
      <c r="L855" s="4">
        <v>257</v>
      </c>
      <c r="M855" s="4" t="s">
        <v>18</v>
      </c>
      <c r="N855" s="4" t="s">
        <v>24</v>
      </c>
      <c r="O855" s="4" t="s">
        <v>63</v>
      </c>
      <c r="P855" s="4" t="s">
        <v>73</v>
      </c>
    </row>
    <row r="856" spans="1:16" x14ac:dyDescent="0.3">
      <c r="A856" s="4">
        <v>2023</v>
      </c>
      <c r="B856" s="4" t="s">
        <v>39</v>
      </c>
      <c r="C856" s="4" t="s">
        <v>16</v>
      </c>
      <c r="D856" s="4" t="s">
        <v>17</v>
      </c>
      <c r="E856" s="4">
        <v>216</v>
      </c>
      <c r="F856" s="4">
        <v>469</v>
      </c>
      <c r="G856" s="4">
        <v>93</v>
      </c>
      <c r="H856" s="4">
        <v>101.3</v>
      </c>
      <c r="I856" s="4">
        <v>20.09</v>
      </c>
      <c r="J856" s="4">
        <v>81.22</v>
      </c>
      <c r="K856" s="4">
        <v>-4.2</v>
      </c>
      <c r="L856" s="4">
        <v>191</v>
      </c>
      <c r="M856" s="4" t="s">
        <v>18</v>
      </c>
      <c r="N856" s="4" t="s">
        <v>31</v>
      </c>
      <c r="O856" s="4" t="s">
        <v>42</v>
      </c>
      <c r="P856" s="4" t="s">
        <v>76</v>
      </c>
    </row>
    <row r="857" spans="1:16" x14ac:dyDescent="0.3">
      <c r="A857" s="4">
        <v>2023</v>
      </c>
      <c r="B857" s="4" t="s">
        <v>15</v>
      </c>
      <c r="C857" s="4" t="s">
        <v>16</v>
      </c>
      <c r="D857" s="4" t="s">
        <v>30</v>
      </c>
      <c r="E857" s="4">
        <v>445</v>
      </c>
      <c r="F857" s="4">
        <v>460</v>
      </c>
      <c r="G857" s="4">
        <v>333</v>
      </c>
      <c r="H857" s="4">
        <v>204.7</v>
      </c>
      <c r="I857" s="4">
        <v>148.19</v>
      </c>
      <c r="J857" s="4">
        <v>56.51</v>
      </c>
      <c r="K857" s="4">
        <v>15.39</v>
      </c>
      <c r="L857" s="4">
        <v>52</v>
      </c>
      <c r="M857" s="4" t="s">
        <v>37</v>
      </c>
      <c r="N857" s="4" t="s">
        <v>38</v>
      </c>
      <c r="O857" s="4" t="s">
        <v>44</v>
      </c>
      <c r="P857" s="4" t="s">
        <v>73</v>
      </c>
    </row>
    <row r="858" spans="1:16" x14ac:dyDescent="0.3">
      <c r="A858" s="4">
        <v>2023</v>
      </c>
      <c r="B858" s="4" t="s">
        <v>21</v>
      </c>
      <c r="C858" s="4" t="s">
        <v>16</v>
      </c>
      <c r="D858" s="4" t="s">
        <v>17</v>
      </c>
      <c r="E858" s="4">
        <v>236</v>
      </c>
      <c r="F858" s="4">
        <v>397</v>
      </c>
      <c r="G858" s="4">
        <v>316</v>
      </c>
      <c r="H858" s="4">
        <v>93.69</v>
      </c>
      <c r="I858" s="4">
        <v>74.58</v>
      </c>
      <c r="J858" s="4">
        <v>19.12</v>
      </c>
      <c r="K858" s="4">
        <v>6.46</v>
      </c>
      <c r="L858" s="4">
        <v>198</v>
      </c>
      <c r="M858" s="4" t="s">
        <v>37</v>
      </c>
      <c r="N858" s="4" t="s">
        <v>38</v>
      </c>
      <c r="O858" s="4" t="s">
        <v>44</v>
      </c>
      <c r="P858" s="4" t="s">
        <v>75</v>
      </c>
    </row>
    <row r="859" spans="1:16" x14ac:dyDescent="0.3">
      <c r="A859" s="4">
        <v>2024</v>
      </c>
      <c r="B859" s="4" t="s">
        <v>32</v>
      </c>
      <c r="C859" s="4" t="s">
        <v>26</v>
      </c>
      <c r="D859" s="4" t="s">
        <v>52</v>
      </c>
      <c r="E859" s="4">
        <v>128</v>
      </c>
      <c r="F859" s="4">
        <v>410</v>
      </c>
      <c r="G859" s="4">
        <v>276</v>
      </c>
      <c r="H859" s="4">
        <v>52.48</v>
      </c>
      <c r="I859" s="4">
        <v>35.33</v>
      </c>
      <c r="J859" s="4">
        <v>17.149999999999999</v>
      </c>
      <c r="K859" s="4">
        <v>-5.68</v>
      </c>
      <c r="L859" s="4">
        <v>128</v>
      </c>
      <c r="M859" s="4" t="s">
        <v>28</v>
      </c>
      <c r="N859" s="4" t="s">
        <v>24</v>
      </c>
      <c r="O859" s="4" t="s">
        <v>63</v>
      </c>
      <c r="P859" s="4" t="s">
        <v>75</v>
      </c>
    </row>
    <row r="860" spans="1:16" x14ac:dyDescent="0.3">
      <c r="A860" s="4">
        <v>2024</v>
      </c>
      <c r="B860" s="4" t="s">
        <v>39</v>
      </c>
      <c r="C860" s="4" t="s">
        <v>33</v>
      </c>
      <c r="D860" s="4" t="s">
        <v>34</v>
      </c>
      <c r="E860" s="4">
        <v>458</v>
      </c>
      <c r="F860" s="4">
        <v>102</v>
      </c>
      <c r="G860" s="4">
        <v>54</v>
      </c>
      <c r="H860" s="4">
        <v>46.72</v>
      </c>
      <c r="I860" s="4">
        <v>24.73</v>
      </c>
      <c r="J860" s="4">
        <v>21.98</v>
      </c>
      <c r="K860" s="4">
        <v>-2.67</v>
      </c>
      <c r="L860" s="4">
        <v>92</v>
      </c>
      <c r="M860" s="4" t="s">
        <v>28</v>
      </c>
      <c r="N860" s="4" t="s">
        <v>38</v>
      </c>
      <c r="O860" s="4" t="s">
        <v>44</v>
      </c>
      <c r="P860" s="4" t="s">
        <v>75</v>
      </c>
    </row>
    <row r="861" spans="1:16" x14ac:dyDescent="0.3">
      <c r="A861" s="4">
        <v>2025</v>
      </c>
      <c r="B861" s="4" t="s">
        <v>41</v>
      </c>
      <c r="C861" s="4" t="s">
        <v>16</v>
      </c>
      <c r="D861" s="4" t="s">
        <v>56</v>
      </c>
      <c r="E861" s="4">
        <v>353</v>
      </c>
      <c r="F861" s="4">
        <v>423</v>
      </c>
      <c r="G861" s="4">
        <v>350</v>
      </c>
      <c r="H861" s="4">
        <v>149.32</v>
      </c>
      <c r="I861" s="4">
        <v>123.55</v>
      </c>
      <c r="J861" s="4">
        <v>25.77</v>
      </c>
      <c r="K861" s="4">
        <v>3.1</v>
      </c>
      <c r="L861" s="4">
        <v>110</v>
      </c>
      <c r="M861" s="4" t="s">
        <v>37</v>
      </c>
      <c r="N861" s="4" t="s">
        <v>31</v>
      </c>
      <c r="O861" s="4" t="s">
        <v>42</v>
      </c>
      <c r="P861" s="4" t="s">
        <v>71</v>
      </c>
    </row>
    <row r="862" spans="1:16" x14ac:dyDescent="0.3">
      <c r="A862" s="4">
        <v>2023</v>
      </c>
      <c r="B862" s="4" t="s">
        <v>15</v>
      </c>
      <c r="C862" s="4" t="s">
        <v>33</v>
      </c>
      <c r="D862" s="4" t="s">
        <v>50</v>
      </c>
      <c r="E862" s="4">
        <v>291</v>
      </c>
      <c r="F862" s="4">
        <v>250</v>
      </c>
      <c r="G862" s="4">
        <v>193</v>
      </c>
      <c r="H862" s="4">
        <v>72.75</v>
      </c>
      <c r="I862" s="4">
        <v>56.16</v>
      </c>
      <c r="J862" s="4">
        <v>16.59</v>
      </c>
      <c r="K862" s="4">
        <v>4.29</v>
      </c>
      <c r="L862" s="4">
        <v>51</v>
      </c>
      <c r="M862" s="4" t="s">
        <v>37</v>
      </c>
      <c r="N862" s="4" t="s">
        <v>19</v>
      </c>
      <c r="O862" s="4" t="s">
        <v>62</v>
      </c>
      <c r="P862" s="4" t="s">
        <v>73</v>
      </c>
    </row>
    <row r="863" spans="1:16" x14ac:dyDescent="0.3">
      <c r="A863" s="4">
        <v>2025</v>
      </c>
      <c r="B863" s="4" t="s">
        <v>15</v>
      </c>
      <c r="C863" s="4" t="s">
        <v>26</v>
      </c>
      <c r="D863" s="4" t="s">
        <v>27</v>
      </c>
      <c r="E863" s="4">
        <v>224</v>
      </c>
      <c r="F863" s="4">
        <v>73</v>
      </c>
      <c r="G863" s="4">
        <v>45</v>
      </c>
      <c r="H863" s="4">
        <v>16.350000000000001</v>
      </c>
      <c r="I863" s="4">
        <v>10.08</v>
      </c>
      <c r="J863" s="4">
        <v>6.27</v>
      </c>
      <c r="K863" s="4">
        <v>-0.51</v>
      </c>
      <c r="L863" s="4">
        <v>171</v>
      </c>
      <c r="M863" s="4" t="s">
        <v>18</v>
      </c>
      <c r="N863" s="4" t="s">
        <v>24</v>
      </c>
      <c r="O863" s="4" t="s">
        <v>63</v>
      </c>
      <c r="P863" s="4" t="s">
        <v>71</v>
      </c>
    </row>
    <row r="864" spans="1:16" x14ac:dyDescent="0.3">
      <c r="A864" s="4">
        <v>2023</v>
      </c>
      <c r="B864" s="4" t="s">
        <v>21</v>
      </c>
      <c r="C864" s="4" t="s">
        <v>16</v>
      </c>
      <c r="D864" s="4" t="s">
        <v>56</v>
      </c>
      <c r="E864" s="4">
        <v>289</v>
      </c>
      <c r="F864" s="4">
        <v>303</v>
      </c>
      <c r="G864" s="4">
        <v>236</v>
      </c>
      <c r="H864" s="4">
        <v>87.57</v>
      </c>
      <c r="I864" s="4">
        <v>68.2</v>
      </c>
      <c r="J864" s="4">
        <v>19.36</v>
      </c>
      <c r="K864" s="4">
        <v>17.45</v>
      </c>
      <c r="L864" s="4">
        <v>152</v>
      </c>
      <c r="M864" s="4" t="s">
        <v>28</v>
      </c>
      <c r="N864" s="4" t="s">
        <v>19</v>
      </c>
      <c r="O864" s="4" t="s">
        <v>62</v>
      </c>
      <c r="P864" s="4" t="s">
        <v>75</v>
      </c>
    </row>
    <row r="865" spans="1:16" x14ac:dyDescent="0.3">
      <c r="A865" s="4">
        <v>2025</v>
      </c>
      <c r="B865" s="4" t="s">
        <v>51</v>
      </c>
      <c r="C865" s="4" t="s">
        <v>22</v>
      </c>
      <c r="D865" s="4" t="s">
        <v>55</v>
      </c>
      <c r="E865" s="4">
        <v>366</v>
      </c>
      <c r="F865" s="4">
        <v>168</v>
      </c>
      <c r="G865" s="4">
        <v>92</v>
      </c>
      <c r="H865" s="4">
        <v>61.49</v>
      </c>
      <c r="I865" s="4">
        <v>33.67</v>
      </c>
      <c r="J865" s="4">
        <v>27.82</v>
      </c>
      <c r="K865" s="4">
        <v>7.14</v>
      </c>
      <c r="L865" s="4">
        <v>205</v>
      </c>
      <c r="M865" s="4" t="s">
        <v>37</v>
      </c>
      <c r="N865" s="4" t="s">
        <v>19</v>
      </c>
      <c r="O865" s="4" t="s">
        <v>62</v>
      </c>
      <c r="P865" s="4" t="s">
        <v>73</v>
      </c>
    </row>
    <row r="866" spans="1:16" x14ac:dyDescent="0.3">
      <c r="A866" s="4">
        <v>2025</v>
      </c>
      <c r="B866" s="4" t="s">
        <v>51</v>
      </c>
      <c r="C866" s="4" t="s">
        <v>16</v>
      </c>
      <c r="D866" s="4" t="s">
        <v>30</v>
      </c>
      <c r="E866" s="4">
        <v>442</v>
      </c>
      <c r="F866" s="4">
        <v>204</v>
      </c>
      <c r="G866" s="4">
        <v>122</v>
      </c>
      <c r="H866" s="4">
        <v>90.17</v>
      </c>
      <c r="I866" s="4">
        <v>53.92</v>
      </c>
      <c r="J866" s="4">
        <v>36.24</v>
      </c>
      <c r="K866" s="4">
        <v>19.68</v>
      </c>
      <c r="L866" s="4">
        <v>37</v>
      </c>
      <c r="M866" s="4" t="s">
        <v>37</v>
      </c>
      <c r="N866" s="4" t="s">
        <v>31</v>
      </c>
      <c r="O866" s="4" t="s">
        <v>42</v>
      </c>
      <c r="P866" s="4" t="s">
        <v>73</v>
      </c>
    </row>
    <row r="867" spans="1:16" x14ac:dyDescent="0.3">
      <c r="A867" s="4">
        <v>2025</v>
      </c>
      <c r="B867" s="4" t="s">
        <v>29</v>
      </c>
      <c r="C867" s="4" t="s">
        <v>33</v>
      </c>
      <c r="D867" s="4" t="s">
        <v>50</v>
      </c>
      <c r="E867" s="4">
        <v>297</v>
      </c>
      <c r="F867" s="4">
        <v>486</v>
      </c>
      <c r="G867" s="4">
        <v>293</v>
      </c>
      <c r="H867" s="4">
        <v>144.34</v>
      </c>
      <c r="I867" s="4">
        <v>87.02</v>
      </c>
      <c r="J867" s="4">
        <v>57.32</v>
      </c>
      <c r="K867" s="4">
        <v>22.77</v>
      </c>
      <c r="L867" s="4">
        <v>121</v>
      </c>
      <c r="M867" s="4" t="s">
        <v>37</v>
      </c>
      <c r="N867" s="4" t="s">
        <v>19</v>
      </c>
      <c r="O867" s="4" t="s">
        <v>62</v>
      </c>
      <c r="P867" s="4" t="s">
        <v>75</v>
      </c>
    </row>
    <row r="868" spans="1:16" x14ac:dyDescent="0.3">
      <c r="A868" s="4">
        <v>2024</v>
      </c>
      <c r="B868" s="4" t="s">
        <v>15</v>
      </c>
      <c r="C868" s="4" t="s">
        <v>26</v>
      </c>
      <c r="D868" s="4" t="s">
        <v>27</v>
      </c>
      <c r="E868" s="4">
        <v>123</v>
      </c>
      <c r="F868" s="4">
        <v>326</v>
      </c>
      <c r="G868" s="4">
        <v>157</v>
      </c>
      <c r="H868" s="4">
        <v>40.1</v>
      </c>
      <c r="I868" s="4">
        <v>19.309999999999999</v>
      </c>
      <c r="J868" s="4">
        <v>20.79</v>
      </c>
      <c r="K868" s="4">
        <v>1.45</v>
      </c>
      <c r="L868" s="4">
        <v>35</v>
      </c>
      <c r="M868" s="4" t="s">
        <v>28</v>
      </c>
      <c r="N868" s="4" t="s">
        <v>31</v>
      </c>
      <c r="O868" s="4" t="s">
        <v>42</v>
      </c>
      <c r="P868" s="4" t="s">
        <v>72</v>
      </c>
    </row>
    <row r="869" spans="1:16" x14ac:dyDescent="0.3">
      <c r="A869" s="4">
        <v>2025</v>
      </c>
      <c r="B869" s="4" t="s">
        <v>47</v>
      </c>
      <c r="C869" s="4" t="s">
        <v>16</v>
      </c>
      <c r="D869" s="4" t="s">
        <v>30</v>
      </c>
      <c r="E869" s="4">
        <v>457</v>
      </c>
      <c r="F869" s="4">
        <v>428</v>
      </c>
      <c r="G869" s="4">
        <v>203</v>
      </c>
      <c r="H869" s="4">
        <v>195.6</v>
      </c>
      <c r="I869" s="4">
        <v>92.77</v>
      </c>
      <c r="J869" s="4">
        <v>102.83</v>
      </c>
      <c r="K869" s="4">
        <v>7.73</v>
      </c>
      <c r="L869" s="4">
        <v>148</v>
      </c>
      <c r="M869" s="4" t="s">
        <v>28</v>
      </c>
      <c r="N869" s="4" t="s">
        <v>31</v>
      </c>
      <c r="O869" s="4" t="s">
        <v>42</v>
      </c>
      <c r="P869" s="4" t="s">
        <v>73</v>
      </c>
    </row>
    <row r="870" spans="1:16" x14ac:dyDescent="0.3">
      <c r="A870" s="4">
        <v>2025</v>
      </c>
      <c r="B870" s="4" t="s">
        <v>29</v>
      </c>
      <c r="C870" s="4" t="s">
        <v>26</v>
      </c>
      <c r="D870" s="4" t="s">
        <v>58</v>
      </c>
      <c r="E870" s="4">
        <v>388</v>
      </c>
      <c r="F870" s="4">
        <v>111</v>
      </c>
      <c r="G870" s="4">
        <v>90</v>
      </c>
      <c r="H870" s="4">
        <v>43.07</v>
      </c>
      <c r="I870" s="4">
        <v>34.92</v>
      </c>
      <c r="J870" s="4">
        <v>8.15</v>
      </c>
      <c r="K870" s="4">
        <v>21.08</v>
      </c>
      <c r="L870" s="4">
        <v>228</v>
      </c>
      <c r="M870" s="4" t="s">
        <v>18</v>
      </c>
      <c r="N870" s="4" t="s">
        <v>24</v>
      </c>
      <c r="O870" s="4" t="s">
        <v>63</v>
      </c>
      <c r="P870" s="4" t="s">
        <v>71</v>
      </c>
    </row>
    <row r="871" spans="1:16" x14ac:dyDescent="0.3">
      <c r="A871" s="4">
        <v>2025</v>
      </c>
      <c r="B871" s="4" t="s">
        <v>46</v>
      </c>
      <c r="C871" s="4" t="s">
        <v>26</v>
      </c>
      <c r="D871" s="4" t="s">
        <v>27</v>
      </c>
      <c r="E871" s="4">
        <v>332</v>
      </c>
      <c r="F871" s="4">
        <v>373</v>
      </c>
      <c r="G871" s="4">
        <v>31</v>
      </c>
      <c r="H871" s="4">
        <v>123.84</v>
      </c>
      <c r="I871" s="4">
        <v>10.29</v>
      </c>
      <c r="J871" s="4">
        <v>113.54</v>
      </c>
      <c r="K871" s="4">
        <v>2.5499999999999998</v>
      </c>
      <c r="L871" s="4">
        <v>31</v>
      </c>
      <c r="M871" s="4" t="s">
        <v>18</v>
      </c>
      <c r="N871" s="4" t="s">
        <v>19</v>
      </c>
      <c r="O871" s="4" t="s">
        <v>62</v>
      </c>
      <c r="P871" s="4" t="s">
        <v>71</v>
      </c>
    </row>
    <row r="872" spans="1:16" x14ac:dyDescent="0.3">
      <c r="A872" s="4">
        <v>2025</v>
      </c>
      <c r="B872" s="4" t="s">
        <v>47</v>
      </c>
      <c r="C872" s="4" t="s">
        <v>22</v>
      </c>
      <c r="D872" s="4" t="s">
        <v>55</v>
      </c>
      <c r="E872" s="4">
        <v>99</v>
      </c>
      <c r="F872" s="4">
        <v>366</v>
      </c>
      <c r="G872" s="4">
        <v>340</v>
      </c>
      <c r="H872" s="4">
        <v>36.229999999999997</v>
      </c>
      <c r="I872" s="4">
        <v>33.659999999999997</v>
      </c>
      <c r="J872" s="4">
        <v>2.57</v>
      </c>
      <c r="K872" s="4">
        <v>1.75</v>
      </c>
      <c r="L872" s="4">
        <v>189</v>
      </c>
      <c r="M872" s="4" t="s">
        <v>37</v>
      </c>
      <c r="N872" s="4" t="s">
        <v>38</v>
      </c>
      <c r="O872" s="4" t="s">
        <v>44</v>
      </c>
      <c r="P872" s="4" t="s">
        <v>74</v>
      </c>
    </row>
    <row r="873" spans="1:16" x14ac:dyDescent="0.3">
      <c r="A873" s="4">
        <v>2025</v>
      </c>
      <c r="B873" s="4" t="s">
        <v>46</v>
      </c>
      <c r="C873" s="4" t="s">
        <v>35</v>
      </c>
      <c r="D873" s="4" t="s">
        <v>36</v>
      </c>
      <c r="E873" s="4">
        <v>53</v>
      </c>
      <c r="F873" s="4">
        <v>270</v>
      </c>
      <c r="G873" s="4">
        <v>239</v>
      </c>
      <c r="H873" s="4">
        <v>14.31</v>
      </c>
      <c r="I873" s="4">
        <v>12.67</v>
      </c>
      <c r="J873" s="4">
        <v>1.64</v>
      </c>
      <c r="K873" s="4">
        <v>1.01</v>
      </c>
      <c r="L873" s="4">
        <v>128</v>
      </c>
      <c r="M873" s="4" t="s">
        <v>18</v>
      </c>
      <c r="N873" s="4" t="s">
        <v>38</v>
      </c>
      <c r="O873" s="4" t="s">
        <v>44</v>
      </c>
      <c r="P873" s="4" t="s">
        <v>72</v>
      </c>
    </row>
    <row r="874" spans="1:16" x14ac:dyDescent="0.3">
      <c r="A874" s="4">
        <v>2024</v>
      </c>
      <c r="B874" s="4" t="s">
        <v>39</v>
      </c>
      <c r="C874" s="4" t="s">
        <v>26</v>
      </c>
      <c r="D874" s="4" t="s">
        <v>58</v>
      </c>
      <c r="E874" s="4">
        <v>122</v>
      </c>
      <c r="F874" s="4">
        <v>399</v>
      </c>
      <c r="G874" s="4">
        <v>338</v>
      </c>
      <c r="H874" s="4">
        <v>48.68</v>
      </c>
      <c r="I874" s="4">
        <v>41.24</v>
      </c>
      <c r="J874" s="4">
        <v>7.44</v>
      </c>
      <c r="K874" s="4">
        <v>17.25</v>
      </c>
      <c r="L874" s="4">
        <v>194</v>
      </c>
      <c r="M874" s="4" t="s">
        <v>37</v>
      </c>
      <c r="N874" s="4" t="s">
        <v>19</v>
      </c>
      <c r="O874" s="4" t="s">
        <v>62</v>
      </c>
      <c r="P874" s="4" t="s">
        <v>72</v>
      </c>
    </row>
    <row r="875" spans="1:16" x14ac:dyDescent="0.3">
      <c r="A875" s="4">
        <v>2025</v>
      </c>
      <c r="B875" s="4" t="s">
        <v>21</v>
      </c>
      <c r="C875" s="4" t="s">
        <v>33</v>
      </c>
      <c r="D875" s="4" t="s">
        <v>34</v>
      </c>
      <c r="E875" s="4">
        <v>398</v>
      </c>
      <c r="F875" s="4">
        <v>278</v>
      </c>
      <c r="G875" s="4">
        <v>73</v>
      </c>
      <c r="H875" s="4">
        <v>110.64</v>
      </c>
      <c r="I875" s="4">
        <v>29.05</v>
      </c>
      <c r="J875" s="4">
        <v>81.59</v>
      </c>
      <c r="K875" s="4">
        <v>18.670000000000002</v>
      </c>
      <c r="L875" s="4">
        <v>114</v>
      </c>
      <c r="M875" s="4" t="s">
        <v>28</v>
      </c>
      <c r="N875" s="4" t="s">
        <v>24</v>
      </c>
      <c r="O875" s="4" t="s">
        <v>63</v>
      </c>
      <c r="P875" s="4" t="s">
        <v>74</v>
      </c>
    </row>
    <row r="876" spans="1:16" x14ac:dyDescent="0.3">
      <c r="A876" s="4">
        <v>2025</v>
      </c>
      <c r="B876" s="4" t="s">
        <v>39</v>
      </c>
      <c r="C876" s="4" t="s">
        <v>16</v>
      </c>
      <c r="D876" s="4" t="s">
        <v>17</v>
      </c>
      <c r="E876" s="4">
        <v>103</v>
      </c>
      <c r="F876" s="4">
        <v>95</v>
      </c>
      <c r="G876" s="4">
        <v>70</v>
      </c>
      <c r="H876" s="4">
        <v>9.7899999999999991</v>
      </c>
      <c r="I876" s="4">
        <v>7.21</v>
      </c>
      <c r="J876" s="4">
        <v>2.58</v>
      </c>
      <c r="K876" s="4">
        <v>0.97</v>
      </c>
      <c r="L876" s="4">
        <v>24</v>
      </c>
      <c r="M876" s="4" t="s">
        <v>28</v>
      </c>
      <c r="N876" s="4" t="s">
        <v>19</v>
      </c>
      <c r="O876" s="4" t="s">
        <v>62</v>
      </c>
      <c r="P876" s="4" t="s">
        <v>73</v>
      </c>
    </row>
    <row r="877" spans="1:16" x14ac:dyDescent="0.3">
      <c r="A877" s="4">
        <v>2025</v>
      </c>
      <c r="B877" s="4" t="s">
        <v>32</v>
      </c>
      <c r="C877" s="4" t="s">
        <v>35</v>
      </c>
      <c r="D877" s="4" t="s">
        <v>36</v>
      </c>
      <c r="E877" s="4">
        <v>460</v>
      </c>
      <c r="F877" s="4">
        <v>253</v>
      </c>
      <c r="G877" s="4">
        <v>219</v>
      </c>
      <c r="H877" s="4">
        <v>116.38</v>
      </c>
      <c r="I877" s="4">
        <v>100.74</v>
      </c>
      <c r="J877" s="4">
        <v>15.64</v>
      </c>
      <c r="K877" s="4">
        <v>-7.1</v>
      </c>
      <c r="L877" s="4">
        <v>163</v>
      </c>
      <c r="M877" s="4" t="s">
        <v>18</v>
      </c>
      <c r="N877" s="4" t="s">
        <v>19</v>
      </c>
      <c r="O877" s="4" t="s">
        <v>62</v>
      </c>
      <c r="P877" s="4" t="s">
        <v>72</v>
      </c>
    </row>
    <row r="878" spans="1:16" x14ac:dyDescent="0.3">
      <c r="A878" s="4">
        <v>2024</v>
      </c>
      <c r="B878" s="4" t="s">
        <v>47</v>
      </c>
      <c r="C878" s="4" t="s">
        <v>16</v>
      </c>
      <c r="D878" s="4" t="s">
        <v>56</v>
      </c>
      <c r="E878" s="4">
        <v>93</v>
      </c>
      <c r="F878" s="4">
        <v>118</v>
      </c>
      <c r="G878" s="4">
        <v>31</v>
      </c>
      <c r="H878" s="4">
        <v>10.97</v>
      </c>
      <c r="I878" s="4">
        <v>2.88</v>
      </c>
      <c r="J878" s="4">
        <v>8.09</v>
      </c>
      <c r="K878" s="4">
        <v>7.22</v>
      </c>
      <c r="L878" s="4">
        <v>237</v>
      </c>
      <c r="M878" s="4" t="s">
        <v>18</v>
      </c>
      <c r="N878" s="4" t="s">
        <v>31</v>
      </c>
      <c r="O878" s="4" t="s">
        <v>42</v>
      </c>
      <c r="P878" s="4" t="s">
        <v>71</v>
      </c>
    </row>
    <row r="879" spans="1:16" x14ac:dyDescent="0.3">
      <c r="A879" s="4">
        <v>2025</v>
      </c>
      <c r="B879" s="4" t="s">
        <v>39</v>
      </c>
      <c r="C879" s="4" t="s">
        <v>26</v>
      </c>
      <c r="D879" s="4" t="s">
        <v>52</v>
      </c>
      <c r="E879" s="4">
        <v>96</v>
      </c>
      <c r="F879" s="4">
        <v>393</v>
      </c>
      <c r="G879" s="4">
        <v>364</v>
      </c>
      <c r="H879" s="4">
        <v>37.729999999999997</v>
      </c>
      <c r="I879" s="4">
        <v>34.94</v>
      </c>
      <c r="J879" s="4">
        <v>2.78</v>
      </c>
      <c r="K879" s="4">
        <v>-2.59</v>
      </c>
      <c r="L879" s="4">
        <v>274</v>
      </c>
      <c r="M879" s="4" t="s">
        <v>37</v>
      </c>
      <c r="N879" s="4" t="s">
        <v>31</v>
      </c>
      <c r="O879" s="4" t="s">
        <v>42</v>
      </c>
      <c r="P879" s="4" t="s">
        <v>75</v>
      </c>
    </row>
    <row r="880" spans="1:16" x14ac:dyDescent="0.3">
      <c r="A880" s="4">
        <v>2023</v>
      </c>
      <c r="B880" s="4" t="s">
        <v>45</v>
      </c>
      <c r="C880" s="4" t="s">
        <v>26</v>
      </c>
      <c r="D880" s="4" t="s">
        <v>27</v>
      </c>
      <c r="E880" s="4">
        <v>96</v>
      </c>
      <c r="F880" s="4">
        <v>474</v>
      </c>
      <c r="G880" s="4">
        <v>169</v>
      </c>
      <c r="H880" s="4">
        <v>45.5</v>
      </c>
      <c r="I880" s="4">
        <v>16.22</v>
      </c>
      <c r="J880" s="4">
        <v>29.28</v>
      </c>
      <c r="K880" s="4">
        <v>23.2</v>
      </c>
      <c r="L880" s="4">
        <v>262</v>
      </c>
      <c r="M880" s="4" t="s">
        <v>37</v>
      </c>
      <c r="N880" s="4" t="s">
        <v>24</v>
      </c>
      <c r="O880" s="4" t="s">
        <v>63</v>
      </c>
      <c r="P880" s="4" t="s">
        <v>71</v>
      </c>
    </row>
    <row r="881" spans="1:16" x14ac:dyDescent="0.3">
      <c r="A881" s="4">
        <v>2023</v>
      </c>
      <c r="B881" s="4" t="s">
        <v>46</v>
      </c>
      <c r="C881" s="4" t="s">
        <v>16</v>
      </c>
      <c r="D881" s="4" t="s">
        <v>56</v>
      </c>
      <c r="E881" s="4">
        <v>214</v>
      </c>
      <c r="F881" s="4">
        <v>330</v>
      </c>
      <c r="G881" s="4">
        <v>165</v>
      </c>
      <c r="H881" s="4">
        <v>70.62</v>
      </c>
      <c r="I881" s="4">
        <v>35.31</v>
      </c>
      <c r="J881" s="4">
        <v>35.31</v>
      </c>
      <c r="K881" s="4">
        <v>11.64</v>
      </c>
      <c r="L881" s="4">
        <v>48</v>
      </c>
      <c r="M881" s="4" t="s">
        <v>37</v>
      </c>
      <c r="N881" s="4" t="s">
        <v>19</v>
      </c>
      <c r="O881" s="4" t="s">
        <v>62</v>
      </c>
      <c r="P881" s="4" t="s">
        <v>71</v>
      </c>
    </row>
    <row r="882" spans="1:16" x14ac:dyDescent="0.3">
      <c r="A882" s="4">
        <v>2023</v>
      </c>
      <c r="B882" s="4" t="s">
        <v>41</v>
      </c>
      <c r="C882" s="4" t="s">
        <v>16</v>
      </c>
      <c r="D882" s="4" t="s">
        <v>17</v>
      </c>
      <c r="E882" s="4">
        <v>222</v>
      </c>
      <c r="F882" s="4">
        <v>301</v>
      </c>
      <c r="G882" s="4">
        <v>92</v>
      </c>
      <c r="H882" s="4">
        <v>66.819999999999993</v>
      </c>
      <c r="I882" s="4">
        <v>20.420000000000002</v>
      </c>
      <c r="J882" s="4">
        <v>46.4</v>
      </c>
      <c r="K882" s="4">
        <v>15.04</v>
      </c>
      <c r="L882" s="4">
        <v>166</v>
      </c>
      <c r="M882" s="4" t="s">
        <v>28</v>
      </c>
      <c r="N882" s="4" t="s">
        <v>38</v>
      </c>
      <c r="O882" s="4" t="s">
        <v>44</v>
      </c>
      <c r="P882" s="4" t="s">
        <v>76</v>
      </c>
    </row>
    <row r="883" spans="1:16" x14ac:dyDescent="0.3">
      <c r="A883" s="4">
        <v>2025</v>
      </c>
      <c r="B883" s="4" t="s">
        <v>51</v>
      </c>
      <c r="C883" s="4" t="s">
        <v>35</v>
      </c>
      <c r="D883" s="4" t="s">
        <v>36</v>
      </c>
      <c r="E883" s="4">
        <v>278</v>
      </c>
      <c r="F883" s="4">
        <v>81</v>
      </c>
      <c r="G883" s="4">
        <v>34</v>
      </c>
      <c r="H883" s="4">
        <v>22.52</v>
      </c>
      <c r="I883" s="4">
        <v>9.4499999999999993</v>
      </c>
      <c r="J883" s="4">
        <v>13.07</v>
      </c>
      <c r="K883" s="4">
        <v>17.36</v>
      </c>
      <c r="L883" s="4">
        <v>230</v>
      </c>
      <c r="M883" s="4" t="s">
        <v>18</v>
      </c>
      <c r="N883" s="4" t="s">
        <v>19</v>
      </c>
      <c r="O883" s="4" t="s">
        <v>62</v>
      </c>
      <c r="P883" s="4" t="s">
        <v>74</v>
      </c>
    </row>
    <row r="884" spans="1:16" x14ac:dyDescent="0.3">
      <c r="A884" s="4">
        <v>2023</v>
      </c>
      <c r="B884" s="4" t="s">
        <v>41</v>
      </c>
      <c r="C884" s="4" t="s">
        <v>26</v>
      </c>
      <c r="D884" s="4" t="s">
        <v>58</v>
      </c>
      <c r="E884" s="4">
        <v>216</v>
      </c>
      <c r="F884" s="4">
        <v>248</v>
      </c>
      <c r="G884" s="4">
        <v>46</v>
      </c>
      <c r="H884" s="4">
        <v>53.57</v>
      </c>
      <c r="I884" s="4">
        <v>9.94</v>
      </c>
      <c r="J884" s="4">
        <v>43.63</v>
      </c>
      <c r="K884" s="4">
        <v>2.04</v>
      </c>
      <c r="L884" s="4">
        <v>89</v>
      </c>
      <c r="M884" s="4" t="s">
        <v>37</v>
      </c>
      <c r="N884" s="4" t="s">
        <v>24</v>
      </c>
      <c r="O884" s="4" t="s">
        <v>63</v>
      </c>
      <c r="P884" s="4" t="s">
        <v>72</v>
      </c>
    </row>
    <row r="885" spans="1:16" x14ac:dyDescent="0.3">
      <c r="A885" s="4">
        <v>2024</v>
      </c>
      <c r="B885" s="4" t="s">
        <v>45</v>
      </c>
      <c r="C885" s="4" t="s">
        <v>33</v>
      </c>
      <c r="D885" s="4" t="s">
        <v>34</v>
      </c>
      <c r="E885" s="4">
        <v>355</v>
      </c>
      <c r="F885" s="4">
        <v>397</v>
      </c>
      <c r="G885" s="4">
        <v>74</v>
      </c>
      <c r="H885" s="4">
        <v>140.94</v>
      </c>
      <c r="I885" s="4">
        <v>26.27</v>
      </c>
      <c r="J885" s="4">
        <v>114.67</v>
      </c>
      <c r="K885" s="4">
        <v>20.14</v>
      </c>
      <c r="L885" s="4">
        <v>193</v>
      </c>
      <c r="M885" s="4" t="s">
        <v>28</v>
      </c>
      <c r="N885" s="4" t="s">
        <v>38</v>
      </c>
      <c r="O885" s="4" t="s">
        <v>44</v>
      </c>
      <c r="P885" s="4" t="s">
        <v>75</v>
      </c>
    </row>
    <row r="886" spans="1:16" x14ac:dyDescent="0.3">
      <c r="A886" s="4">
        <v>2025</v>
      </c>
      <c r="B886" s="4" t="s">
        <v>41</v>
      </c>
      <c r="C886" s="4" t="s">
        <v>35</v>
      </c>
      <c r="D886" s="4" t="s">
        <v>36</v>
      </c>
      <c r="E886" s="4">
        <v>220</v>
      </c>
      <c r="F886" s="4">
        <v>315</v>
      </c>
      <c r="G886" s="4">
        <v>52</v>
      </c>
      <c r="H886" s="4">
        <v>69.3</v>
      </c>
      <c r="I886" s="4">
        <v>11.44</v>
      </c>
      <c r="J886" s="4">
        <v>57.86</v>
      </c>
      <c r="K886" s="4">
        <v>14.24</v>
      </c>
      <c r="L886" s="4">
        <v>130</v>
      </c>
      <c r="M886" s="4" t="s">
        <v>37</v>
      </c>
      <c r="N886" s="4" t="s">
        <v>24</v>
      </c>
      <c r="O886" s="4" t="s">
        <v>63</v>
      </c>
      <c r="P886" s="4" t="s">
        <v>74</v>
      </c>
    </row>
    <row r="887" spans="1:16" x14ac:dyDescent="0.3">
      <c r="A887" s="4">
        <v>2024</v>
      </c>
      <c r="B887" s="4" t="s">
        <v>15</v>
      </c>
      <c r="C887" s="4" t="s">
        <v>16</v>
      </c>
      <c r="D887" s="4" t="s">
        <v>30</v>
      </c>
      <c r="E887" s="4">
        <v>191</v>
      </c>
      <c r="F887" s="4">
        <v>128</v>
      </c>
      <c r="G887" s="4">
        <v>43</v>
      </c>
      <c r="H887" s="4">
        <v>24.45</v>
      </c>
      <c r="I887" s="4">
        <v>8.2100000000000009</v>
      </c>
      <c r="J887" s="4">
        <v>16.23</v>
      </c>
      <c r="K887" s="4">
        <v>9.89</v>
      </c>
      <c r="L887" s="4">
        <v>241</v>
      </c>
      <c r="M887" s="4" t="s">
        <v>37</v>
      </c>
      <c r="N887" s="4" t="s">
        <v>24</v>
      </c>
      <c r="O887" s="4" t="s">
        <v>63</v>
      </c>
      <c r="P887" s="4" t="s">
        <v>71</v>
      </c>
    </row>
    <row r="888" spans="1:16" x14ac:dyDescent="0.3">
      <c r="A888" s="4">
        <v>2024</v>
      </c>
      <c r="B888" s="4" t="s">
        <v>47</v>
      </c>
      <c r="C888" s="4" t="s">
        <v>22</v>
      </c>
      <c r="D888" s="4" t="s">
        <v>23</v>
      </c>
      <c r="E888" s="4">
        <v>384</v>
      </c>
      <c r="F888" s="4">
        <v>67</v>
      </c>
      <c r="G888" s="4">
        <v>52</v>
      </c>
      <c r="H888" s="4">
        <v>25.73</v>
      </c>
      <c r="I888" s="4">
        <v>19.97</v>
      </c>
      <c r="J888" s="4">
        <v>5.76</v>
      </c>
      <c r="K888" s="4">
        <v>16.37</v>
      </c>
      <c r="L888" s="4">
        <v>102</v>
      </c>
      <c r="M888" s="4" t="s">
        <v>28</v>
      </c>
      <c r="N888" s="4" t="s">
        <v>31</v>
      </c>
      <c r="O888" s="4" t="s">
        <v>42</v>
      </c>
      <c r="P888" s="4" t="s">
        <v>75</v>
      </c>
    </row>
    <row r="889" spans="1:16" x14ac:dyDescent="0.3">
      <c r="A889" s="4">
        <v>2024</v>
      </c>
      <c r="B889" s="4" t="s">
        <v>29</v>
      </c>
      <c r="C889" s="4" t="s">
        <v>22</v>
      </c>
      <c r="D889" s="4" t="s">
        <v>53</v>
      </c>
      <c r="E889" s="4">
        <v>344</v>
      </c>
      <c r="F889" s="4">
        <v>387</v>
      </c>
      <c r="G889" s="4">
        <v>111</v>
      </c>
      <c r="H889" s="4">
        <v>133.13</v>
      </c>
      <c r="I889" s="4">
        <v>38.18</v>
      </c>
      <c r="J889" s="4">
        <v>94.94</v>
      </c>
      <c r="K889" s="4">
        <v>13.68</v>
      </c>
      <c r="L889" s="4">
        <v>45</v>
      </c>
      <c r="M889" s="4" t="s">
        <v>18</v>
      </c>
      <c r="N889" s="4" t="s">
        <v>19</v>
      </c>
      <c r="O889" s="4" t="s">
        <v>62</v>
      </c>
      <c r="P889" s="4" t="s">
        <v>74</v>
      </c>
    </row>
    <row r="890" spans="1:16" x14ac:dyDescent="0.3">
      <c r="A890" s="4">
        <v>2023</v>
      </c>
      <c r="B890" s="4" t="s">
        <v>51</v>
      </c>
      <c r="C890" s="4" t="s">
        <v>35</v>
      </c>
      <c r="D890" s="4" t="s">
        <v>36</v>
      </c>
      <c r="E890" s="4">
        <v>198</v>
      </c>
      <c r="F890" s="4">
        <v>206</v>
      </c>
      <c r="G890" s="4">
        <v>40</v>
      </c>
      <c r="H890" s="4">
        <v>40.79</v>
      </c>
      <c r="I890" s="4">
        <v>7.92</v>
      </c>
      <c r="J890" s="4">
        <v>32.869999999999997</v>
      </c>
      <c r="K890" s="4">
        <v>2.12</v>
      </c>
      <c r="L890" s="4">
        <v>283</v>
      </c>
      <c r="M890" s="4" t="s">
        <v>37</v>
      </c>
      <c r="N890" s="4" t="s">
        <v>19</v>
      </c>
      <c r="O890" s="4" t="s">
        <v>62</v>
      </c>
      <c r="P890" s="4" t="s">
        <v>76</v>
      </c>
    </row>
    <row r="891" spans="1:16" x14ac:dyDescent="0.3">
      <c r="A891" s="4">
        <v>2024</v>
      </c>
      <c r="B891" s="4" t="s">
        <v>21</v>
      </c>
      <c r="C891" s="4" t="s">
        <v>16</v>
      </c>
      <c r="D891" s="4" t="s">
        <v>30</v>
      </c>
      <c r="E891" s="4">
        <v>377</v>
      </c>
      <c r="F891" s="4">
        <v>418</v>
      </c>
      <c r="G891" s="4">
        <v>368</v>
      </c>
      <c r="H891" s="4">
        <v>157.59</v>
      </c>
      <c r="I891" s="4">
        <v>138.74</v>
      </c>
      <c r="J891" s="4">
        <v>18.850000000000001</v>
      </c>
      <c r="K891" s="4">
        <v>11.34</v>
      </c>
      <c r="L891" s="4">
        <v>73</v>
      </c>
      <c r="M891" s="4" t="s">
        <v>18</v>
      </c>
      <c r="N891" s="4" t="s">
        <v>19</v>
      </c>
      <c r="O891" s="4" t="s">
        <v>62</v>
      </c>
      <c r="P891" s="4" t="s">
        <v>73</v>
      </c>
    </row>
    <row r="892" spans="1:16" x14ac:dyDescent="0.3">
      <c r="A892" s="4">
        <v>2023</v>
      </c>
      <c r="B892" s="4" t="s">
        <v>39</v>
      </c>
      <c r="C892" s="4" t="s">
        <v>16</v>
      </c>
      <c r="D892" s="4" t="s">
        <v>56</v>
      </c>
      <c r="E892" s="4">
        <v>390</v>
      </c>
      <c r="F892" s="4">
        <v>169</v>
      </c>
      <c r="G892" s="4">
        <v>88</v>
      </c>
      <c r="H892" s="4">
        <v>65.91</v>
      </c>
      <c r="I892" s="4">
        <v>34.32</v>
      </c>
      <c r="J892" s="4">
        <v>31.59</v>
      </c>
      <c r="K892" s="4">
        <v>-3.16</v>
      </c>
      <c r="L892" s="4">
        <v>196</v>
      </c>
      <c r="M892" s="4" t="s">
        <v>28</v>
      </c>
      <c r="N892" s="4" t="s">
        <v>24</v>
      </c>
      <c r="O892" s="4" t="s">
        <v>63</v>
      </c>
      <c r="P892" s="4" t="s">
        <v>75</v>
      </c>
    </row>
    <row r="893" spans="1:16" x14ac:dyDescent="0.3">
      <c r="A893" s="4">
        <v>2024</v>
      </c>
      <c r="B893" s="4" t="s">
        <v>49</v>
      </c>
      <c r="C893" s="4" t="s">
        <v>26</v>
      </c>
      <c r="D893" s="4" t="s">
        <v>52</v>
      </c>
      <c r="E893" s="4">
        <v>490</v>
      </c>
      <c r="F893" s="4">
        <v>102</v>
      </c>
      <c r="G893" s="4">
        <v>90</v>
      </c>
      <c r="H893" s="4">
        <v>49.98</v>
      </c>
      <c r="I893" s="4">
        <v>44.1</v>
      </c>
      <c r="J893" s="4">
        <v>5.88</v>
      </c>
      <c r="K893" s="4">
        <v>20.83</v>
      </c>
      <c r="L893" s="4">
        <v>256</v>
      </c>
      <c r="M893" s="4" t="s">
        <v>28</v>
      </c>
      <c r="N893" s="4" t="s">
        <v>19</v>
      </c>
      <c r="O893" s="4" t="s">
        <v>62</v>
      </c>
      <c r="P893" s="4" t="s">
        <v>76</v>
      </c>
    </row>
    <row r="894" spans="1:16" x14ac:dyDescent="0.3">
      <c r="A894" s="4">
        <v>2023</v>
      </c>
      <c r="B894" s="4" t="s">
        <v>15</v>
      </c>
      <c r="C894" s="4" t="s">
        <v>33</v>
      </c>
      <c r="D894" s="4" t="s">
        <v>48</v>
      </c>
      <c r="E894" s="4">
        <v>159</v>
      </c>
      <c r="F894" s="4">
        <v>233</v>
      </c>
      <c r="G894" s="4">
        <v>113</v>
      </c>
      <c r="H894" s="4">
        <v>37.049999999999997</v>
      </c>
      <c r="I894" s="4">
        <v>17.97</v>
      </c>
      <c r="J894" s="4">
        <v>19.079999999999998</v>
      </c>
      <c r="K894" s="4">
        <v>6.99</v>
      </c>
      <c r="L894" s="4">
        <v>205</v>
      </c>
      <c r="M894" s="4" t="s">
        <v>37</v>
      </c>
      <c r="N894" s="4" t="s">
        <v>38</v>
      </c>
      <c r="O894" s="4" t="s">
        <v>44</v>
      </c>
      <c r="P894" s="4" t="s">
        <v>74</v>
      </c>
    </row>
    <row r="895" spans="1:16" x14ac:dyDescent="0.3">
      <c r="A895" s="4">
        <v>2024</v>
      </c>
      <c r="B895" s="4" t="s">
        <v>29</v>
      </c>
      <c r="C895" s="4" t="s">
        <v>26</v>
      </c>
      <c r="D895" s="4" t="s">
        <v>27</v>
      </c>
      <c r="E895" s="4">
        <v>55</v>
      </c>
      <c r="F895" s="4">
        <v>188</v>
      </c>
      <c r="G895" s="4">
        <v>33</v>
      </c>
      <c r="H895" s="4">
        <v>10.34</v>
      </c>
      <c r="I895" s="4">
        <v>1.81</v>
      </c>
      <c r="J895" s="4">
        <v>8.5299999999999994</v>
      </c>
      <c r="K895" s="4">
        <v>11.58</v>
      </c>
      <c r="L895" s="4">
        <v>161</v>
      </c>
      <c r="M895" s="4" t="s">
        <v>18</v>
      </c>
      <c r="N895" s="4" t="s">
        <v>24</v>
      </c>
      <c r="O895" s="4" t="s">
        <v>63</v>
      </c>
      <c r="P895" s="4" t="s">
        <v>76</v>
      </c>
    </row>
    <row r="896" spans="1:16" x14ac:dyDescent="0.3">
      <c r="A896" s="4">
        <v>2025</v>
      </c>
      <c r="B896" s="4" t="s">
        <v>47</v>
      </c>
      <c r="C896" s="4" t="s">
        <v>35</v>
      </c>
      <c r="D896" s="4" t="s">
        <v>43</v>
      </c>
      <c r="E896" s="4">
        <v>310</v>
      </c>
      <c r="F896" s="4">
        <v>495</v>
      </c>
      <c r="G896" s="4">
        <v>107</v>
      </c>
      <c r="H896" s="4">
        <v>153.44999999999999</v>
      </c>
      <c r="I896" s="4">
        <v>33.17</v>
      </c>
      <c r="J896" s="4">
        <v>120.28</v>
      </c>
      <c r="K896" s="4">
        <v>3.59</v>
      </c>
      <c r="L896" s="4">
        <v>214</v>
      </c>
      <c r="M896" s="4" t="s">
        <v>18</v>
      </c>
      <c r="N896" s="4" t="s">
        <v>31</v>
      </c>
      <c r="O896" s="4" t="s">
        <v>42</v>
      </c>
      <c r="P896" s="4" t="s">
        <v>76</v>
      </c>
    </row>
    <row r="897" spans="1:16" x14ac:dyDescent="0.3">
      <c r="A897" s="4">
        <v>2024</v>
      </c>
      <c r="B897" s="4" t="s">
        <v>39</v>
      </c>
      <c r="C897" s="4" t="s">
        <v>33</v>
      </c>
      <c r="D897" s="4" t="s">
        <v>34</v>
      </c>
      <c r="E897" s="4">
        <v>488</v>
      </c>
      <c r="F897" s="4">
        <v>153</v>
      </c>
      <c r="G897" s="4">
        <v>31</v>
      </c>
      <c r="H897" s="4">
        <v>74.66</v>
      </c>
      <c r="I897" s="4">
        <v>15.13</v>
      </c>
      <c r="J897" s="4">
        <v>59.54</v>
      </c>
      <c r="K897" s="4">
        <v>12.72</v>
      </c>
      <c r="L897" s="4">
        <v>233</v>
      </c>
      <c r="M897" s="4" t="s">
        <v>18</v>
      </c>
      <c r="N897" s="4" t="s">
        <v>24</v>
      </c>
      <c r="O897" s="4" t="s">
        <v>63</v>
      </c>
      <c r="P897" s="4" t="s">
        <v>71</v>
      </c>
    </row>
    <row r="898" spans="1:16" x14ac:dyDescent="0.3">
      <c r="A898" s="4">
        <v>2025</v>
      </c>
      <c r="B898" s="4" t="s">
        <v>39</v>
      </c>
      <c r="C898" s="4" t="s">
        <v>22</v>
      </c>
      <c r="D898" s="4" t="s">
        <v>53</v>
      </c>
      <c r="E898" s="4">
        <v>121</v>
      </c>
      <c r="F898" s="4">
        <v>303</v>
      </c>
      <c r="G898" s="4">
        <v>119</v>
      </c>
      <c r="H898" s="4">
        <v>36.659999999999997</v>
      </c>
      <c r="I898" s="4">
        <v>14.4</v>
      </c>
      <c r="J898" s="4">
        <v>22.26</v>
      </c>
      <c r="K898" s="4">
        <v>1.92</v>
      </c>
      <c r="L898" s="4">
        <v>228</v>
      </c>
      <c r="M898" s="4" t="s">
        <v>37</v>
      </c>
      <c r="N898" s="4" t="s">
        <v>24</v>
      </c>
      <c r="O898" s="4" t="s">
        <v>63</v>
      </c>
      <c r="P898" s="4" t="s">
        <v>76</v>
      </c>
    </row>
    <row r="899" spans="1:16" x14ac:dyDescent="0.3">
      <c r="A899" s="4">
        <v>2025</v>
      </c>
      <c r="B899" s="4" t="s">
        <v>46</v>
      </c>
      <c r="C899" s="4" t="s">
        <v>16</v>
      </c>
      <c r="D899" s="4" t="s">
        <v>30</v>
      </c>
      <c r="E899" s="4">
        <v>221</v>
      </c>
      <c r="F899" s="4">
        <v>223</v>
      </c>
      <c r="G899" s="4">
        <v>191</v>
      </c>
      <c r="H899" s="4">
        <v>49.28</v>
      </c>
      <c r="I899" s="4">
        <v>42.21</v>
      </c>
      <c r="J899" s="4">
        <v>7.07</v>
      </c>
      <c r="K899" s="4">
        <v>-7.27</v>
      </c>
      <c r="L899" s="4">
        <v>176</v>
      </c>
      <c r="M899" s="4" t="s">
        <v>37</v>
      </c>
      <c r="N899" s="4" t="s">
        <v>19</v>
      </c>
      <c r="O899" s="4" t="s">
        <v>62</v>
      </c>
      <c r="P899" s="4" t="s">
        <v>73</v>
      </c>
    </row>
    <row r="900" spans="1:16" x14ac:dyDescent="0.3">
      <c r="A900" s="4">
        <v>2024</v>
      </c>
      <c r="B900" s="4" t="s">
        <v>57</v>
      </c>
      <c r="C900" s="4" t="s">
        <v>22</v>
      </c>
      <c r="D900" s="4" t="s">
        <v>23</v>
      </c>
      <c r="E900" s="4">
        <v>236</v>
      </c>
      <c r="F900" s="4">
        <v>164</v>
      </c>
      <c r="G900" s="4">
        <v>55</v>
      </c>
      <c r="H900" s="4">
        <v>38.700000000000003</v>
      </c>
      <c r="I900" s="4">
        <v>12.98</v>
      </c>
      <c r="J900" s="4">
        <v>25.72</v>
      </c>
      <c r="K900" s="4">
        <v>9.35</v>
      </c>
      <c r="L900" s="4">
        <v>34</v>
      </c>
      <c r="M900" s="4" t="s">
        <v>18</v>
      </c>
      <c r="N900" s="4" t="s">
        <v>19</v>
      </c>
      <c r="O900" s="4" t="s">
        <v>62</v>
      </c>
      <c r="P900" s="4" t="s">
        <v>76</v>
      </c>
    </row>
    <row r="901" spans="1:16" x14ac:dyDescent="0.3">
      <c r="A901" s="4">
        <v>2025</v>
      </c>
      <c r="B901" s="4" t="s">
        <v>57</v>
      </c>
      <c r="C901" s="4" t="s">
        <v>33</v>
      </c>
      <c r="D901" s="4" t="s">
        <v>50</v>
      </c>
      <c r="E901" s="4">
        <v>313</v>
      </c>
      <c r="F901" s="4">
        <v>116</v>
      </c>
      <c r="G901" s="4">
        <v>60</v>
      </c>
      <c r="H901" s="4">
        <v>36.31</v>
      </c>
      <c r="I901" s="4">
        <v>18.78</v>
      </c>
      <c r="J901" s="4">
        <v>17.53</v>
      </c>
      <c r="K901" s="4">
        <v>6.65</v>
      </c>
      <c r="L901" s="4">
        <v>231</v>
      </c>
      <c r="M901" s="4" t="s">
        <v>28</v>
      </c>
      <c r="N901" s="4" t="s">
        <v>24</v>
      </c>
      <c r="O901" s="4" t="s">
        <v>63</v>
      </c>
      <c r="P901" s="4" t="s">
        <v>74</v>
      </c>
    </row>
    <row r="902" spans="1:16" x14ac:dyDescent="0.3">
      <c r="A902" s="4">
        <v>2024</v>
      </c>
      <c r="B902" s="4" t="s">
        <v>15</v>
      </c>
      <c r="C902" s="4" t="s">
        <v>26</v>
      </c>
      <c r="D902" s="4" t="s">
        <v>52</v>
      </c>
      <c r="E902" s="4">
        <v>460</v>
      </c>
      <c r="F902" s="4">
        <v>391</v>
      </c>
      <c r="G902" s="4">
        <v>153</v>
      </c>
      <c r="H902" s="4">
        <v>179.86</v>
      </c>
      <c r="I902" s="4">
        <v>70.38</v>
      </c>
      <c r="J902" s="4">
        <v>109.48</v>
      </c>
      <c r="K902" s="4">
        <v>4.9000000000000004</v>
      </c>
      <c r="L902" s="4">
        <v>284</v>
      </c>
      <c r="M902" s="4" t="s">
        <v>28</v>
      </c>
      <c r="N902" s="4" t="s">
        <v>24</v>
      </c>
      <c r="O902" s="4" t="s">
        <v>63</v>
      </c>
      <c r="P902" s="4" t="s">
        <v>71</v>
      </c>
    </row>
    <row r="903" spans="1:16" x14ac:dyDescent="0.3">
      <c r="A903" s="4">
        <v>2024</v>
      </c>
      <c r="B903" s="4" t="s">
        <v>21</v>
      </c>
      <c r="C903" s="4" t="s">
        <v>35</v>
      </c>
      <c r="D903" s="4" t="s">
        <v>36</v>
      </c>
      <c r="E903" s="4">
        <v>151</v>
      </c>
      <c r="F903" s="4">
        <v>306</v>
      </c>
      <c r="G903" s="4">
        <v>190</v>
      </c>
      <c r="H903" s="4">
        <v>46.21</v>
      </c>
      <c r="I903" s="4">
        <v>28.69</v>
      </c>
      <c r="J903" s="4">
        <v>17.52</v>
      </c>
      <c r="K903" s="4">
        <v>-1.26</v>
      </c>
      <c r="L903" s="4">
        <v>214</v>
      </c>
      <c r="M903" s="4" t="s">
        <v>18</v>
      </c>
      <c r="N903" s="4" t="s">
        <v>19</v>
      </c>
      <c r="O903" s="4" t="s">
        <v>62</v>
      </c>
      <c r="P903" s="4" t="s">
        <v>75</v>
      </c>
    </row>
    <row r="904" spans="1:16" x14ac:dyDescent="0.3">
      <c r="A904" s="4">
        <v>2024</v>
      </c>
      <c r="B904" s="4" t="s">
        <v>57</v>
      </c>
      <c r="C904" s="4" t="s">
        <v>22</v>
      </c>
      <c r="D904" s="4" t="s">
        <v>53</v>
      </c>
      <c r="E904" s="4">
        <v>141</v>
      </c>
      <c r="F904" s="4">
        <v>261</v>
      </c>
      <c r="G904" s="4">
        <v>84</v>
      </c>
      <c r="H904" s="4">
        <v>36.799999999999997</v>
      </c>
      <c r="I904" s="4">
        <v>11.84</v>
      </c>
      <c r="J904" s="4">
        <v>24.96</v>
      </c>
      <c r="K904" s="4">
        <v>-4.78</v>
      </c>
      <c r="L904" s="4">
        <v>49</v>
      </c>
      <c r="M904" s="4" t="s">
        <v>18</v>
      </c>
      <c r="N904" s="4" t="s">
        <v>19</v>
      </c>
      <c r="O904" s="4" t="s">
        <v>62</v>
      </c>
      <c r="P904" s="4" t="s">
        <v>73</v>
      </c>
    </row>
    <row r="905" spans="1:16" x14ac:dyDescent="0.3">
      <c r="A905" s="4">
        <v>2024</v>
      </c>
      <c r="B905" s="4" t="s">
        <v>39</v>
      </c>
      <c r="C905" s="4" t="s">
        <v>35</v>
      </c>
      <c r="D905" s="4" t="s">
        <v>43</v>
      </c>
      <c r="E905" s="4">
        <v>208</v>
      </c>
      <c r="F905" s="4">
        <v>220</v>
      </c>
      <c r="G905" s="4">
        <v>31</v>
      </c>
      <c r="H905" s="4">
        <v>45.76</v>
      </c>
      <c r="I905" s="4">
        <v>6.45</v>
      </c>
      <c r="J905" s="4">
        <v>39.31</v>
      </c>
      <c r="K905" s="4">
        <v>-3.03</v>
      </c>
      <c r="L905" s="4">
        <v>64</v>
      </c>
      <c r="M905" s="4" t="s">
        <v>28</v>
      </c>
      <c r="N905" s="4" t="s">
        <v>24</v>
      </c>
      <c r="O905" s="4" t="s">
        <v>63</v>
      </c>
      <c r="P905" s="4" t="s">
        <v>73</v>
      </c>
    </row>
    <row r="906" spans="1:16" x14ac:dyDescent="0.3">
      <c r="A906" s="4">
        <v>2023</v>
      </c>
      <c r="B906" s="4" t="s">
        <v>46</v>
      </c>
      <c r="C906" s="4" t="s">
        <v>16</v>
      </c>
      <c r="D906" s="4" t="s">
        <v>17</v>
      </c>
      <c r="E906" s="4">
        <v>451</v>
      </c>
      <c r="F906" s="4">
        <v>237</v>
      </c>
      <c r="G906" s="4">
        <v>212</v>
      </c>
      <c r="H906" s="4">
        <v>106.89</v>
      </c>
      <c r="I906" s="4">
        <v>95.61</v>
      </c>
      <c r="J906" s="4">
        <v>11.28</v>
      </c>
      <c r="K906" s="4">
        <v>14.76</v>
      </c>
      <c r="L906" s="4">
        <v>200</v>
      </c>
      <c r="M906" s="4" t="s">
        <v>28</v>
      </c>
      <c r="N906" s="4" t="s">
        <v>31</v>
      </c>
      <c r="O906" s="4" t="s">
        <v>42</v>
      </c>
      <c r="P906" s="4" t="s">
        <v>73</v>
      </c>
    </row>
    <row r="907" spans="1:16" x14ac:dyDescent="0.3">
      <c r="A907" s="4">
        <v>2024</v>
      </c>
      <c r="B907" s="4" t="s">
        <v>51</v>
      </c>
      <c r="C907" s="4" t="s">
        <v>22</v>
      </c>
      <c r="D907" s="4" t="s">
        <v>23</v>
      </c>
      <c r="E907" s="4">
        <v>339</v>
      </c>
      <c r="F907" s="4">
        <v>263</v>
      </c>
      <c r="G907" s="4">
        <v>224</v>
      </c>
      <c r="H907" s="4">
        <v>89.16</v>
      </c>
      <c r="I907" s="4">
        <v>75.94</v>
      </c>
      <c r="J907" s="4">
        <v>13.22</v>
      </c>
      <c r="K907" s="4">
        <v>0.35</v>
      </c>
      <c r="L907" s="4">
        <v>169</v>
      </c>
      <c r="M907" s="4" t="s">
        <v>37</v>
      </c>
      <c r="N907" s="4" t="s">
        <v>19</v>
      </c>
      <c r="O907" s="4" t="s">
        <v>62</v>
      </c>
      <c r="P907" s="4" t="s">
        <v>74</v>
      </c>
    </row>
    <row r="908" spans="1:16" x14ac:dyDescent="0.3">
      <c r="A908" s="4">
        <v>2023</v>
      </c>
      <c r="B908" s="4" t="s">
        <v>57</v>
      </c>
      <c r="C908" s="4" t="s">
        <v>22</v>
      </c>
      <c r="D908" s="4" t="s">
        <v>55</v>
      </c>
      <c r="E908" s="4">
        <v>123</v>
      </c>
      <c r="F908" s="4">
        <v>458</v>
      </c>
      <c r="G908" s="4">
        <v>362</v>
      </c>
      <c r="H908" s="4">
        <v>56.33</v>
      </c>
      <c r="I908" s="4">
        <v>44.53</v>
      </c>
      <c r="J908" s="4">
        <v>11.81</v>
      </c>
      <c r="K908" s="4">
        <v>9.57</v>
      </c>
      <c r="L908" s="4">
        <v>108</v>
      </c>
      <c r="M908" s="4" t="s">
        <v>37</v>
      </c>
      <c r="N908" s="4" t="s">
        <v>38</v>
      </c>
      <c r="O908" s="4" t="s">
        <v>44</v>
      </c>
      <c r="P908" s="4" t="s">
        <v>72</v>
      </c>
    </row>
    <row r="909" spans="1:16" x14ac:dyDescent="0.3">
      <c r="A909" s="4">
        <v>2025</v>
      </c>
      <c r="B909" s="4" t="s">
        <v>39</v>
      </c>
      <c r="C909" s="4" t="s">
        <v>33</v>
      </c>
      <c r="D909" s="4" t="s">
        <v>54</v>
      </c>
      <c r="E909" s="4">
        <v>112</v>
      </c>
      <c r="F909" s="4">
        <v>330</v>
      </c>
      <c r="G909" s="4">
        <v>156</v>
      </c>
      <c r="H909" s="4">
        <v>36.96</v>
      </c>
      <c r="I909" s="4">
        <v>17.47</v>
      </c>
      <c r="J909" s="4">
        <v>19.489999999999998</v>
      </c>
      <c r="K909" s="4">
        <v>21.18</v>
      </c>
      <c r="L909" s="4">
        <v>23</v>
      </c>
      <c r="M909" s="4" t="s">
        <v>28</v>
      </c>
      <c r="N909" s="4" t="s">
        <v>38</v>
      </c>
      <c r="O909" s="4" t="s">
        <v>44</v>
      </c>
      <c r="P909" s="4" t="s">
        <v>73</v>
      </c>
    </row>
    <row r="910" spans="1:16" x14ac:dyDescent="0.3">
      <c r="A910" s="4">
        <v>2023</v>
      </c>
      <c r="B910" s="4" t="s">
        <v>57</v>
      </c>
      <c r="C910" s="4" t="s">
        <v>26</v>
      </c>
      <c r="D910" s="4" t="s">
        <v>58</v>
      </c>
      <c r="E910" s="4">
        <v>94</v>
      </c>
      <c r="F910" s="4">
        <v>219</v>
      </c>
      <c r="G910" s="4">
        <v>117</v>
      </c>
      <c r="H910" s="4">
        <v>20.59</v>
      </c>
      <c r="I910" s="4">
        <v>11</v>
      </c>
      <c r="J910" s="4">
        <v>9.59</v>
      </c>
      <c r="K910" s="4">
        <v>7.65</v>
      </c>
      <c r="L910" s="4">
        <v>186</v>
      </c>
      <c r="M910" s="4" t="s">
        <v>37</v>
      </c>
      <c r="N910" s="4" t="s">
        <v>31</v>
      </c>
      <c r="O910" s="4" t="s">
        <v>42</v>
      </c>
      <c r="P910" s="4" t="s">
        <v>76</v>
      </c>
    </row>
    <row r="911" spans="1:16" x14ac:dyDescent="0.3">
      <c r="A911" s="4">
        <v>2024</v>
      </c>
      <c r="B911" s="4" t="s">
        <v>57</v>
      </c>
      <c r="C911" s="4" t="s">
        <v>22</v>
      </c>
      <c r="D911" s="4" t="s">
        <v>59</v>
      </c>
      <c r="E911" s="4">
        <v>464</v>
      </c>
      <c r="F911" s="4">
        <v>244</v>
      </c>
      <c r="G911" s="4">
        <v>164</v>
      </c>
      <c r="H911" s="4">
        <v>113.22</v>
      </c>
      <c r="I911" s="4">
        <v>76.099999999999994</v>
      </c>
      <c r="J911" s="4">
        <v>37.119999999999997</v>
      </c>
      <c r="K911" s="4">
        <v>5.56</v>
      </c>
      <c r="L911" s="4">
        <v>273</v>
      </c>
      <c r="M911" s="4" t="s">
        <v>37</v>
      </c>
      <c r="N911" s="4" t="s">
        <v>38</v>
      </c>
      <c r="O911" s="4" t="s">
        <v>44</v>
      </c>
      <c r="P911" s="4" t="s">
        <v>75</v>
      </c>
    </row>
    <row r="912" spans="1:16" x14ac:dyDescent="0.3">
      <c r="A912" s="4">
        <v>2024</v>
      </c>
      <c r="B912" s="4" t="s">
        <v>51</v>
      </c>
      <c r="C912" s="4" t="s">
        <v>26</v>
      </c>
      <c r="D912" s="4" t="s">
        <v>52</v>
      </c>
      <c r="E912" s="4">
        <v>445</v>
      </c>
      <c r="F912" s="4">
        <v>343</v>
      </c>
      <c r="G912" s="4">
        <v>69</v>
      </c>
      <c r="H912" s="4">
        <v>152.63</v>
      </c>
      <c r="I912" s="4">
        <v>30.7</v>
      </c>
      <c r="J912" s="4">
        <v>121.93</v>
      </c>
      <c r="K912" s="4">
        <v>15.43</v>
      </c>
      <c r="L912" s="4">
        <v>78</v>
      </c>
      <c r="M912" s="4" t="s">
        <v>28</v>
      </c>
      <c r="N912" s="4" t="s">
        <v>24</v>
      </c>
      <c r="O912" s="4" t="s">
        <v>63</v>
      </c>
      <c r="P912" s="4" t="s">
        <v>72</v>
      </c>
    </row>
    <row r="913" spans="1:16" x14ac:dyDescent="0.3">
      <c r="A913" s="4">
        <v>2025</v>
      </c>
      <c r="B913" s="4" t="s">
        <v>15</v>
      </c>
      <c r="C913" s="4" t="s">
        <v>35</v>
      </c>
      <c r="D913" s="4" t="s">
        <v>40</v>
      </c>
      <c r="E913" s="4">
        <v>370</v>
      </c>
      <c r="F913" s="4">
        <v>466</v>
      </c>
      <c r="G913" s="4">
        <v>218</v>
      </c>
      <c r="H913" s="4">
        <v>172.42</v>
      </c>
      <c r="I913" s="4">
        <v>80.66</v>
      </c>
      <c r="J913" s="4">
        <v>91.76</v>
      </c>
      <c r="K913" s="4">
        <v>-7.66</v>
      </c>
      <c r="L913" s="4">
        <v>262</v>
      </c>
      <c r="M913" s="4" t="s">
        <v>18</v>
      </c>
      <c r="N913" s="4" t="s">
        <v>19</v>
      </c>
      <c r="O913" s="4" t="s">
        <v>62</v>
      </c>
      <c r="P913" s="4" t="s">
        <v>76</v>
      </c>
    </row>
    <row r="914" spans="1:16" x14ac:dyDescent="0.3">
      <c r="A914" s="4">
        <v>2024</v>
      </c>
      <c r="B914" s="4" t="s">
        <v>46</v>
      </c>
      <c r="C914" s="4" t="s">
        <v>35</v>
      </c>
      <c r="D914" s="4" t="s">
        <v>36</v>
      </c>
      <c r="E914" s="4">
        <v>390</v>
      </c>
      <c r="F914" s="4">
        <v>401</v>
      </c>
      <c r="G914" s="4">
        <v>302</v>
      </c>
      <c r="H914" s="4">
        <v>156.38999999999999</v>
      </c>
      <c r="I914" s="4">
        <v>117.78</v>
      </c>
      <c r="J914" s="4">
        <v>38.61</v>
      </c>
      <c r="K914" s="4">
        <v>18.98</v>
      </c>
      <c r="L914" s="4">
        <v>179</v>
      </c>
      <c r="M914" s="4" t="s">
        <v>28</v>
      </c>
      <c r="N914" s="4" t="s">
        <v>31</v>
      </c>
      <c r="O914" s="4" t="s">
        <v>42</v>
      </c>
      <c r="P914" s="4" t="s">
        <v>76</v>
      </c>
    </row>
    <row r="915" spans="1:16" x14ac:dyDescent="0.3">
      <c r="A915" s="4">
        <v>2024</v>
      </c>
      <c r="B915" s="4" t="s">
        <v>57</v>
      </c>
      <c r="C915" s="4" t="s">
        <v>26</v>
      </c>
      <c r="D915" s="4" t="s">
        <v>58</v>
      </c>
      <c r="E915" s="4">
        <v>493</v>
      </c>
      <c r="F915" s="4">
        <v>173</v>
      </c>
      <c r="G915" s="4">
        <v>102</v>
      </c>
      <c r="H915" s="4">
        <v>85.29</v>
      </c>
      <c r="I915" s="4">
        <v>50.29</v>
      </c>
      <c r="J915" s="4">
        <v>35</v>
      </c>
      <c r="K915" s="4">
        <v>10.59</v>
      </c>
      <c r="L915" s="4">
        <v>293</v>
      </c>
      <c r="M915" s="4" t="s">
        <v>18</v>
      </c>
      <c r="N915" s="4" t="s">
        <v>24</v>
      </c>
      <c r="O915" s="4" t="s">
        <v>63</v>
      </c>
      <c r="P915" s="4" t="s">
        <v>76</v>
      </c>
    </row>
    <row r="916" spans="1:16" x14ac:dyDescent="0.3">
      <c r="A916" s="4">
        <v>2025</v>
      </c>
      <c r="B916" s="4" t="s">
        <v>39</v>
      </c>
      <c r="C916" s="4" t="s">
        <v>22</v>
      </c>
      <c r="D916" s="4" t="s">
        <v>55</v>
      </c>
      <c r="E916" s="4">
        <v>53</v>
      </c>
      <c r="F916" s="4">
        <v>352</v>
      </c>
      <c r="G916" s="4">
        <v>138</v>
      </c>
      <c r="H916" s="4">
        <v>18.66</v>
      </c>
      <c r="I916" s="4">
        <v>7.31</v>
      </c>
      <c r="J916" s="4">
        <v>11.34</v>
      </c>
      <c r="K916" s="4">
        <v>20.329999999999998</v>
      </c>
      <c r="L916" s="4">
        <v>187</v>
      </c>
      <c r="M916" s="4" t="s">
        <v>37</v>
      </c>
      <c r="N916" s="4" t="s">
        <v>19</v>
      </c>
      <c r="O916" s="4" t="s">
        <v>62</v>
      </c>
      <c r="P916" s="4" t="s">
        <v>74</v>
      </c>
    </row>
    <row r="917" spans="1:16" x14ac:dyDescent="0.3">
      <c r="A917" s="4">
        <v>2024</v>
      </c>
      <c r="B917" s="4" t="s">
        <v>51</v>
      </c>
      <c r="C917" s="4" t="s">
        <v>35</v>
      </c>
      <c r="D917" s="4" t="s">
        <v>40</v>
      </c>
      <c r="E917" s="4">
        <v>76</v>
      </c>
      <c r="F917" s="4">
        <v>51</v>
      </c>
      <c r="G917" s="4">
        <v>36</v>
      </c>
      <c r="H917" s="4">
        <v>3.88</v>
      </c>
      <c r="I917" s="4">
        <v>2.74</v>
      </c>
      <c r="J917" s="4">
        <v>1.1399999999999999</v>
      </c>
      <c r="K917" s="4">
        <v>2.4500000000000002</v>
      </c>
      <c r="L917" s="4">
        <v>24</v>
      </c>
      <c r="M917" s="4" t="s">
        <v>37</v>
      </c>
      <c r="N917" s="4" t="s">
        <v>38</v>
      </c>
      <c r="O917" s="4" t="s">
        <v>44</v>
      </c>
      <c r="P917" s="4" t="s">
        <v>73</v>
      </c>
    </row>
    <row r="918" spans="1:16" x14ac:dyDescent="0.3">
      <c r="A918" s="4">
        <v>2025</v>
      </c>
      <c r="B918" s="4" t="s">
        <v>29</v>
      </c>
      <c r="C918" s="4" t="s">
        <v>16</v>
      </c>
      <c r="D918" s="4" t="s">
        <v>17</v>
      </c>
      <c r="E918" s="4">
        <v>127</v>
      </c>
      <c r="F918" s="4">
        <v>477</v>
      </c>
      <c r="G918" s="4">
        <v>143</v>
      </c>
      <c r="H918" s="4">
        <v>60.58</v>
      </c>
      <c r="I918" s="4">
        <v>18.16</v>
      </c>
      <c r="J918" s="4">
        <v>42.42</v>
      </c>
      <c r="K918" s="4">
        <v>-6.86</v>
      </c>
      <c r="L918" s="4">
        <v>93</v>
      </c>
      <c r="M918" s="4" t="s">
        <v>18</v>
      </c>
      <c r="N918" s="4" t="s">
        <v>31</v>
      </c>
      <c r="O918" s="4" t="s">
        <v>42</v>
      </c>
      <c r="P918" s="4" t="s">
        <v>74</v>
      </c>
    </row>
    <row r="919" spans="1:16" x14ac:dyDescent="0.3">
      <c r="A919" s="4">
        <v>2024</v>
      </c>
      <c r="B919" s="4" t="s">
        <v>32</v>
      </c>
      <c r="C919" s="4" t="s">
        <v>22</v>
      </c>
      <c r="D919" s="4" t="s">
        <v>23</v>
      </c>
      <c r="E919" s="4">
        <v>194</v>
      </c>
      <c r="F919" s="4">
        <v>330</v>
      </c>
      <c r="G919" s="4">
        <v>68</v>
      </c>
      <c r="H919" s="4">
        <v>64.02</v>
      </c>
      <c r="I919" s="4">
        <v>13.19</v>
      </c>
      <c r="J919" s="4">
        <v>50.83</v>
      </c>
      <c r="K919" s="4">
        <v>14.84</v>
      </c>
      <c r="L919" s="4">
        <v>67</v>
      </c>
      <c r="M919" s="4" t="s">
        <v>28</v>
      </c>
      <c r="N919" s="4" t="s">
        <v>31</v>
      </c>
      <c r="O919" s="4" t="s">
        <v>42</v>
      </c>
      <c r="P919" s="4" t="s">
        <v>76</v>
      </c>
    </row>
    <row r="920" spans="1:16" x14ac:dyDescent="0.3">
      <c r="A920" s="4">
        <v>2025</v>
      </c>
      <c r="B920" s="4" t="s">
        <v>29</v>
      </c>
      <c r="C920" s="4" t="s">
        <v>33</v>
      </c>
      <c r="D920" s="4" t="s">
        <v>54</v>
      </c>
      <c r="E920" s="4">
        <v>277</v>
      </c>
      <c r="F920" s="4">
        <v>315</v>
      </c>
      <c r="G920" s="4">
        <v>158</v>
      </c>
      <c r="H920" s="4">
        <v>87.25</v>
      </c>
      <c r="I920" s="4">
        <v>43.77</v>
      </c>
      <c r="J920" s="4">
        <v>43.49</v>
      </c>
      <c r="K920" s="4">
        <v>-6.44</v>
      </c>
      <c r="L920" s="4">
        <v>70</v>
      </c>
      <c r="M920" s="4" t="s">
        <v>18</v>
      </c>
      <c r="N920" s="4" t="s">
        <v>24</v>
      </c>
      <c r="O920" s="4" t="s">
        <v>63</v>
      </c>
      <c r="P920" s="4" t="s">
        <v>73</v>
      </c>
    </row>
    <row r="921" spans="1:16" x14ac:dyDescent="0.3">
      <c r="A921" s="4">
        <v>2025</v>
      </c>
      <c r="B921" s="4" t="s">
        <v>45</v>
      </c>
      <c r="C921" s="4" t="s">
        <v>33</v>
      </c>
      <c r="D921" s="4" t="s">
        <v>34</v>
      </c>
      <c r="E921" s="4">
        <v>419</v>
      </c>
      <c r="F921" s="4">
        <v>88</v>
      </c>
      <c r="G921" s="4">
        <v>46</v>
      </c>
      <c r="H921" s="4">
        <v>36.869999999999997</v>
      </c>
      <c r="I921" s="4">
        <v>19.27</v>
      </c>
      <c r="J921" s="4">
        <v>17.600000000000001</v>
      </c>
      <c r="K921" s="4">
        <v>8.89</v>
      </c>
      <c r="L921" s="4">
        <v>20</v>
      </c>
      <c r="M921" s="4" t="s">
        <v>28</v>
      </c>
      <c r="N921" s="4" t="s">
        <v>19</v>
      </c>
      <c r="O921" s="4" t="s">
        <v>62</v>
      </c>
      <c r="P921" s="4" t="s">
        <v>71</v>
      </c>
    </row>
    <row r="922" spans="1:16" x14ac:dyDescent="0.3">
      <c r="A922" s="4">
        <v>2025</v>
      </c>
      <c r="B922" s="4" t="s">
        <v>51</v>
      </c>
      <c r="C922" s="4" t="s">
        <v>26</v>
      </c>
      <c r="D922" s="4" t="s">
        <v>58</v>
      </c>
      <c r="E922" s="4">
        <v>498</v>
      </c>
      <c r="F922" s="4">
        <v>187</v>
      </c>
      <c r="G922" s="4">
        <v>94</v>
      </c>
      <c r="H922" s="4">
        <v>93.13</v>
      </c>
      <c r="I922" s="4">
        <v>46.81</v>
      </c>
      <c r="J922" s="4">
        <v>46.31</v>
      </c>
      <c r="K922" s="4">
        <v>7.88</v>
      </c>
      <c r="L922" s="4">
        <v>268</v>
      </c>
      <c r="M922" s="4" t="s">
        <v>37</v>
      </c>
      <c r="N922" s="4" t="s">
        <v>38</v>
      </c>
      <c r="O922" s="4" t="s">
        <v>44</v>
      </c>
      <c r="P922" s="4" t="s">
        <v>75</v>
      </c>
    </row>
    <row r="923" spans="1:16" x14ac:dyDescent="0.3">
      <c r="A923" s="4">
        <v>2024</v>
      </c>
      <c r="B923" s="4" t="s">
        <v>45</v>
      </c>
      <c r="C923" s="4" t="s">
        <v>35</v>
      </c>
      <c r="D923" s="4" t="s">
        <v>43</v>
      </c>
      <c r="E923" s="4">
        <v>185</v>
      </c>
      <c r="F923" s="4">
        <v>84</v>
      </c>
      <c r="G923" s="4">
        <v>58</v>
      </c>
      <c r="H923" s="4">
        <v>15.54</v>
      </c>
      <c r="I923" s="4">
        <v>10.73</v>
      </c>
      <c r="J923" s="4">
        <v>4.8099999999999996</v>
      </c>
      <c r="K923" s="4">
        <v>6.49</v>
      </c>
      <c r="L923" s="4">
        <v>199</v>
      </c>
      <c r="M923" s="4" t="s">
        <v>28</v>
      </c>
      <c r="N923" s="4" t="s">
        <v>24</v>
      </c>
      <c r="O923" s="4" t="s">
        <v>63</v>
      </c>
      <c r="P923" s="4" t="s">
        <v>73</v>
      </c>
    </row>
    <row r="924" spans="1:16" x14ac:dyDescent="0.3">
      <c r="A924" s="4">
        <v>2023</v>
      </c>
      <c r="B924" s="4" t="s">
        <v>45</v>
      </c>
      <c r="C924" s="4" t="s">
        <v>22</v>
      </c>
      <c r="D924" s="4" t="s">
        <v>55</v>
      </c>
      <c r="E924" s="4">
        <v>219</v>
      </c>
      <c r="F924" s="4">
        <v>91</v>
      </c>
      <c r="G924" s="4">
        <v>60</v>
      </c>
      <c r="H924" s="4">
        <v>19.93</v>
      </c>
      <c r="I924" s="4">
        <v>13.14</v>
      </c>
      <c r="J924" s="4">
        <v>6.79</v>
      </c>
      <c r="K924" s="4">
        <v>-2.23</v>
      </c>
      <c r="L924" s="4">
        <v>192</v>
      </c>
      <c r="M924" s="4" t="s">
        <v>28</v>
      </c>
      <c r="N924" s="4" t="s">
        <v>24</v>
      </c>
      <c r="O924" s="4" t="s">
        <v>63</v>
      </c>
      <c r="P924" s="4" t="s">
        <v>75</v>
      </c>
    </row>
    <row r="925" spans="1:16" x14ac:dyDescent="0.3">
      <c r="A925" s="4">
        <v>2025</v>
      </c>
      <c r="B925" s="4" t="s">
        <v>41</v>
      </c>
      <c r="C925" s="4" t="s">
        <v>26</v>
      </c>
      <c r="D925" s="4" t="s">
        <v>27</v>
      </c>
      <c r="E925" s="4">
        <v>287</v>
      </c>
      <c r="F925" s="4">
        <v>180</v>
      </c>
      <c r="G925" s="4">
        <v>80</v>
      </c>
      <c r="H925" s="4">
        <v>51.66</v>
      </c>
      <c r="I925" s="4">
        <v>22.96</v>
      </c>
      <c r="J925" s="4">
        <v>28.7</v>
      </c>
      <c r="K925" s="4">
        <v>-6.49</v>
      </c>
      <c r="L925" s="4">
        <v>266</v>
      </c>
      <c r="M925" s="4" t="s">
        <v>18</v>
      </c>
      <c r="N925" s="4" t="s">
        <v>31</v>
      </c>
      <c r="O925" s="4" t="s">
        <v>42</v>
      </c>
      <c r="P925" s="4" t="s">
        <v>73</v>
      </c>
    </row>
    <row r="926" spans="1:16" x14ac:dyDescent="0.3">
      <c r="A926" s="4">
        <v>2025</v>
      </c>
      <c r="B926" s="4" t="s">
        <v>39</v>
      </c>
      <c r="C926" s="4" t="s">
        <v>26</v>
      </c>
      <c r="D926" s="4" t="s">
        <v>58</v>
      </c>
      <c r="E926" s="4">
        <v>406</v>
      </c>
      <c r="F926" s="4">
        <v>219</v>
      </c>
      <c r="G926" s="4">
        <v>44</v>
      </c>
      <c r="H926" s="4">
        <v>88.91</v>
      </c>
      <c r="I926" s="4">
        <v>17.86</v>
      </c>
      <c r="J926" s="4">
        <v>71.05</v>
      </c>
      <c r="K926" s="4">
        <v>2.1</v>
      </c>
      <c r="L926" s="4">
        <v>234</v>
      </c>
      <c r="M926" s="4" t="s">
        <v>28</v>
      </c>
      <c r="N926" s="4" t="s">
        <v>31</v>
      </c>
      <c r="O926" s="4" t="s">
        <v>42</v>
      </c>
      <c r="P926" s="4" t="s">
        <v>73</v>
      </c>
    </row>
    <row r="927" spans="1:16" x14ac:dyDescent="0.3">
      <c r="A927" s="4">
        <v>2023</v>
      </c>
      <c r="B927" s="4" t="s">
        <v>15</v>
      </c>
      <c r="C927" s="4" t="s">
        <v>26</v>
      </c>
      <c r="D927" s="4" t="s">
        <v>52</v>
      </c>
      <c r="E927" s="4">
        <v>353</v>
      </c>
      <c r="F927" s="4">
        <v>179</v>
      </c>
      <c r="G927" s="4">
        <v>67</v>
      </c>
      <c r="H927" s="4">
        <v>63.19</v>
      </c>
      <c r="I927" s="4">
        <v>23.65</v>
      </c>
      <c r="J927" s="4">
        <v>39.54</v>
      </c>
      <c r="K927" s="4">
        <v>16.850000000000001</v>
      </c>
      <c r="L927" s="4">
        <v>216</v>
      </c>
      <c r="M927" s="4" t="s">
        <v>28</v>
      </c>
      <c r="N927" s="4" t="s">
        <v>24</v>
      </c>
      <c r="O927" s="4" t="s">
        <v>63</v>
      </c>
      <c r="P927" s="4" t="s">
        <v>75</v>
      </c>
    </row>
    <row r="928" spans="1:16" x14ac:dyDescent="0.3">
      <c r="A928" s="4">
        <v>2023</v>
      </c>
      <c r="B928" s="4" t="s">
        <v>15</v>
      </c>
      <c r="C928" s="4" t="s">
        <v>26</v>
      </c>
      <c r="D928" s="4" t="s">
        <v>27</v>
      </c>
      <c r="E928" s="4">
        <v>344</v>
      </c>
      <c r="F928" s="4">
        <v>336</v>
      </c>
      <c r="G928" s="4">
        <v>232</v>
      </c>
      <c r="H928" s="4">
        <v>115.58</v>
      </c>
      <c r="I928" s="4">
        <v>79.81</v>
      </c>
      <c r="J928" s="4">
        <v>35.78</v>
      </c>
      <c r="K928" s="4">
        <v>22.19</v>
      </c>
      <c r="L928" s="4">
        <v>240</v>
      </c>
      <c r="M928" s="4" t="s">
        <v>18</v>
      </c>
      <c r="N928" s="4" t="s">
        <v>24</v>
      </c>
      <c r="O928" s="4" t="s">
        <v>63</v>
      </c>
      <c r="P928" s="4" t="s">
        <v>76</v>
      </c>
    </row>
    <row r="929" spans="1:16" x14ac:dyDescent="0.3">
      <c r="A929" s="4">
        <v>2024</v>
      </c>
      <c r="B929" s="4" t="s">
        <v>32</v>
      </c>
      <c r="C929" s="4" t="s">
        <v>26</v>
      </c>
      <c r="D929" s="4" t="s">
        <v>27</v>
      </c>
      <c r="E929" s="4">
        <v>253</v>
      </c>
      <c r="F929" s="4">
        <v>267</v>
      </c>
      <c r="G929" s="4">
        <v>37</v>
      </c>
      <c r="H929" s="4">
        <v>67.55</v>
      </c>
      <c r="I929" s="4">
        <v>9.36</v>
      </c>
      <c r="J929" s="4">
        <v>58.19</v>
      </c>
      <c r="K929" s="4">
        <v>-9.4600000000000009</v>
      </c>
      <c r="L929" s="4">
        <v>167</v>
      </c>
      <c r="M929" s="4" t="s">
        <v>18</v>
      </c>
      <c r="N929" s="4" t="s">
        <v>38</v>
      </c>
      <c r="O929" s="4" t="s">
        <v>44</v>
      </c>
      <c r="P929" s="4" t="s">
        <v>75</v>
      </c>
    </row>
    <row r="930" spans="1:16" x14ac:dyDescent="0.3">
      <c r="A930" s="4">
        <v>2025</v>
      </c>
      <c r="B930" s="4" t="s">
        <v>29</v>
      </c>
      <c r="C930" s="4" t="s">
        <v>22</v>
      </c>
      <c r="D930" s="4" t="s">
        <v>59</v>
      </c>
      <c r="E930" s="4">
        <v>102</v>
      </c>
      <c r="F930" s="4">
        <v>471</v>
      </c>
      <c r="G930" s="4">
        <v>42</v>
      </c>
      <c r="H930" s="4">
        <v>48.04</v>
      </c>
      <c r="I930" s="4">
        <v>4.28</v>
      </c>
      <c r="J930" s="4">
        <v>43.76</v>
      </c>
      <c r="K930" s="4">
        <v>-7.42</v>
      </c>
      <c r="L930" s="4">
        <v>178</v>
      </c>
      <c r="M930" s="4" t="s">
        <v>37</v>
      </c>
      <c r="N930" s="4" t="s">
        <v>19</v>
      </c>
      <c r="O930" s="4" t="s">
        <v>62</v>
      </c>
      <c r="P930" s="4" t="s">
        <v>71</v>
      </c>
    </row>
    <row r="931" spans="1:16" x14ac:dyDescent="0.3">
      <c r="A931" s="4">
        <v>2023</v>
      </c>
      <c r="B931" s="4" t="s">
        <v>21</v>
      </c>
      <c r="C931" s="4" t="s">
        <v>16</v>
      </c>
      <c r="D931" s="4" t="s">
        <v>56</v>
      </c>
      <c r="E931" s="4">
        <v>225</v>
      </c>
      <c r="F931" s="4">
        <v>268</v>
      </c>
      <c r="G931" s="4">
        <v>146</v>
      </c>
      <c r="H931" s="4">
        <v>60.3</v>
      </c>
      <c r="I931" s="4">
        <v>32.85</v>
      </c>
      <c r="J931" s="4">
        <v>27.45</v>
      </c>
      <c r="K931" s="4">
        <v>-2.31</v>
      </c>
      <c r="L931" s="4">
        <v>268</v>
      </c>
      <c r="M931" s="4" t="s">
        <v>37</v>
      </c>
      <c r="N931" s="4" t="s">
        <v>24</v>
      </c>
      <c r="O931" s="4" t="s">
        <v>63</v>
      </c>
      <c r="P931" s="4" t="s">
        <v>76</v>
      </c>
    </row>
    <row r="932" spans="1:16" x14ac:dyDescent="0.3">
      <c r="A932" s="4">
        <v>2024</v>
      </c>
      <c r="B932" s="4" t="s">
        <v>29</v>
      </c>
      <c r="C932" s="4" t="s">
        <v>26</v>
      </c>
      <c r="D932" s="4" t="s">
        <v>58</v>
      </c>
      <c r="E932" s="4">
        <v>286</v>
      </c>
      <c r="F932" s="4">
        <v>175</v>
      </c>
      <c r="G932" s="4">
        <v>132</v>
      </c>
      <c r="H932" s="4">
        <v>50.05</v>
      </c>
      <c r="I932" s="4">
        <v>37.75</v>
      </c>
      <c r="J932" s="4">
        <v>12.3</v>
      </c>
      <c r="K932" s="4">
        <v>-9.99</v>
      </c>
      <c r="L932" s="4">
        <v>205</v>
      </c>
      <c r="M932" s="4" t="s">
        <v>18</v>
      </c>
      <c r="N932" s="4" t="s">
        <v>31</v>
      </c>
      <c r="O932" s="4" t="s">
        <v>42</v>
      </c>
      <c r="P932" s="4" t="s">
        <v>75</v>
      </c>
    </row>
    <row r="933" spans="1:16" x14ac:dyDescent="0.3">
      <c r="A933" s="4">
        <v>2024</v>
      </c>
      <c r="B933" s="4" t="s">
        <v>46</v>
      </c>
      <c r="C933" s="4" t="s">
        <v>22</v>
      </c>
      <c r="D933" s="4" t="s">
        <v>59</v>
      </c>
      <c r="E933" s="4">
        <v>410</v>
      </c>
      <c r="F933" s="4">
        <v>291</v>
      </c>
      <c r="G933" s="4">
        <v>154</v>
      </c>
      <c r="H933" s="4">
        <v>119.31</v>
      </c>
      <c r="I933" s="4">
        <v>63.14</v>
      </c>
      <c r="J933" s="4">
        <v>56.17</v>
      </c>
      <c r="K933" s="4">
        <v>-7.7</v>
      </c>
      <c r="L933" s="4">
        <v>239</v>
      </c>
      <c r="M933" s="4" t="s">
        <v>37</v>
      </c>
      <c r="N933" s="4" t="s">
        <v>24</v>
      </c>
      <c r="O933" s="4" t="s">
        <v>63</v>
      </c>
      <c r="P933" s="4" t="s">
        <v>75</v>
      </c>
    </row>
    <row r="934" spans="1:16" x14ac:dyDescent="0.3">
      <c r="A934" s="4">
        <v>2024</v>
      </c>
      <c r="B934" s="4" t="s">
        <v>39</v>
      </c>
      <c r="C934" s="4" t="s">
        <v>16</v>
      </c>
      <c r="D934" s="4" t="s">
        <v>30</v>
      </c>
      <c r="E934" s="4">
        <v>158</v>
      </c>
      <c r="F934" s="4">
        <v>67</v>
      </c>
      <c r="G934" s="4">
        <v>45</v>
      </c>
      <c r="H934" s="4">
        <v>10.59</v>
      </c>
      <c r="I934" s="4">
        <v>7.11</v>
      </c>
      <c r="J934" s="4">
        <v>3.48</v>
      </c>
      <c r="K934" s="4">
        <v>-7.76</v>
      </c>
      <c r="L934" s="4">
        <v>221</v>
      </c>
      <c r="M934" s="4" t="s">
        <v>37</v>
      </c>
      <c r="N934" s="4" t="s">
        <v>24</v>
      </c>
      <c r="O934" s="4" t="s">
        <v>63</v>
      </c>
      <c r="P934" s="4" t="s">
        <v>74</v>
      </c>
    </row>
    <row r="935" spans="1:16" x14ac:dyDescent="0.3">
      <c r="A935" s="4">
        <v>2025</v>
      </c>
      <c r="B935" s="4" t="s">
        <v>46</v>
      </c>
      <c r="C935" s="4" t="s">
        <v>26</v>
      </c>
      <c r="D935" s="4" t="s">
        <v>52</v>
      </c>
      <c r="E935" s="4">
        <v>159</v>
      </c>
      <c r="F935" s="4">
        <v>90</v>
      </c>
      <c r="G935" s="4">
        <v>34</v>
      </c>
      <c r="H935" s="4">
        <v>14.31</v>
      </c>
      <c r="I935" s="4">
        <v>5.41</v>
      </c>
      <c r="J935" s="4">
        <v>8.9</v>
      </c>
      <c r="K935" s="4">
        <v>14.18</v>
      </c>
      <c r="L935" s="4">
        <v>186</v>
      </c>
      <c r="M935" s="4" t="s">
        <v>37</v>
      </c>
      <c r="N935" s="4" t="s">
        <v>19</v>
      </c>
      <c r="O935" s="4" t="s">
        <v>62</v>
      </c>
      <c r="P935" s="4" t="s">
        <v>72</v>
      </c>
    </row>
    <row r="936" spans="1:16" x14ac:dyDescent="0.3">
      <c r="A936" s="4">
        <v>2025</v>
      </c>
      <c r="B936" s="4" t="s">
        <v>15</v>
      </c>
      <c r="C936" s="4" t="s">
        <v>22</v>
      </c>
      <c r="D936" s="4" t="s">
        <v>55</v>
      </c>
      <c r="E936" s="4">
        <v>195</v>
      </c>
      <c r="F936" s="4">
        <v>415</v>
      </c>
      <c r="G936" s="4">
        <v>394</v>
      </c>
      <c r="H936" s="4">
        <v>80.92</v>
      </c>
      <c r="I936" s="4">
        <v>76.83</v>
      </c>
      <c r="J936" s="4">
        <v>4.09</v>
      </c>
      <c r="K936" s="4">
        <v>3.64</v>
      </c>
      <c r="L936" s="4">
        <v>156</v>
      </c>
      <c r="M936" s="4" t="s">
        <v>37</v>
      </c>
      <c r="N936" s="4" t="s">
        <v>38</v>
      </c>
      <c r="O936" s="4" t="s">
        <v>44</v>
      </c>
      <c r="P936" s="4" t="s">
        <v>74</v>
      </c>
    </row>
    <row r="937" spans="1:16" x14ac:dyDescent="0.3">
      <c r="A937" s="4">
        <v>2025</v>
      </c>
      <c r="B937" s="4" t="s">
        <v>46</v>
      </c>
      <c r="C937" s="4" t="s">
        <v>33</v>
      </c>
      <c r="D937" s="4" t="s">
        <v>34</v>
      </c>
      <c r="E937" s="4">
        <v>482</v>
      </c>
      <c r="F937" s="4">
        <v>96</v>
      </c>
      <c r="G937" s="4">
        <v>52</v>
      </c>
      <c r="H937" s="4">
        <v>46.27</v>
      </c>
      <c r="I937" s="4">
        <v>25.06</v>
      </c>
      <c r="J937" s="4">
        <v>21.21</v>
      </c>
      <c r="K937" s="4">
        <v>18.21</v>
      </c>
      <c r="L937" s="4">
        <v>206</v>
      </c>
      <c r="M937" s="4" t="s">
        <v>37</v>
      </c>
      <c r="N937" s="4" t="s">
        <v>24</v>
      </c>
      <c r="O937" s="4" t="s">
        <v>63</v>
      </c>
      <c r="P937" s="4" t="s">
        <v>71</v>
      </c>
    </row>
    <row r="938" spans="1:16" x14ac:dyDescent="0.3">
      <c r="A938" s="4">
        <v>2025</v>
      </c>
      <c r="B938" s="4" t="s">
        <v>57</v>
      </c>
      <c r="C938" s="4" t="s">
        <v>33</v>
      </c>
      <c r="D938" s="4" t="s">
        <v>48</v>
      </c>
      <c r="E938" s="4">
        <v>133</v>
      </c>
      <c r="F938" s="4">
        <v>218</v>
      </c>
      <c r="G938" s="4">
        <v>65</v>
      </c>
      <c r="H938" s="4">
        <v>28.99</v>
      </c>
      <c r="I938" s="4">
        <v>8.64</v>
      </c>
      <c r="J938" s="4">
        <v>20.350000000000001</v>
      </c>
      <c r="K938" s="4">
        <v>16.350000000000001</v>
      </c>
      <c r="L938" s="4">
        <v>114</v>
      </c>
      <c r="M938" s="4" t="s">
        <v>37</v>
      </c>
      <c r="N938" s="4" t="s">
        <v>24</v>
      </c>
      <c r="O938" s="4" t="s">
        <v>63</v>
      </c>
      <c r="P938" s="4" t="s">
        <v>74</v>
      </c>
    </row>
    <row r="939" spans="1:16" x14ac:dyDescent="0.3">
      <c r="A939" s="4">
        <v>2024</v>
      </c>
      <c r="B939" s="4" t="s">
        <v>41</v>
      </c>
      <c r="C939" s="4" t="s">
        <v>35</v>
      </c>
      <c r="D939" s="4" t="s">
        <v>36</v>
      </c>
      <c r="E939" s="4">
        <v>275</v>
      </c>
      <c r="F939" s="4">
        <v>178</v>
      </c>
      <c r="G939" s="4">
        <v>53</v>
      </c>
      <c r="H939" s="4">
        <v>48.95</v>
      </c>
      <c r="I939" s="4">
        <v>14.57</v>
      </c>
      <c r="J939" s="4">
        <v>34.380000000000003</v>
      </c>
      <c r="K939" s="4">
        <v>2.74</v>
      </c>
      <c r="L939" s="4">
        <v>134</v>
      </c>
      <c r="M939" s="4" t="s">
        <v>37</v>
      </c>
      <c r="N939" s="4" t="s">
        <v>19</v>
      </c>
      <c r="O939" s="4" t="s">
        <v>62</v>
      </c>
      <c r="P939" s="4" t="s">
        <v>74</v>
      </c>
    </row>
    <row r="940" spans="1:16" x14ac:dyDescent="0.3">
      <c r="A940" s="4">
        <v>2025</v>
      </c>
      <c r="B940" s="4" t="s">
        <v>32</v>
      </c>
      <c r="C940" s="4" t="s">
        <v>33</v>
      </c>
      <c r="D940" s="4" t="s">
        <v>34</v>
      </c>
      <c r="E940" s="4">
        <v>283</v>
      </c>
      <c r="F940" s="4">
        <v>332</v>
      </c>
      <c r="G940" s="4">
        <v>311</v>
      </c>
      <c r="H940" s="4">
        <v>93.96</v>
      </c>
      <c r="I940" s="4">
        <v>88.01</v>
      </c>
      <c r="J940" s="4">
        <v>5.94</v>
      </c>
      <c r="K940" s="4">
        <v>14.36</v>
      </c>
      <c r="L940" s="4">
        <v>169</v>
      </c>
      <c r="M940" s="4" t="s">
        <v>18</v>
      </c>
      <c r="N940" s="4" t="s">
        <v>38</v>
      </c>
      <c r="O940" s="4" t="s">
        <v>44</v>
      </c>
      <c r="P940" s="4" t="s">
        <v>73</v>
      </c>
    </row>
    <row r="941" spans="1:16" x14ac:dyDescent="0.3">
      <c r="A941" s="4">
        <v>2023</v>
      </c>
      <c r="B941" s="4" t="s">
        <v>29</v>
      </c>
      <c r="C941" s="4" t="s">
        <v>35</v>
      </c>
      <c r="D941" s="4" t="s">
        <v>36</v>
      </c>
      <c r="E941" s="4">
        <v>98</v>
      </c>
      <c r="F941" s="4">
        <v>427</v>
      </c>
      <c r="G941" s="4">
        <v>258</v>
      </c>
      <c r="H941" s="4">
        <v>41.85</v>
      </c>
      <c r="I941" s="4">
        <v>25.28</v>
      </c>
      <c r="J941" s="4">
        <v>16.559999999999999</v>
      </c>
      <c r="K941" s="4">
        <v>7.34</v>
      </c>
      <c r="L941" s="4">
        <v>39</v>
      </c>
      <c r="M941" s="4" t="s">
        <v>28</v>
      </c>
      <c r="N941" s="4" t="s">
        <v>31</v>
      </c>
      <c r="O941" s="4" t="s">
        <v>42</v>
      </c>
      <c r="P941" s="4" t="s">
        <v>73</v>
      </c>
    </row>
    <row r="942" spans="1:16" x14ac:dyDescent="0.3">
      <c r="A942" s="4">
        <v>2024</v>
      </c>
      <c r="B942" s="4" t="s">
        <v>21</v>
      </c>
      <c r="C942" s="4" t="s">
        <v>26</v>
      </c>
      <c r="D942" s="4" t="s">
        <v>58</v>
      </c>
      <c r="E942" s="4">
        <v>192</v>
      </c>
      <c r="F942" s="4">
        <v>333</v>
      </c>
      <c r="G942" s="4">
        <v>51</v>
      </c>
      <c r="H942" s="4">
        <v>63.94</v>
      </c>
      <c r="I942" s="4">
        <v>9.7899999999999991</v>
      </c>
      <c r="J942" s="4">
        <v>54.14</v>
      </c>
      <c r="K942" s="4">
        <v>13.43</v>
      </c>
      <c r="L942" s="4">
        <v>241</v>
      </c>
      <c r="M942" s="4" t="s">
        <v>28</v>
      </c>
      <c r="N942" s="4" t="s">
        <v>31</v>
      </c>
      <c r="O942" s="4" t="s">
        <v>42</v>
      </c>
      <c r="P942" s="4" t="s">
        <v>71</v>
      </c>
    </row>
    <row r="943" spans="1:16" x14ac:dyDescent="0.3">
      <c r="A943" s="4">
        <v>2024</v>
      </c>
      <c r="B943" s="4" t="s">
        <v>39</v>
      </c>
      <c r="C943" s="4" t="s">
        <v>22</v>
      </c>
      <c r="D943" s="4" t="s">
        <v>53</v>
      </c>
      <c r="E943" s="4">
        <v>65</v>
      </c>
      <c r="F943" s="4">
        <v>335</v>
      </c>
      <c r="G943" s="4">
        <v>205</v>
      </c>
      <c r="H943" s="4">
        <v>21.77</v>
      </c>
      <c r="I943" s="4">
        <v>13.32</v>
      </c>
      <c r="J943" s="4">
        <v>8.4499999999999993</v>
      </c>
      <c r="K943" s="4">
        <v>7.01</v>
      </c>
      <c r="L943" s="4">
        <v>224</v>
      </c>
      <c r="M943" s="4" t="s">
        <v>37</v>
      </c>
      <c r="N943" s="4" t="s">
        <v>38</v>
      </c>
      <c r="O943" s="4" t="s">
        <v>44</v>
      </c>
      <c r="P943" s="4" t="s">
        <v>72</v>
      </c>
    </row>
    <row r="944" spans="1:16" x14ac:dyDescent="0.3">
      <c r="A944" s="4">
        <v>2025</v>
      </c>
      <c r="B944" s="4" t="s">
        <v>45</v>
      </c>
      <c r="C944" s="4" t="s">
        <v>22</v>
      </c>
      <c r="D944" s="4" t="s">
        <v>23</v>
      </c>
      <c r="E944" s="4">
        <v>130</v>
      </c>
      <c r="F944" s="4">
        <v>103</v>
      </c>
      <c r="G944" s="4">
        <v>77</v>
      </c>
      <c r="H944" s="4">
        <v>13.39</v>
      </c>
      <c r="I944" s="4">
        <v>10.01</v>
      </c>
      <c r="J944" s="4">
        <v>3.38</v>
      </c>
      <c r="K944" s="4">
        <v>-4.46</v>
      </c>
      <c r="L944" s="4">
        <v>273</v>
      </c>
      <c r="M944" s="4" t="s">
        <v>37</v>
      </c>
      <c r="N944" s="4" t="s">
        <v>31</v>
      </c>
      <c r="O944" s="4" t="s">
        <v>42</v>
      </c>
      <c r="P944" s="4" t="s">
        <v>72</v>
      </c>
    </row>
    <row r="945" spans="1:16" x14ac:dyDescent="0.3">
      <c r="A945" s="4">
        <v>2024</v>
      </c>
      <c r="B945" s="4" t="s">
        <v>15</v>
      </c>
      <c r="C945" s="4" t="s">
        <v>35</v>
      </c>
      <c r="D945" s="4" t="s">
        <v>40</v>
      </c>
      <c r="E945" s="4">
        <v>127</v>
      </c>
      <c r="F945" s="4">
        <v>278</v>
      </c>
      <c r="G945" s="4">
        <v>139</v>
      </c>
      <c r="H945" s="4">
        <v>35.31</v>
      </c>
      <c r="I945" s="4">
        <v>17.649999999999999</v>
      </c>
      <c r="J945" s="4">
        <v>17.649999999999999</v>
      </c>
      <c r="K945" s="4">
        <v>7.72</v>
      </c>
      <c r="L945" s="4">
        <v>21</v>
      </c>
      <c r="M945" s="4" t="s">
        <v>18</v>
      </c>
      <c r="N945" s="4" t="s">
        <v>31</v>
      </c>
      <c r="O945" s="4" t="s">
        <v>42</v>
      </c>
      <c r="P945" s="4" t="s">
        <v>73</v>
      </c>
    </row>
    <row r="946" spans="1:16" x14ac:dyDescent="0.3">
      <c r="A946" s="4">
        <v>2023</v>
      </c>
      <c r="B946" s="4" t="s">
        <v>46</v>
      </c>
      <c r="C946" s="4" t="s">
        <v>33</v>
      </c>
      <c r="D946" s="4" t="s">
        <v>48</v>
      </c>
      <c r="E946" s="4">
        <v>269</v>
      </c>
      <c r="F946" s="4">
        <v>182</v>
      </c>
      <c r="G946" s="4">
        <v>63</v>
      </c>
      <c r="H946" s="4">
        <v>48.96</v>
      </c>
      <c r="I946" s="4">
        <v>16.95</v>
      </c>
      <c r="J946" s="4">
        <v>32.01</v>
      </c>
      <c r="K946" s="4">
        <v>4.79</v>
      </c>
      <c r="L946" s="4">
        <v>124</v>
      </c>
      <c r="M946" s="4" t="s">
        <v>18</v>
      </c>
      <c r="N946" s="4" t="s">
        <v>31</v>
      </c>
      <c r="O946" s="4" t="s">
        <v>42</v>
      </c>
      <c r="P946" s="4" t="s">
        <v>73</v>
      </c>
    </row>
    <row r="947" spans="1:16" x14ac:dyDescent="0.3">
      <c r="A947" s="4">
        <v>2025</v>
      </c>
      <c r="B947" s="4" t="s">
        <v>57</v>
      </c>
      <c r="C947" s="4" t="s">
        <v>16</v>
      </c>
      <c r="D947" s="4" t="s">
        <v>17</v>
      </c>
      <c r="E947" s="4">
        <v>374</v>
      </c>
      <c r="F947" s="4">
        <v>436</v>
      </c>
      <c r="G947" s="4">
        <v>108</v>
      </c>
      <c r="H947" s="4">
        <v>163.06</v>
      </c>
      <c r="I947" s="4">
        <v>40.39</v>
      </c>
      <c r="J947" s="4">
        <v>122.67</v>
      </c>
      <c r="K947" s="4">
        <v>18.420000000000002</v>
      </c>
      <c r="L947" s="4">
        <v>64</v>
      </c>
      <c r="M947" s="4" t="s">
        <v>18</v>
      </c>
      <c r="N947" s="4" t="s">
        <v>24</v>
      </c>
      <c r="O947" s="4" t="s">
        <v>63</v>
      </c>
      <c r="P947" s="4" t="s">
        <v>74</v>
      </c>
    </row>
    <row r="948" spans="1:16" x14ac:dyDescent="0.3">
      <c r="A948" s="4">
        <v>2023</v>
      </c>
      <c r="B948" s="4" t="s">
        <v>29</v>
      </c>
      <c r="C948" s="4" t="s">
        <v>33</v>
      </c>
      <c r="D948" s="4" t="s">
        <v>50</v>
      </c>
      <c r="E948" s="4">
        <v>389</v>
      </c>
      <c r="F948" s="4">
        <v>370</v>
      </c>
      <c r="G948" s="4">
        <v>275</v>
      </c>
      <c r="H948" s="4">
        <v>143.93</v>
      </c>
      <c r="I948" s="4">
        <v>106.97</v>
      </c>
      <c r="J948" s="4">
        <v>36.96</v>
      </c>
      <c r="K948" s="4">
        <v>-9.68</v>
      </c>
      <c r="L948" s="4">
        <v>230</v>
      </c>
      <c r="M948" s="4" t="s">
        <v>18</v>
      </c>
      <c r="N948" s="4" t="s">
        <v>38</v>
      </c>
      <c r="O948" s="4" t="s">
        <v>44</v>
      </c>
      <c r="P948" s="4" t="s">
        <v>73</v>
      </c>
    </row>
    <row r="949" spans="1:16" x14ac:dyDescent="0.3">
      <c r="A949" s="4">
        <v>2023</v>
      </c>
      <c r="B949" s="4" t="s">
        <v>46</v>
      </c>
      <c r="C949" s="4" t="s">
        <v>16</v>
      </c>
      <c r="D949" s="4" t="s">
        <v>30</v>
      </c>
      <c r="E949" s="4">
        <v>455</v>
      </c>
      <c r="F949" s="4">
        <v>129</v>
      </c>
      <c r="G949" s="4">
        <v>66</v>
      </c>
      <c r="H949" s="4">
        <v>58.7</v>
      </c>
      <c r="I949" s="4">
        <v>30.03</v>
      </c>
      <c r="J949" s="4">
        <v>28.66</v>
      </c>
      <c r="K949" s="4">
        <v>-7.79</v>
      </c>
      <c r="L949" s="4">
        <v>141</v>
      </c>
      <c r="M949" s="4" t="s">
        <v>28</v>
      </c>
      <c r="N949" s="4" t="s">
        <v>19</v>
      </c>
      <c r="O949" s="4" t="s">
        <v>62</v>
      </c>
      <c r="P949" s="4" t="s">
        <v>76</v>
      </c>
    </row>
    <row r="950" spans="1:16" x14ac:dyDescent="0.3">
      <c r="A950" s="4">
        <v>2023</v>
      </c>
      <c r="B950" s="4" t="s">
        <v>47</v>
      </c>
      <c r="C950" s="4" t="s">
        <v>16</v>
      </c>
      <c r="D950" s="4" t="s">
        <v>17</v>
      </c>
      <c r="E950" s="4">
        <v>124</v>
      </c>
      <c r="F950" s="4">
        <v>332</v>
      </c>
      <c r="G950" s="4">
        <v>176</v>
      </c>
      <c r="H950" s="4">
        <v>41.17</v>
      </c>
      <c r="I950" s="4">
        <v>21.82</v>
      </c>
      <c r="J950" s="4">
        <v>19.34</v>
      </c>
      <c r="K950" s="4">
        <v>-7.49</v>
      </c>
      <c r="L950" s="4">
        <v>70</v>
      </c>
      <c r="M950" s="4" t="s">
        <v>18</v>
      </c>
      <c r="N950" s="4" t="s">
        <v>38</v>
      </c>
      <c r="O950" s="4" t="s">
        <v>44</v>
      </c>
      <c r="P950" s="4" t="s">
        <v>72</v>
      </c>
    </row>
    <row r="951" spans="1:16" x14ac:dyDescent="0.3">
      <c r="A951" s="4">
        <v>2024</v>
      </c>
      <c r="B951" s="4" t="s">
        <v>49</v>
      </c>
      <c r="C951" s="4" t="s">
        <v>33</v>
      </c>
      <c r="D951" s="4" t="s">
        <v>34</v>
      </c>
      <c r="E951" s="4">
        <v>141</v>
      </c>
      <c r="F951" s="4">
        <v>354</v>
      </c>
      <c r="G951" s="4">
        <v>130</v>
      </c>
      <c r="H951" s="4">
        <v>49.91</v>
      </c>
      <c r="I951" s="4">
        <v>18.329999999999998</v>
      </c>
      <c r="J951" s="4">
        <v>31.58</v>
      </c>
      <c r="K951" s="4">
        <v>13.61</v>
      </c>
      <c r="L951" s="4">
        <v>269</v>
      </c>
      <c r="M951" s="4" t="s">
        <v>28</v>
      </c>
      <c r="N951" s="4" t="s">
        <v>38</v>
      </c>
      <c r="O951" s="4" t="s">
        <v>44</v>
      </c>
      <c r="P951" s="4" t="s">
        <v>75</v>
      </c>
    </row>
    <row r="952" spans="1:16" x14ac:dyDescent="0.3">
      <c r="A952" s="4">
        <v>2023</v>
      </c>
      <c r="B952" s="4" t="s">
        <v>49</v>
      </c>
      <c r="C952" s="4" t="s">
        <v>35</v>
      </c>
      <c r="D952" s="4" t="s">
        <v>40</v>
      </c>
      <c r="E952" s="4">
        <v>407</v>
      </c>
      <c r="F952" s="4">
        <v>268</v>
      </c>
      <c r="G952" s="4">
        <v>78</v>
      </c>
      <c r="H952" s="4">
        <v>109.08</v>
      </c>
      <c r="I952" s="4">
        <v>31.75</v>
      </c>
      <c r="J952" s="4">
        <v>77.33</v>
      </c>
      <c r="K952" s="4">
        <v>10.81</v>
      </c>
      <c r="L952" s="4">
        <v>50</v>
      </c>
      <c r="M952" s="4" t="s">
        <v>18</v>
      </c>
      <c r="N952" s="4" t="s">
        <v>31</v>
      </c>
      <c r="O952" s="4" t="s">
        <v>42</v>
      </c>
      <c r="P952" s="4" t="s">
        <v>75</v>
      </c>
    </row>
    <row r="953" spans="1:16" x14ac:dyDescent="0.3">
      <c r="A953" s="4">
        <v>2025</v>
      </c>
      <c r="B953" s="4" t="s">
        <v>32</v>
      </c>
      <c r="C953" s="4" t="s">
        <v>16</v>
      </c>
      <c r="D953" s="4" t="s">
        <v>30</v>
      </c>
      <c r="E953" s="4">
        <v>323</v>
      </c>
      <c r="F953" s="4">
        <v>87</v>
      </c>
      <c r="G953" s="4">
        <v>74</v>
      </c>
      <c r="H953" s="4">
        <v>28.1</v>
      </c>
      <c r="I953" s="4">
        <v>23.9</v>
      </c>
      <c r="J953" s="4">
        <v>4.2</v>
      </c>
      <c r="K953" s="4">
        <v>-2.79</v>
      </c>
      <c r="L953" s="4">
        <v>288</v>
      </c>
      <c r="M953" s="4" t="s">
        <v>18</v>
      </c>
      <c r="N953" s="4" t="s">
        <v>31</v>
      </c>
      <c r="O953" s="4" t="s">
        <v>42</v>
      </c>
      <c r="P953" s="4" t="s">
        <v>74</v>
      </c>
    </row>
    <row r="954" spans="1:16" x14ac:dyDescent="0.3">
      <c r="A954" s="4">
        <v>2023</v>
      </c>
      <c r="B954" s="4" t="s">
        <v>57</v>
      </c>
      <c r="C954" s="4" t="s">
        <v>33</v>
      </c>
      <c r="D954" s="4" t="s">
        <v>54</v>
      </c>
      <c r="E954" s="4">
        <v>224</v>
      </c>
      <c r="F954" s="4">
        <v>220</v>
      </c>
      <c r="G954" s="4">
        <v>205</v>
      </c>
      <c r="H954" s="4">
        <v>49.28</v>
      </c>
      <c r="I954" s="4">
        <v>45.92</v>
      </c>
      <c r="J954" s="4">
        <v>3.36</v>
      </c>
      <c r="K954" s="4">
        <v>0.09</v>
      </c>
      <c r="L954" s="4">
        <v>259</v>
      </c>
      <c r="M954" s="4" t="s">
        <v>28</v>
      </c>
      <c r="N954" s="4" t="s">
        <v>31</v>
      </c>
      <c r="O954" s="4" t="s">
        <v>42</v>
      </c>
      <c r="P954" s="4" t="s">
        <v>72</v>
      </c>
    </row>
    <row r="955" spans="1:16" x14ac:dyDescent="0.3">
      <c r="A955" s="4">
        <v>2024</v>
      </c>
      <c r="B955" s="4" t="s">
        <v>57</v>
      </c>
      <c r="C955" s="4" t="s">
        <v>22</v>
      </c>
      <c r="D955" s="4" t="s">
        <v>55</v>
      </c>
      <c r="E955" s="4">
        <v>319</v>
      </c>
      <c r="F955" s="4">
        <v>378</v>
      </c>
      <c r="G955" s="4">
        <v>39</v>
      </c>
      <c r="H955" s="4">
        <v>120.58</v>
      </c>
      <c r="I955" s="4">
        <v>12.44</v>
      </c>
      <c r="J955" s="4">
        <v>108.14</v>
      </c>
      <c r="K955" s="4">
        <v>-3.8</v>
      </c>
      <c r="L955" s="4">
        <v>257</v>
      </c>
      <c r="M955" s="4" t="s">
        <v>28</v>
      </c>
      <c r="N955" s="4" t="s">
        <v>24</v>
      </c>
      <c r="O955" s="4" t="s">
        <v>63</v>
      </c>
      <c r="P955" s="4" t="s">
        <v>74</v>
      </c>
    </row>
    <row r="956" spans="1:16" x14ac:dyDescent="0.3">
      <c r="A956" s="4">
        <v>2023</v>
      </c>
      <c r="B956" s="4" t="s">
        <v>21</v>
      </c>
      <c r="C956" s="4" t="s">
        <v>33</v>
      </c>
      <c r="D956" s="4" t="s">
        <v>48</v>
      </c>
      <c r="E956" s="4">
        <v>392</v>
      </c>
      <c r="F956" s="4">
        <v>421</v>
      </c>
      <c r="G956" s="4">
        <v>62</v>
      </c>
      <c r="H956" s="4">
        <v>165.03</v>
      </c>
      <c r="I956" s="4">
        <v>24.3</v>
      </c>
      <c r="J956" s="4">
        <v>140.72999999999999</v>
      </c>
      <c r="K956" s="4">
        <v>10.119999999999999</v>
      </c>
      <c r="L956" s="4">
        <v>187</v>
      </c>
      <c r="M956" s="4" t="s">
        <v>28</v>
      </c>
      <c r="N956" s="4" t="s">
        <v>31</v>
      </c>
      <c r="O956" s="4" t="s">
        <v>42</v>
      </c>
      <c r="P956" s="4" t="s">
        <v>71</v>
      </c>
    </row>
    <row r="957" spans="1:16" x14ac:dyDescent="0.3">
      <c r="A957" s="4">
        <v>2024</v>
      </c>
      <c r="B957" s="4" t="s">
        <v>46</v>
      </c>
      <c r="C957" s="4" t="s">
        <v>26</v>
      </c>
      <c r="D957" s="4" t="s">
        <v>58</v>
      </c>
      <c r="E957" s="4">
        <v>244</v>
      </c>
      <c r="F957" s="4">
        <v>371</v>
      </c>
      <c r="G957" s="4">
        <v>302</v>
      </c>
      <c r="H957" s="4">
        <v>90.52</v>
      </c>
      <c r="I957" s="4">
        <v>73.69</v>
      </c>
      <c r="J957" s="4">
        <v>16.84</v>
      </c>
      <c r="K957" s="4">
        <v>-9.84</v>
      </c>
      <c r="L957" s="4">
        <v>161</v>
      </c>
      <c r="M957" s="4" t="s">
        <v>18</v>
      </c>
      <c r="N957" s="4" t="s">
        <v>31</v>
      </c>
      <c r="O957" s="4" t="s">
        <v>42</v>
      </c>
      <c r="P957" s="4" t="s">
        <v>75</v>
      </c>
    </row>
    <row r="958" spans="1:16" x14ac:dyDescent="0.3">
      <c r="A958" s="4">
        <v>2025</v>
      </c>
      <c r="B958" s="4" t="s">
        <v>57</v>
      </c>
      <c r="C958" s="4" t="s">
        <v>16</v>
      </c>
      <c r="D958" s="4" t="s">
        <v>17</v>
      </c>
      <c r="E958" s="4">
        <v>96</v>
      </c>
      <c r="F958" s="4">
        <v>203</v>
      </c>
      <c r="G958" s="4">
        <v>60</v>
      </c>
      <c r="H958" s="4">
        <v>19.489999999999998</v>
      </c>
      <c r="I958" s="4">
        <v>5.76</v>
      </c>
      <c r="J958" s="4">
        <v>13.73</v>
      </c>
      <c r="K958" s="4">
        <v>-0.79</v>
      </c>
      <c r="L958" s="4">
        <v>202</v>
      </c>
      <c r="M958" s="4" t="s">
        <v>37</v>
      </c>
      <c r="N958" s="4" t="s">
        <v>19</v>
      </c>
      <c r="O958" s="4" t="s">
        <v>62</v>
      </c>
      <c r="P958" s="4" t="s">
        <v>76</v>
      </c>
    </row>
    <row r="959" spans="1:16" x14ac:dyDescent="0.3">
      <c r="A959" s="4">
        <v>2023</v>
      </c>
      <c r="B959" s="4" t="s">
        <v>46</v>
      </c>
      <c r="C959" s="4" t="s">
        <v>33</v>
      </c>
      <c r="D959" s="4" t="s">
        <v>34</v>
      </c>
      <c r="E959" s="4">
        <v>155</v>
      </c>
      <c r="F959" s="4">
        <v>241</v>
      </c>
      <c r="G959" s="4">
        <v>122</v>
      </c>
      <c r="H959" s="4">
        <v>37.35</v>
      </c>
      <c r="I959" s="4">
        <v>18.91</v>
      </c>
      <c r="J959" s="4">
        <v>18.440000000000001</v>
      </c>
      <c r="K959" s="4">
        <v>17.829999999999998</v>
      </c>
      <c r="L959" s="4">
        <v>64</v>
      </c>
      <c r="M959" s="4" t="s">
        <v>28</v>
      </c>
      <c r="N959" s="4" t="s">
        <v>24</v>
      </c>
      <c r="O959" s="4" t="s">
        <v>63</v>
      </c>
      <c r="P959" s="4" t="s">
        <v>71</v>
      </c>
    </row>
    <row r="960" spans="1:16" x14ac:dyDescent="0.3">
      <c r="A960" s="4">
        <v>2024</v>
      </c>
      <c r="B960" s="4" t="s">
        <v>39</v>
      </c>
      <c r="C960" s="4" t="s">
        <v>22</v>
      </c>
      <c r="D960" s="4" t="s">
        <v>59</v>
      </c>
      <c r="E960" s="4">
        <v>134</v>
      </c>
      <c r="F960" s="4">
        <v>205</v>
      </c>
      <c r="G960" s="4">
        <v>93</v>
      </c>
      <c r="H960" s="4">
        <v>27.47</v>
      </c>
      <c r="I960" s="4">
        <v>12.46</v>
      </c>
      <c r="J960" s="4">
        <v>15.01</v>
      </c>
      <c r="K960" s="4">
        <v>22.49</v>
      </c>
      <c r="L960" s="4">
        <v>187</v>
      </c>
      <c r="M960" s="4" t="s">
        <v>37</v>
      </c>
      <c r="N960" s="4" t="s">
        <v>38</v>
      </c>
      <c r="O960" s="4" t="s">
        <v>44</v>
      </c>
      <c r="P960" s="4" t="s">
        <v>72</v>
      </c>
    </row>
    <row r="961" spans="1:16" x14ac:dyDescent="0.3">
      <c r="A961" s="4">
        <v>2025</v>
      </c>
      <c r="B961" s="4" t="s">
        <v>32</v>
      </c>
      <c r="C961" s="4" t="s">
        <v>16</v>
      </c>
      <c r="D961" s="4" t="s">
        <v>56</v>
      </c>
      <c r="E961" s="4">
        <v>107</v>
      </c>
      <c r="F961" s="4">
        <v>157</v>
      </c>
      <c r="G961" s="4">
        <v>71</v>
      </c>
      <c r="H961" s="4">
        <v>16.8</v>
      </c>
      <c r="I961" s="4">
        <v>7.6</v>
      </c>
      <c r="J961" s="4">
        <v>9.1999999999999993</v>
      </c>
      <c r="K961" s="4">
        <v>12.74</v>
      </c>
      <c r="L961" s="4">
        <v>211</v>
      </c>
      <c r="M961" s="4" t="s">
        <v>28</v>
      </c>
      <c r="N961" s="4" t="s">
        <v>24</v>
      </c>
      <c r="O961" s="4" t="s">
        <v>63</v>
      </c>
      <c r="P961" s="4" t="s">
        <v>71</v>
      </c>
    </row>
    <row r="962" spans="1:16" x14ac:dyDescent="0.3">
      <c r="A962" s="4">
        <v>2024</v>
      </c>
      <c r="B962" s="4" t="s">
        <v>32</v>
      </c>
      <c r="C962" s="4" t="s">
        <v>35</v>
      </c>
      <c r="D962" s="4" t="s">
        <v>36</v>
      </c>
      <c r="E962" s="4">
        <v>267</v>
      </c>
      <c r="F962" s="4">
        <v>225</v>
      </c>
      <c r="G962" s="4">
        <v>167</v>
      </c>
      <c r="H962" s="4">
        <v>60.08</v>
      </c>
      <c r="I962" s="4">
        <v>44.59</v>
      </c>
      <c r="J962" s="4">
        <v>15.49</v>
      </c>
      <c r="K962" s="4">
        <v>16.77</v>
      </c>
      <c r="L962" s="4">
        <v>200</v>
      </c>
      <c r="M962" s="4" t="s">
        <v>28</v>
      </c>
      <c r="N962" s="4" t="s">
        <v>38</v>
      </c>
      <c r="O962" s="4" t="s">
        <v>44</v>
      </c>
      <c r="P962" s="4" t="s">
        <v>76</v>
      </c>
    </row>
    <row r="963" spans="1:16" x14ac:dyDescent="0.3">
      <c r="A963" s="4">
        <v>2025</v>
      </c>
      <c r="B963" s="4" t="s">
        <v>32</v>
      </c>
      <c r="C963" s="4" t="s">
        <v>33</v>
      </c>
      <c r="D963" s="4" t="s">
        <v>50</v>
      </c>
      <c r="E963" s="4">
        <v>259</v>
      </c>
      <c r="F963" s="4">
        <v>67</v>
      </c>
      <c r="G963" s="4">
        <v>52</v>
      </c>
      <c r="H963" s="4">
        <v>17.350000000000001</v>
      </c>
      <c r="I963" s="4">
        <v>13.47</v>
      </c>
      <c r="J963" s="4">
        <v>3.89</v>
      </c>
      <c r="K963" s="4">
        <v>4.93</v>
      </c>
      <c r="L963" s="4">
        <v>49</v>
      </c>
      <c r="M963" s="4" t="s">
        <v>28</v>
      </c>
      <c r="N963" s="4" t="s">
        <v>19</v>
      </c>
      <c r="O963" s="4" t="s">
        <v>62</v>
      </c>
      <c r="P963" s="4" t="s">
        <v>75</v>
      </c>
    </row>
    <row r="964" spans="1:16" x14ac:dyDescent="0.3">
      <c r="A964" s="4">
        <v>2023</v>
      </c>
      <c r="B964" s="4" t="s">
        <v>39</v>
      </c>
      <c r="C964" s="4" t="s">
        <v>26</v>
      </c>
      <c r="D964" s="4" t="s">
        <v>58</v>
      </c>
      <c r="E964" s="4">
        <v>228</v>
      </c>
      <c r="F964" s="4">
        <v>70</v>
      </c>
      <c r="G964" s="4">
        <v>59</v>
      </c>
      <c r="H964" s="4">
        <v>15.96</v>
      </c>
      <c r="I964" s="4">
        <v>13.45</v>
      </c>
      <c r="J964" s="4">
        <v>2.5099999999999998</v>
      </c>
      <c r="K964" s="4">
        <v>0</v>
      </c>
      <c r="L964" s="4">
        <v>250</v>
      </c>
      <c r="M964" s="4" t="s">
        <v>28</v>
      </c>
      <c r="N964" s="4" t="s">
        <v>24</v>
      </c>
      <c r="O964" s="4" t="s">
        <v>63</v>
      </c>
      <c r="P964" s="4" t="s">
        <v>71</v>
      </c>
    </row>
    <row r="965" spans="1:16" x14ac:dyDescent="0.3">
      <c r="A965" s="4">
        <v>2024</v>
      </c>
      <c r="B965" s="4" t="s">
        <v>29</v>
      </c>
      <c r="C965" s="4" t="s">
        <v>33</v>
      </c>
      <c r="D965" s="4" t="s">
        <v>34</v>
      </c>
      <c r="E965" s="4">
        <v>238</v>
      </c>
      <c r="F965" s="4">
        <v>154</v>
      </c>
      <c r="G965" s="4">
        <v>132</v>
      </c>
      <c r="H965" s="4">
        <v>36.65</v>
      </c>
      <c r="I965" s="4">
        <v>31.42</v>
      </c>
      <c r="J965" s="4">
        <v>5.24</v>
      </c>
      <c r="K965" s="4">
        <v>7.18</v>
      </c>
      <c r="L965" s="4">
        <v>184</v>
      </c>
      <c r="M965" s="4" t="s">
        <v>18</v>
      </c>
      <c r="N965" s="4" t="s">
        <v>31</v>
      </c>
      <c r="O965" s="4" t="s">
        <v>42</v>
      </c>
      <c r="P965" s="4" t="s">
        <v>74</v>
      </c>
    </row>
    <row r="966" spans="1:16" x14ac:dyDescent="0.3">
      <c r="A966" s="4">
        <v>2023</v>
      </c>
      <c r="B966" s="4" t="s">
        <v>51</v>
      </c>
      <c r="C966" s="4" t="s">
        <v>26</v>
      </c>
      <c r="D966" s="4" t="s">
        <v>52</v>
      </c>
      <c r="E966" s="4">
        <v>303</v>
      </c>
      <c r="F966" s="4">
        <v>410</v>
      </c>
      <c r="G966" s="4">
        <v>166</v>
      </c>
      <c r="H966" s="4">
        <v>124.23</v>
      </c>
      <c r="I966" s="4">
        <v>50.3</v>
      </c>
      <c r="J966" s="4">
        <v>73.930000000000007</v>
      </c>
      <c r="K966" s="4">
        <v>-0.51</v>
      </c>
      <c r="L966" s="4">
        <v>88</v>
      </c>
      <c r="M966" s="4" t="s">
        <v>37</v>
      </c>
      <c r="N966" s="4" t="s">
        <v>31</v>
      </c>
      <c r="O966" s="4" t="s">
        <v>42</v>
      </c>
      <c r="P966" s="4" t="s">
        <v>73</v>
      </c>
    </row>
    <row r="967" spans="1:16" x14ac:dyDescent="0.3">
      <c r="A967" s="4">
        <v>2025</v>
      </c>
      <c r="B967" s="4" t="s">
        <v>21</v>
      </c>
      <c r="C967" s="4" t="s">
        <v>35</v>
      </c>
      <c r="D967" s="4" t="s">
        <v>43</v>
      </c>
      <c r="E967" s="4">
        <v>294</v>
      </c>
      <c r="F967" s="4">
        <v>412</v>
      </c>
      <c r="G967" s="4">
        <v>214</v>
      </c>
      <c r="H967" s="4">
        <v>121.13</v>
      </c>
      <c r="I967" s="4">
        <v>62.92</v>
      </c>
      <c r="J967" s="4">
        <v>58.21</v>
      </c>
      <c r="K967" s="4">
        <v>4.32</v>
      </c>
      <c r="L967" s="4">
        <v>43</v>
      </c>
      <c r="M967" s="4" t="s">
        <v>18</v>
      </c>
      <c r="N967" s="4" t="s">
        <v>19</v>
      </c>
      <c r="O967" s="4" t="s">
        <v>62</v>
      </c>
      <c r="P967" s="4" t="s">
        <v>73</v>
      </c>
    </row>
    <row r="968" spans="1:16" x14ac:dyDescent="0.3">
      <c r="A968" s="4">
        <v>2025</v>
      </c>
      <c r="B968" s="4" t="s">
        <v>41</v>
      </c>
      <c r="C968" s="4" t="s">
        <v>22</v>
      </c>
      <c r="D968" s="4" t="s">
        <v>23</v>
      </c>
      <c r="E968" s="4">
        <v>286</v>
      </c>
      <c r="F968" s="4">
        <v>293</v>
      </c>
      <c r="G968" s="4">
        <v>235</v>
      </c>
      <c r="H968" s="4">
        <v>83.8</v>
      </c>
      <c r="I968" s="4">
        <v>67.209999999999994</v>
      </c>
      <c r="J968" s="4">
        <v>16.59</v>
      </c>
      <c r="K968" s="4">
        <v>-4.99</v>
      </c>
      <c r="L968" s="4">
        <v>269</v>
      </c>
      <c r="M968" s="4" t="s">
        <v>28</v>
      </c>
      <c r="N968" s="4" t="s">
        <v>31</v>
      </c>
      <c r="O968" s="4" t="s">
        <v>42</v>
      </c>
      <c r="P968" s="4" t="s">
        <v>73</v>
      </c>
    </row>
    <row r="969" spans="1:16" x14ac:dyDescent="0.3">
      <c r="A969" s="4">
        <v>2025</v>
      </c>
      <c r="B969" s="4" t="s">
        <v>21</v>
      </c>
      <c r="C969" s="4" t="s">
        <v>33</v>
      </c>
      <c r="D969" s="4" t="s">
        <v>34</v>
      </c>
      <c r="E969" s="4">
        <v>325</v>
      </c>
      <c r="F969" s="4">
        <v>410</v>
      </c>
      <c r="G969" s="4">
        <v>244</v>
      </c>
      <c r="H969" s="4">
        <v>133.25</v>
      </c>
      <c r="I969" s="4">
        <v>79.3</v>
      </c>
      <c r="J969" s="4">
        <v>53.95</v>
      </c>
      <c r="K969" s="4">
        <v>15.14</v>
      </c>
      <c r="L969" s="4">
        <v>62</v>
      </c>
      <c r="M969" s="4" t="s">
        <v>28</v>
      </c>
      <c r="N969" s="4" t="s">
        <v>19</v>
      </c>
      <c r="O969" s="4" t="s">
        <v>62</v>
      </c>
      <c r="P969" s="4" t="s">
        <v>76</v>
      </c>
    </row>
    <row r="970" spans="1:16" x14ac:dyDescent="0.3">
      <c r="A970" s="4">
        <v>2025</v>
      </c>
      <c r="B970" s="4" t="s">
        <v>47</v>
      </c>
      <c r="C970" s="4" t="s">
        <v>35</v>
      </c>
      <c r="D970" s="4" t="s">
        <v>40</v>
      </c>
      <c r="E970" s="4">
        <v>90</v>
      </c>
      <c r="F970" s="4">
        <v>246</v>
      </c>
      <c r="G970" s="4">
        <v>72</v>
      </c>
      <c r="H970" s="4">
        <v>22.14</v>
      </c>
      <c r="I970" s="4">
        <v>6.48</v>
      </c>
      <c r="J970" s="4">
        <v>15.66</v>
      </c>
      <c r="K970" s="4">
        <v>9.58</v>
      </c>
      <c r="L970" s="4">
        <v>135</v>
      </c>
      <c r="M970" s="4" t="s">
        <v>18</v>
      </c>
      <c r="N970" s="4" t="s">
        <v>19</v>
      </c>
      <c r="O970" s="4" t="s">
        <v>62</v>
      </c>
      <c r="P970" s="4" t="s">
        <v>72</v>
      </c>
    </row>
    <row r="971" spans="1:16" x14ac:dyDescent="0.3">
      <c r="A971" s="4">
        <v>2023</v>
      </c>
      <c r="B971" s="4" t="s">
        <v>39</v>
      </c>
      <c r="C971" s="4" t="s">
        <v>22</v>
      </c>
      <c r="D971" s="4" t="s">
        <v>59</v>
      </c>
      <c r="E971" s="4">
        <v>299</v>
      </c>
      <c r="F971" s="4">
        <v>302</v>
      </c>
      <c r="G971" s="4">
        <v>199</v>
      </c>
      <c r="H971" s="4">
        <v>90.3</v>
      </c>
      <c r="I971" s="4">
        <v>59.5</v>
      </c>
      <c r="J971" s="4">
        <v>30.8</v>
      </c>
      <c r="K971" s="4">
        <v>10.7</v>
      </c>
      <c r="L971" s="4">
        <v>144</v>
      </c>
      <c r="M971" s="4" t="s">
        <v>37</v>
      </c>
      <c r="N971" s="4" t="s">
        <v>38</v>
      </c>
      <c r="O971" s="4" t="s">
        <v>44</v>
      </c>
      <c r="P971" s="4" t="s">
        <v>72</v>
      </c>
    </row>
    <row r="972" spans="1:16" x14ac:dyDescent="0.3">
      <c r="A972" s="4">
        <v>2023</v>
      </c>
      <c r="B972" s="4" t="s">
        <v>46</v>
      </c>
      <c r="C972" s="4" t="s">
        <v>35</v>
      </c>
      <c r="D972" s="4" t="s">
        <v>36</v>
      </c>
      <c r="E972" s="4">
        <v>490</v>
      </c>
      <c r="F972" s="4">
        <v>399</v>
      </c>
      <c r="G972" s="4">
        <v>311</v>
      </c>
      <c r="H972" s="4">
        <v>195.51</v>
      </c>
      <c r="I972" s="4">
        <v>152.38999999999999</v>
      </c>
      <c r="J972" s="4">
        <v>43.12</v>
      </c>
      <c r="K972" s="4">
        <v>-2.87</v>
      </c>
      <c r="L972" s="4">
        <v>172</v>
      </c>
      <c r="M972" s="4" t="s">
        <v>28</v>
      </c>
      <c r="N972" s="4" t="s">
        <v>19</v>
      </c>
      <c r="O972" s="4" t="s">
        <v>62</v>
      </c>
      <c r="P972" s="4" t="s">
        <v>74</v>
      </c>
    </row>
    <row r="973" spans="1:16" x14ac:dyDescent="0.3">
      <c r="A973" s="4">
        <v>2024</v>
      </c>
      <c r="B973" s="4" t="s">
        <v>51</v>
      </c>
      <c r="C973" s="4" t="s">
        <v>26</v>
      </c>
      <c r="D973" s="4" t="s">
        <v>27</v>
      </c>
      <c r="E973" s="4">
        <v>161</v>
      </c>
      <c r="F973" s="4">
        <v>320</v>
      </c>
      <c r="G973" s="4">
        <v>157</v>
      </c>
      <c r="H973" s="4">
        <v>51.52</v>
      </c>
      <c r="I973" s="4">
        <v>25.28</v>
      </c>
      <c r="J973" s="4">
        <v>26.24</v>
      </c>
      <c r="K973" s="4">
        <v>19.010000000000002</v>
      </c>
      <c r="L973" s="4">
        <v>216</v>
      </c>
      <c r="M973" s="4" t="s">
        <v>37</v>
      </c>
      <c r="N973" s="4" t="s">
        <v>31</v>
      </c>
      <c r="O973" s="4" t="s">
        <v>42</v>
      </c>
      <c r="P973" s="4" t="s">
        <v>76</v>
      </c>
    </row>
    <row r="974" spans="1:16" x14ac:dyDescent="0.3">
      <c r="A974" s="4">
        <v>2025</v>
      </c>
      <c r="B974" s="4" t="s">
        <v>41</v>
      </c>
      <c r="C974" s="4" t="s">
        <v>33</v>
      </c>
      <c r="D974" s="4" t="s">
        <v>54</v>
      </c>
      <c r="E974" s="4">
        <v>59</v>
      </c>
      <c r="F974" s="4">
        <v>263</v>
      </c>
      <c r="G974" s="4">
        <v>36</v>
      </c>
      <c r="H974" s="4">
        <v>15.52</v>
      </c>
      <c r="I974" s="4">
        <v>2.12</v>
      </c>
      <c r="J974" s="4">
        <v>13.39</v>
      </c>
      <c r="K974" s="4">
        <v>24.15</v>
      </c>
      <c r="L974" s="4">
        <v>191</v>
      </c>
      <c r="M974" s="4" t="s">
        <v>18</v>
      </c>
      <c r="N974" s="4" t="s">
        <v>24</v>
      </c>
      <c r="O974" s="4" t="s">
        <v>63</v>
      </c>
      <c r="P974" s="4" t="s">
        <v>74</v>
      </c>
    </row>
    <row r="975" spans="1:16" x14ac:dyDescent="0.3">
      <c r="A975" s="4">
        <v>2024</v>
      </c>
      <c r="B975" s="4" t="s">
        <v>45</v>
      </c>
      <c r="C975" s="4" t="s">
        <v>16</v>
      </c>
      <c r="D975" s="4" t="s">
        <v>30</v>
      </c>
      <c r="E975" s="4">
        <v>439</v>
      </c>
      <c r="F975" s="4">
        <v>440</v>
      </c>
      <c r="G975" s="4">
        <v>266</v>
      </c>
      <c r="H975" s="4">
        <v>193.16</v>
      </c>
      <c r="I975" s="4">
        <v>116.77</v>
      </c>
      <c r="J975" s="4">
        <v>76.39</v>
      </c>
      <c r="K975" s="4">
        <v>10.06</v>
      </c>
      <c r="L975" s="4">
        <v>135</v>
      </c>
      <c r="M975" s="4" t="s">
        <v>37</v>
      </c>
      <c r="N975" s="4" t="s">
        <v>38</v>
      </c>
      <c r="O975" s="4" t="s">
        <v>44</v>
      </c>
      <c r="P975" s="4" t="s">
        <v>72</v>
      </c>
    </row>
    <row r="976" spans="1:16" x14ac:dyDescent="0.3">
      <c r="A976" s="4">
        <v>2024</v>
      </c>
      <c r="B976" s="4" t="s">
        <v>51</v>
      </c>
      <c r="C976" s="4" t="s">
        <v>22</v>
      </c>
      <c r="D976" s="4" t="s">
        <v>59</v>
      </c>
      <c r="E976" s="4">
        <v>232</v>
      </c>
      <c r="F976" s="4">
        <v>257</v>
      </c>
      <c r="G976" s="4">
        <v>201</v>
      </c>
      <c r="H976" s="4">
        <v>59.62</v>
      </c>
      <c r="I976" s="4">
        <v>46.63</v>
      </c>
      <c r="J976" s="4">
        <v>12.99</v>
      </c>
      <c r="K976" s="4">
        <v>21.75</v>
      </c>
      <c r="L976" s="4">
        <v>68</v>
      </c>
      <c r="M976" s="4" t="s">
        <v>37</v>
      </c>
      <c r="N976" s="4" t="s">
        <v>31</v>
      </c>
      <c r="O976" s="4" t="s">
        <v>42</v>
      </c>
      <c r="P976" s="4" t="s">
        <v>75</v>
      </c>
    </row>
    <row r="977" spans="1:16" x14ac:dyDescent="0.3">
      <c r="A977" s="4">
        <v>2023</v>
      </c>
      <c r="B977" s="4" t="s">
        <v>51</v>
      </c>
      <c r="C977" s="4" t="s">
        <v>33</v>
      </c>
      <c r="D977" s="4" t="s">
        <v>50</v>
      </c>
      <c r="E977" s="4">
        <v>488</v>
      </c>
      <c r="F977" s="4">
        <v>412</v>
      </c>
      <c r="G977" s="4">
        <v>226</v>
      </c>
      <c r="H977" s="4">
        <v>201.06</v>
      </c>
      <c r="I977" s="4">
        <v>110.29</v>
      </c>
      <c r="J977" s="4">
        <v>90.77</v>
      </c>
      <c r="K977" s="4">
        <v>10.37</v>
      </c>
      <c r="L977" s="4">
        <v>199</v>
      </c>
      <c r="M977" s="4" t="s">
        <v>18</v>
      </c>
      <c r="N977" s="4" t="s">
        <v>19</v>
      </c>
      <c r="O977" s="4" t="s">
        <v>62</v>
      </c>
      <c r="P977" s="4" t="s">
        <v>73</v>
      </c>
    </row>
    <row r="978" spans="1:16" x14ac:dyDescent="0.3">
      <c r="A978" s="4">
        <v>2023</v>
      </c>
      <c r="B978" s="4" t="s">
        <v>41</v>
      </c>
      <c r="C978" s="4" t="s">
        <v>33</v>
      </c>
      <c r="D978" s="4" t="s">
        <v>48</v>
      </c>
      <c r="E978" s="4">
        <v>177</v>
      </c>
      <c r="F978" s="4">
        <v>391</v>
      </c>
      <c r="G978" s="4">
        <v>340</v>
      </c>
      <c r="H978" s="4">
        <v>69.209999999999994</v>
      </c>
      <c r="I978" s="4">
        <v>60.18</v>
      </c>
      <c r="J978" s="4">
        <v>9.0299999999999994</v>
      </c>
      <c r="K978" s="4">
        <v>-0.17</v>
      </c>
      <c r="L978" s="4">
        <v>249</v>
      </c>
      <c r="M978" s="4" t="s">
        <v>37</v>
      </c>
      <c r="N978" s="4" t="s">
        <v>38</v>
      </c>
      <c r="O978" s="4" t="s">
        <v>44</v>
      </c>
      <c r="P978" s="4" t="s">
        <v>73</v>
      </c>
    </row>
    <row r="979" spans="1:16" x14ac:dyDescent="0.3">
      <c r="A979" s="4">
        <v>2025</v>
      </c>
      <c r="B979" s="4" t="s">
        <v>57</v>
      </c>
      <c r="C979" s="4" t="s">
        <v>26</v>
      </c>
      <c r="D979" s="4" t="s">
        <v>52</v>
      </c>
      <c r="E979" s="4">
        <v>87</v>
      </c>
      <c r="F979" s="4">
        <v>119</v>
      </c>
      <c r="G979" s="4">
        <v>48</v>
      </c>
      <c r="H979" s="4">
        <v>10.35</v>
      </c>
      <c r="I979" s="4">
        <v>4.18</v>
      </c>
      <c r="J979" s="4">
        <v>6.18</v>
      </c>
      <c r="K979" s="4">
        <v>17.440000000000001</v>
      </c>
      <c r="L979" s="4">
        <v>36</v>
      </c>
      <c r="M979" s="4" t="s">
        <v>18</v>
      </c>
      <c r="N979" s="4" t="s">
        <v>24</v>
      </c>
      <c r="O979" s="4" t="s">
        <v>63</v>
      </c>
      <c r="P979" s="4" t="s">
        <v>72</v>
      </c>
    </row>
    <row r="980" spans="1:16" x14ac:dyDescent="0.3">
      <c r="A980" s="4">
        <v>2024</v>
      </c>
      <c r="B980" s="4" t="s">
        <v>29</v>
      </c>
      <c r="C980" s="4" t="s">
        <v>26</v>
      </c>
      <c r="D980" s="4" t="s">
        <v>27</v>
      </c>
      <c r="E980" s="4">
        <v>73</v>
      </c>
      <c r="F980" s="4">
        <v>326</v>
      </c>
      <c r="G980" s="4">
        <v>241</v>
      </c>
      <c r="H980" s="4">
        <v>23.8</v>
      </c>
      <c r="I980" s="4">
        <v>17.59</v>
      </c>
      <c r="J980" s="4">
        <v>6.2</v>
      </c>
      <c r="K980" s="4">
        <v>16.489999999999998</v>
      </c>
      <c r="L980" s="4">
        <v>187</v>
      </c>
      <c r="M980" s="4" t="s">
        <v>18</v>
      </c>
      <c r="N980" s="4" t="s">
        <v>31</v>
      </c>
      <c r="O980" s="4" t="s">
        <v>42</v>
      </c>
      <c r="P980" s="4" t="s">
        <v>76</v>
      </c>
    </row>
    <row r="981" spans="1:16" x14ac:dyDescent="0.3">
      <c r="A981" s="4">
        <v>2024</v>
      </c>
      <c r="B981" s="4" t="s">
        <v>29</v>
      </c>
      <c r="C981" s="4" t="s">
        <v>35</v>
      </c>
      <c r="D981" s="4" t="s">
        <v>40</v>
      </c>
      <c r="E981" s="4">
        <v>257</v>
      </c>
      <c r="F981" s="4">
        <v>271</v>
      </c>
      <c r="G981" s="4">
        <v>46</v>
      </c>
      <c r="H981" s="4">
        <v>69.650000000000006</v>
      </c>
      <c r="I981" s="4">
        <v>11.82</v>
      </c>
      <c r="J981" s="4">
        <v>57.83</v>
      </c>
      <c r="K981" s="4">
        <v>6.13</v>
      </c>
      <c r="L981" s="4">
        <v>115</v>
      </c>
      <c r="M981" s="4" t="s">
        <v>18</v>
      </c>
      <c r="N981" s="4" t="s">
        <v>38</v>
      </c>
      <c r="O981" s="4" t="s">
        <v>44</v>
      </c>
      <c r="P981" s="4" t="s">
        <v>72</v>
      </c>
    </row>
    <row r="982" spans="1:16" x14ac:dyDescent="0.3">
      <c r="A982" s="4">
        <v>2024</v>
      </c>
      <c r="B982" s="4" t="s">
        <v>49</v>
      </c>
      <c r="C982" s="4" t="s">
        <v>35</v>
      </c>
      <c r="D982" s="4" t="s">
        <v>36</v>
      </c>
      <c r="E982" s="4">
        <v>160</v>
      </c>
      <c r="F982" s="4">
        <v>448</v>
      </c>
      <c r="G982" s="4">
        <v>209</v>
      </c>
      <c r="H982" s="4">
        <v>71.680000000000007</v>
      </c>
      <c r="I982" s="4">
        <v>33.44</v>
      </c>
      <c r="J982" s="4">
        <v>38.24</v>
      </c>
      <c r="K982" s="4">
        <v>23.55</v>
      </c>
      <c r="L982" s="4">
        <v>99</v>
      </c>
      <c r="M982" s="4" t="s">
        <v>28</v>
      </c>
      <c r="N982" s="4" t="s">
        <v>38</v>
      </c>
      <c r="O982" s="4" t="s">
        <v>44</v>
      </c>
      <c r="P982" s="4" t="s">
        <v>72</v>
      </c>
    </row>
    <row r="983" spans="1:16" x14ac:dyDescent="0.3">
      <c r="A983" s="4">
        <v>2025</v>
      </c>
      <c r="B983" s="4" t="s">
        <v>57</v>
      </c>
      <c r="C983" s="4" t="s">
        <v>22</v>
      </c>
      <c r="D983" s="4" t="s">
        <v>53</v>
      </c>
      <c r="E983" s="4">
        <v>194</v>
      </c>
      <c r="F983" s="4">
        <v>444</v>
      </c>
      <c r="G983" s="4">
        <v>398</v>
      </c>
      <c r="H983" s="4">
        <v>86.14</v>
      </c>
      <c r="I983" s="4">
        <v>77.209999999999994</v>
      </c>
      <c r="J983" s="4">
        <v>8.92</v>
      </c>
      <c r="K983" s="4">
        <v>17.239999999999998</v>
      </c>
      <c r="L983" s="4">
        <v>125</v>
      </c>
      <c r="M983" s="4" t="s">
        <v>37</v>
      </c>
      <c r="N983" s="4" t="s">
        <v>19</v>
      </c>
      <c r="O983" s="4" t="s">
        <v>62</v>
      </c>
      <c r="P983" s="4" t="s">
        <v>76</v>
      </c>
    </row>
    <row r="984" spans="1:16" x14ac:dyDescent="0.3">
      <c r="A984" s="4">
        <v>2023</v>
      </c>
      <c r="B984" s="4" t="s">
        <v>47</v>
      </c>
      <c r="C984" s="4" t="s">
        <v>33</v>
      </c>
      <c r="D984" s="4" t="s">
        <v>54</v>
      </c>
      <c r="E984" s="4">
        <v>413</v>
      </c>
      <c r="F984" s="4">
        <v>302</v>
      </c>
      <c r="G984" s="4">
        <v>215</v>
      </c>
      <c r="H984" s="4">
        <v>124.73</v>
      </c>
      <c r="I984" s="4">
        <v>88.8</v>
      </c>
      <c r="J984" s="4">
        <v>35.93</v>
      </c>
      <c r="K984" s="4">
        <v>23.23</v>
      </c>
      <c r="L984" s="4">
        <v>27</v>
      </c>
      <c r="M984" s="4" t="s">
        <v>37</v>
      </c>
      <c r="N984" s="4" t="s">
        <v>38</v>
      </c>
      <c r="O984" s="4" t="s">
        <v>44</v>
      </c>
      <c r="P984" s="4" t="s">
        <v>72</v>
      </c>
    </row>
    <row r="985" spans="1:16" x14ac:dyDescent="0.3">
      <c r="A985" s="4">
        <v>2025</v>
      </c>
      <c r="B985" s="4" t="s">
        <v>47</v>
      </c>
      <c r="C985" s="4" t="s">
        <v>33</v>
      </c>
      <c r="D985" s="4" t="s">
        <v>48</v>
      </c>
      <c r="E985" s="4">
        <v>265</v>
      </c>
      <c r="F985" s="4">
        <v>185</v>
      </c>
      <c r="G985" s="4">
        <v>35</v>
      </c>
      <c r="H985" s="4">
        <v>49.02</v>
      </c>
      <c r="I985" s="4">
        <v>9.2799999999999994</v>
      </c>
      <c r="J985" s="4">
        <v>39.75</v>
      </c>
      <c r="K985" s="4">
        <v>6.4</v>
      </c>
      <c r="L985" s="4">
        <v>134</v>
      </c>
      <c r="M985" s="4" t="s">
        <v>37</v>
      </c>
      <c r="N985" s="4" t="s">
        <v>19</v>
      </c>
      <c r="O985" s="4" t="s">
        <v>62</v>
      </c>
      <c r="P985" s="4" t="s">
        <v>76</v>
      </c>
    </row>
    <row r="986" spans="1:16" x14ac:dyDescent="0.3">
      <c r="A986" s="4">
        <v>2023</v>
      </c>
      <c r="B986" s="4" t="s">
        <v>29</v>
      </c>
      <c r="C986" s="4" t="s">
        <v>35</v>
      </c>
      <c r="D986" s="4" t="s">
        <v>36</v>
      </c>
      <c r="E986" s="4">
        <v>252</v>
      </c>
      <c r="F986" s="4">
        <v>274</v>
      </c>
      <c r="G986" s="4">
        <v>109</v>
      </c>
      <c r="H986" s="4">
        <v>69.05</v>
      </c>
      <c r="I986" s="4">
        <v>27.47</v>
      </c>
      <c r="J986" s="4">
        <v>41.58</v>
      </c>
      <c r="K986" s="4">
        <v>4.22</v>
      </c>
      <c r="L986" s="4">
        <v>106</v>
      </c>
      <c r="M986" s="4" t="s">
        <v>28</v>
      </c>
      <c r="N986" s="4" t="s">
        <v>38</v>
      </c>
      <c r="O986" s="4" t="s">
        <v>44</v>
      </c>
      <c r="P986" s="4" t="s">
        <v>71</v>
      </c>
    </row>
    <row r="987" spans="1:16" x14ac:dyDescent="0.3">
      <c r="A987" s="4">
        <v>2024</v>
      </c>
      <c r="B987" s="4" t="s">
        <v>39</v>
      </c>
      <c r="C987" s="4" t="s">
        <v>22</v>
      </c>
      <c r="D987" s="4" t="s">
        <v>59</v>
      </c>
      <c r="E987" s="4">
        <v>419</v>
      </c>
      <c r="F987" s="4">
        <v>303</v>
      </c>
      <c r="G987" s="4">
        <v>209</v>
      </c>
      <c r="H987" s="4">
        <v>126.96</v>
      </c>
      <c r="I987" s="4">
        <v>87.57</v>
      </c>
      <c r="J987" s="4">
        <v>39.39</v>
      </c>
      <c r="K987" s="4">
        <v>14.63</v>
      </c>
      <c r="L987" s="4">
        <v>114</v>
      </c>
      <c r="M987" s="4" t="s">
        <v>37</v>
      </c>
      <c r="N987" s="4" t="s">
        <v>19</v>
      </c>
      <c r="O987" s="4" t="s">
        <v>62</v>
      </c>
      <c r="P987" s="4" t="s">
        <v>73</v>
      </c>
    </row>
    <row r="988" spans="1:16" x14ac:dyDescent="0.3">
      <c r="A988" s="4">
        <v>2025</v>
      </c>
      <c r="B988" s="4" t="s">
        <v>49</v>
      </c>
      <c r="C988" s="4" t="s">
        <v>16</v>
      </c>
      <c r="D988" s="4" t="s">
        <v>30</v>
      </c>
      <c r="E988" s="4">
        <v>288</v>
      </c>
      <c r="F988" s="4">
        <v>404</v>
      </c>
      <c r="G988" s="4">
        <v>249</v>
      </c>
      <c r="H988" s="4">
        <v>116.35</v>
      </c>
      <c r="I988" s="4">
        <v>71.709999999999994</v>
      </c>
      <c r="J988" s="4">
        <v>44.64</v>
      </c>
      <c r="K988" s="4">
        <v>2.68</v>
      </c>
      <c r="L988" s="4">
        <v>136</v>
      </c>
      <c r="M988" s="4" t="s">
        <v>37</v>
      </c>
      <c r="N988" s="4" t="s">
        <v>19</v>
      </c>
      <c r="O988" s="4" t="s">
        <v>62</v>
      </c>
      <c r="P988" s="4" t="s">
        <v>72</v>
      </c>
    </row>
    <row r="989" spans="1:16" x14ac:dyDescent="0.3">
      <c r="A989" s="4">
        <v>2023</v>
      </c>
      <c r="B989" s="4" t="s">
        <v>32</v>
      </c>
      <c r="C989" s="4" t="s">
        <v>26</v>
      </c>
      <c r="D989" s="4" t="s">
        <v>58</v>
      </c>
      <c r="E989" s="4">
        <v>125</v>
      </c>
      <c r="F989" s="4">
        <v>346</v>
      </c>
      <c r="G989" s="4">
        <v>330</v>
      </c>
      <c r="H989" s="4">
        <v>43.25</v>
      </c>
      <c r="I989" s="4">
        <v>41.25</v>
      </c>
      <c r="J989" s="4">
        <v>2</v>
      </c>
      <c r="K989" s="4">
        <v>-0.56000000000000005</v>
      </c>
      <c r="L989" s="4">
        <v>99</v>
      </c>
      <c r="M989" s="4" t="s">
        <v>28</v>
      </c>
      <c r="N989" s="4" t="s">
        <v>19</v>
      </c>
      <c r="O989" s="4" t="s">
        <v>62</v>
      </c>
      <c r="P989" s="4" t="s">
        <v>76</v>
      </c>
    </row>
    <row r="990" spans="1:16" x14ac:dyDescent="0.3">
      <c r="A990" s="4">
        <v>2025</v>
      </c>
      <c r="B990" s="4" t="s">
        <v>51</v>
      </c>
      <c r="C990" s="4" t="s">
        <v>33</v>
      </c>
      <c r="D990" s="4" t="s">
        <v>54</v>
      </c>
      <c r="E990" s="4">
        <v>443</v>
      </c>
      <c r="F990" s="4">
        <v>425</v>
      </c>
      <c r="G990" s="4">
        <v>228</v>
      </c>
      <c r="H990" s="4">
        <v>188.28</v>
      </c>
      <c r="I990" s="4">
        <v>101</v>
      </c>
      <c r="J990" s="4">
        <v>87.27</v>
      </c>
      <c r="K990" s="4">
        <v>14.39</v>
      </c>
      <c r="L990" s="4">
        <v>206</v>
      </c>
      <c r="M990" s="4" t="s">
        <v>28</v>
      </c>
      <c r="N990" s="4" t="s">
        <v>24</v>
      </c>
      <c r="O990" s="4" t="s">
        <v>63</v>
      </c>
      <c r="P990" s="4" t="s">
        <v>74</v>
      </c>
    </row>
    <row r="991" spans="1:16" x14ac:dyDescent="0.3">
      <c r="A991" s="4">
        <v>2024</v>
      </c>
      <c r="B991" s="4" t="s">
        <v>45</v>
      </c>
      <c r="C991" s="4" t="s">
        <v>26</v>
      </c>
      <c r="D991" s="4" t="s">
        <v>58</v>
      </c>
      <c r="E991" s="4">
        <v>219</v>
      </c>
      <c r="F991" s="4">
        <v>197</v>
      </c>
      <c r="G991" s="4">
        <v>131</v>
      </c>
      <c r="H991" s="4">
        <v>43.14</v>
      </c>
      <c r="I991" s="4">
        <v>28.69</v>
      </c>
      <c r="J991" s="4">
        <v>14.45</v>
      </c>
      <c r="K991" s="4">
        <v>-0.51</v>
      </c>
      <c r="L991" s="4">
        <v>244</v>
      </c>
      <c r="M991" s="4" t="s">
        <v>37</v>
      </c>
      <c r="N991" s="4" t="s">
        <v>38</v>
      </c>
      <c r="O991" s="4" t="s">
        <v>44</v>
      </c>
      <c r="P991" s="4" t="s">
        <v>73</v>
      </c>
    </row>
    <row r="992" spans="1:16" x14ac:dyDescent="0.3">
      <c r="A992" s="4">
        <v>2024</v>
      </c>
      <c r="B992" s="4" t="s">
        <v>32</v>
      </c>
      <c r="C992" s="4" t="s">
        <v>33</v>
      </c>
      <c r="D992" s="4" t="s">
        <v>48</v>
      </c>
      <c r="E992" s="4">
        <v>364</v>
      </c>
      <c r="F992" s="4">
        <v>418</v>
      </c>
      <c r="G992" s="4">
        <v>356</v>
      </c>
      <c r="H992" s="4">
        <v>152.15</v>
      </c>
      <c r="I992" s="4">
        <v>129.58000000000001</v>
      </c>
      <c r="J992" s="4">
        <v>22.57</v>
      </c>
      <c r="K992" s="4">
        <v>14.48</v>
      </c>
      <c r="L992" s="4">
        <v>27</v>
      </c>
      <c r="M992" s="4" t="s">
        <v>37</v>
      </c>
      <c r="N992" s="4" t="s">
        <v>31</v>
      </c>
      <c r="O992" s="4" t="s">
        <v>42</v>
      </c>
      <c r="P992" s="4" t="s">
        <v>74</v>
      </c>
    </row>
    <row r="993" spans="1:16" x14ac:dyDescent="0.3">
      <c r="A993" s="4">
        <v>2023</v>
      </c>
      <c r="B993" s="4" t="s">
        <v>49</v>
      </c>
      <c r="C993" s="4" t="s">
        <v>22</v>
      </c>
      <c r="D993" s="4" t="s">
        <v>59</v>
      </c>
      <c r="E993" s="4">
        <v>316</v>
      </c>
      <c r="F993" s="4">
        <v>248</v>
      </c>
      <c r="G993" s="4">
        <v>98</v>
      </c>
      <c r="H993" s="4">
        <v>78.37</v>
      </c>
      <c r="I993" s="4">
        <v>30.97</v>
      </c>
      <c r="J993" s="4">
        <v>47.4</v>
      </c>
      <c r="K993" s="4">
        <v>-3.04</v>
      </c>
      <c r="L993" s="4">
        <v>121</v>
      </c>
      <c r="M993" s="4" t="s">
        <v>37</v>
      </c>
      <c r="N993" s="4" t="s">
        <v>24</v>
      </c>
      <c r="O993" s="4" t="s">
        <v>63</v>
      </c>
      <c r="P993" s="4" t="s">
        <v>72</v>
      </c>
    </row>
    <row r="994" spans="1:16" x14ac:dyDescent="0.3">
      <c r="A994" s="4">
        <v>2024</v>
      </c>
      <c r="B994" s="4" t="s">
        <v>21</v>
      </c>
      <c r="C994" s="4" t="s">
        <v>26</v>
      </c>
      <c r="D994" s="4" t="s">
        <v>58</v>
      </c>
      <c r="E994" s="4">
        <v>118</v>
      </c>
      <c r="F994" s="4">
        <v>231</v>
      </c>
      <c r="G994" s="4">
        <v>111</v>
      </c>
      <c r="H994" s="4">
        <v>27.26</v>
      </c>
      <c r="I994" s="4">
        <v>13.1</v>
      </c>
      <c r="J994" s="4">
        <v>14.16</v>
      </c>
      <c r="K994" s="4">
        <v>3.51</v>
      </c>
      <c r="L994" s="4">
        <v>35</v>
      </c>
      <c r="M994" s="4" t="s">
        <v>18</v>
      </c>
      <c r="N994" s="4" t="s">
        <v>38</v>
      </c>
      <c r="O994" s="4" t="s">
        <v>44</v>
      </c>
      <c r="P994" s="4" t="s">
        <v>76</v>
      </c>
    </row>
    <row r="995" spans="1:16" x14ac:dyDescent="0.3">
      <c r="A995" s="4">
        <v>2024</v>
      </c>
      <c r="B995" s="4" t="s">
        <v>46</v>
      </c>
      <c r="C995" s="4" t="s">
        <v>16</v>
      </c>
      <c r="D995" s="4" t="s">
        <v>17</v>
      </c>
      <c r="E995" s="4">
        <v>335</v>
      </c>
      <c r="F995" s="4">
        <v>126</v>
      </c>
      <c r="G995" s="4">
        <v>62</v>
      </c>
      <c r="H995" s="4">
        <v>42.21</v>
      </c>
      <c r="I995" s="4">
        <v>20.77</v>
      </c>
      <c r="J995" s="4">
        <v>21.44</v>
      </c>
      <c r="K995" s="4">
        <v>9.3800000000000008</v>
      </c>
      <c r="L995" s="4">
        <v>127</v>
      </c>
      <c r="M995" s="4" t="s">
        <v>18</v>
      </c>
      <c r="N995" s="4" t="s">
        <v>31</v>
      </c>
      <c r="O995" s="4" t="s">
        <v>42</v>
      </c>
      <c r="P995" s="4" t="s">
        <v>73</v>
      </c>
    </row>
    <row r="996" spans="1:16" x14ac:dyDescent="0.3">
      <c r="A996" s="4">
        <v>2025</v>
      </c>
      <c r="B996" s="4" t="s">
        <v>45</v>
      </c>
      <c r="C996" s="4" t="s">
        <v>16</v>
      </c>
      <c r="D996" s="4" t="s">
        <v>30</v>
      </c>
      <c r="E996" s="4">
        <v>375</v>
      </c>
      <c r="F996" s="4">
        <v>249</v>
      </c>
      <c r="G996" s="4">
        <v>80</v>
      </c>
      <c r="H996" s="4">
        <v>93.38</v>
      </c>
      <c r="I996" s="4">
        <v>30</v>
      </c>
      <c r="J996" s="4">
        <v>63.38</v>
      </c>
      <c r="K996" s="4">
        <v>4.59</v>
      </c>
      <c r="L996" s="4">
        <v>34</v>
      </c>
      <c r="M996" s="4" t="s">
        <v>18</v>
      </c>
      <c r="N996" s="4" t="s">
        <v>19</v>
      </c>
      <c r="O996" s="4" t="s">
        <v>62</v>
      </c>
      <c r="P996" s="4" t="s">
        <v>76</v>
      </c>
    </row>
    <row r="997" spans="1:16" x14ac:dyDescent="0.3">
      <c r="A997" s="4">
        <v>2025</v>
      </c>
      <c r="B997" s="4" t="s">
        <v>29</v>
      </c>
      <c r="C997" s="4" t="s">
        <v>22</v>
      </c>
      <c r="D997" s="4" t="s">
        <v>59</v>
      </c>
      <c r="E997" s="4">
        <v>189</v>
      </c>
      <c r="F997" s="4">
        <v>314</v>
      </c>
      <c r="G997" s="4">
        <v>253</v>
      </c>
      <c r="H997" s="4">
        <v>59.35</v>
      </c>
      <c r="I997" s="4">
        <v>47.82</v>
      </c>
      <c r="J997" s="4">
        <v>11.53</v>
      </c>
      <c r="K997" s="4">
        <v>3.64</v>
      </c>
      <c r="L997" s="4">
        <v>48</v>
      </c>
      <c r="M997" s="4" t="s">
        <v>28</v>
      </c>
      <c r="N997" s="4" t="s">
        <v>24</v>
      </c>
      <c r="O997" s="4" t="s">
        <v>63</v>
      </c>
      <c r="P997" s="4" t="s">
        <v>72</v>
      </c>
    </row>
    <row r="998" spans="1:16" x14ac:dyDescent="0.3">
      <c r="A998" s="4">
        <v>2023</v>
      </c>
      <c r="B998" s="4" t="s">
        <v>41</v>
      </c>
      <c r="C998" s="4" t="s">
        <v>16</v>
      </c>
      <c r="D998" s="4" t="s">
        <v>17</v>
      </c>
      <c r="E998" s="4">
        <v>388</v>
      </c>
      <c r="F998" s="4">
        <v>133</v>
      </c>
      <c r="G998" s="4">
        <v>90</v>
      </c>
      <c r="H998" s="4">
        <v>51.6</v>
      </c>
      <c r="I998" s="4">
        <v>34.92</v>
      </c>
      <c r="J998" s="4">
        <v>16.68</v>
      </c>
      <c r="K998" s="4">
        <v>-5.0199999999999996</v>
      </c>
      <c r="L998" s="4">
        <v>92</v>
      </c>
      <c r="M998" s="4" t="s">
        <v>37</v>
      </c>
      <c r="N998" s="4" t="s">
        <v>31</v>
      </c>
      <c r="O998" s="4" t="s">
        <v>42</v>
      </c>
      <c r="P998" s="4" t="s">
        <v>71</v>
      </c>
    </row>
    <row r="999" spans="1:16" x14ac:dyDescent="0.3">
      <c r="A999" s="4">
        <v>2024</v>
      </c>
      <c r="B999" s="4" t="s">
        <v>29</v>
      </c>
      <c r="C999" s="4" t="s">
        <v>22</v>
      </c>
      <c r="D999" s="4" t="s">
        <v>55</v>
      </c>
      <c r="E999" s="4">
        <v>347</v>
      </c>
      <c r="F999" s="4">
        <v>163</v>
      </c>
      <c r="G999" s="4">
        <v>30</v>
      </c>
      <c r="H999" s="4">
        <v>56.56</v>
      </c>
      <c r="I999" s="4">
        <v>10.41</v>
      </c>
      <c r="J999" s="4">
        <v>46.15</v>
      </c>
      <c r="K999" s="4">
        <v>9.1999999999999993</v>
      </c>
      <c r="L999" s="4">
        <v>205</v>
      </c>
      <c r="M999" s="4" t="s">
        <v>37</v>
      </c>
      <c r="N999" s="4" t="s">
        <v>31</v>
      </c>
      <c r="O999" s="4" t="s">
        <v>42</v>
      </c>
      <c r="P999" s="4" t="s">
        <v>71</v>
      </c>
    </row>
    <row r="1000" spans="1:16" x14ac:dyDescent="0.3">
      <c r="A1000" s="4">
        <v>2025</v>
      </c>
      <c r="B1000" s="4" t="s">
        <v>49</v>
      </c>
      <c r="C1000" s="4" t="s">
        <v>16</v>
      </c>
      <c r="D1000" s="4" t="s">
        <v>56</v>
      </c>
      <c r="E1000" s="4">
        <v>92</v>
      </c>
      <c r="F1000" s="4">
        <v>240</v>
      </c>
      <c r="G1000" s="4">
        <v>173</v>
      </c>
      <c r="H1000" s="4">
        <v>22.08</v>
      </c>
      <c r="I1000" s="4">
        <v>15.92</v>
      </c>
      <c r="J1000" s="4">
        <v>6.16</v>
      </c>
      <c r="K1000" s="4">
        <v>5.69</v>
      </c>
      <c r="L1000" s="4">
        <v>267</v>
      </c>
      <c r="M1000" s="4" t="s">
        <v>37</v>
      </c>
      <c r="N1000" s="4" t="s">
        <v>24</v>
      </c>
      <c r="O1000" s="4" t="s">
        <v>63</v>
      </c>
      <c r="P1000" s="4" t="s">
        <v>72</v>
      </c>
    </row>
    <row r="1001" spans="1:16" x14ac:dyDescent="0.3">
      <c r="A1001" s="4">
        <v>2025</v>
      </c>
      <c r="B1001" s="4" t="s">
        <v>15</v>
      </c>
      <c r="C1001" s="4" t="s">
        <v>26</v>
      </c>
      <c r="D1001" s="4" t="s">
        <v>58</v>
      </c>
      <c r="E1001" s="4">
        <v>372</v>
      </c>
      <c r="F1001" s="4">
        <v>159</v>
      </c>
      <c r="G1001" s="4">
        <v>73</v>
      </c>
      <c r="H1001" s="4">
        <v>59.15</v>
      </c>
      <c r="I1001" s="4">
        <v>27.16</v>
      </c>
      <c r="J1001" s="4">
        <v>31.99</v>
      </c>
      <c r="K1001" s="4">
        <v>24.99</v>
      </c>
      <c r="L1001" s="4">
        <v>255</v>
      </c>
      <c r="M1001" s="4" t="s">
        <v>18</v>
      </c>
      <c r="N1001" s="4" t="s">
        <v>31</v>
      </c>
      <c r="O1001" s="4" t="s">
        <v>42</v>
      </c>
      <c r="P1001" s="4" t="s">
        <v>72</v>
      </c>
    </row>
    <row r="1002" spans="1:16" x14ac:dyDescent="0.3">
      <c r="A1002" s="4">
        <v>2024</v>
      </c>
      <c r="B1002" s="4" t="s">
        <v>15</v>
      </c>
      <c r="C1002" s="4" t="s">
        <v>35</v>
      </c>
      <c r="D1002" s="4" t="s">
        <v>40</v>
      </c>
      <c r="E1002" s="4">
        <v>209</v>
      </c>
      <c r="F1002" s="4">
        <v>277</v>
      </c>
      <c r="G1002" s="4">
        <v>215</v>
      </c>
      <c r="H1002" s="4">
        <v>57.89</v>
      </c>
      <c r="I1002" s="4">
        <v>44.94</v>
      </c>
      <c r="J1002" s="4">
        <v>12.96</v>
      </c>
      <c r="K1002" s="4">
        <v>-7.93</v>
      </c>
      <c r="L1002" s="4">
        <v>278</v>
      </c>
      <c r="M1002" s="4" t="s">
        <v>28</v>
      </c>
      <c r="N1002" s="4" t="s">
        <v>31</v>
      </c>
      <c r="O1002" s="4" t="s">
        <v>42</v>
      </c>
      <c r="P1002" s="4" t="s">
        <v>73</v>
      </c>
    </row>
    <row r="1003" spans="1:16" x14ac:dyDescent="0.3">
      <c r="A1003" s="4">
        <v>2023</v>
      </c>
      <c r="B1003" s="4" t="s">
        <v>41</v>
      </c>
      <c r="C1003" s="4" t="s">
        <v>35</v>
      </c>
      <c r="D1003" s="4" t="s">
        <v>36</v>
      </c>
      <c r="E1003" s="4">
        <v>89</v>
      </c>
      <c r="F1003" s="4">
        <v>354</v>
      </c>
      <c r="G1003" s="4">
        <v>279</v>
      </c>
      <c r="H1003" s="4">
        <v>31.51</v>
      </c>
      <c r="I1003" s="4">
        <v>24.83</v>
      </c>
      <c r="J1003" s="4">
        <v>6.68</v>
      </c>
      <c r="K1003" s="4">
        <v>-6.65</v>
      </c>
      <c r="L1003" s="4">
        <v>285</v>
      </c>
      <c r="M1003" s="4" t="s">
        <v>18</v>
      </c>
      <c r="N1003" s="4" t="s">
        <v>38</v>
      </c>
      <c r="O1003" s="4" t="s">
        <v>44</v>
      </c>
      <c r="P1003" s="4" t="s">
        <v>72</v>
      </c>
    </row>
    <row r="1004" spans="1:16" x14ac:dyDescent="0.3">
      <c r="A1004" s="4">
        <v>2024</v>
      </c>
      <c r="B1004" s="4" t="s">
        <v>51</v>
      </c>
      <c r="C1004" s="4" t="s">
        <v>26</v>
      </c>
      <c r="D1004" s="4" t="s">
        <v>27</v>
      </c>
      <c r="E1004" s="4">
        <v>401</v>
      </c>
      <c r="F1004" s="4">
        <v>281</v>
      </c>
      <c r="G1004" s="4">
        <v>144</v>
      </c>
      <c r="H1004" s="4">
        <v>112.68</v>
      </c>
      <c r="I1004" s="4">
        <v>57.74</v>
      </c>
      <c r="J1004" s="4">
        <v>54.94</v>
      </c>
      <c r="K1004" s="4">
        <v>-9.8699999999999992</v>
      </c>
      <c r="L1004" s="4">
        <v>126</v>
      </c>
      <c r="M1004" s="4" t="s">
        <v>18</v>
      </c>
      <c r="N1004" s="4" t="s">
        <v>38</v>
      </c>
      <c r="O1004" s="4" t="s">
        <v>44</v>
      </c>
      <c r="P1004" s="4" t="s">
        <v>73</v>
      </c>
    </row>
    <row r="1005" spans="1:16" x14ac:dyDescent="0.3">
      <c r="A1005" s="4">
        <v>2025</v>
      </c>
      <c r="B1005" s="4" t="s">
        <v>49</v>
      </c>
      <c r="C1005" s="4" t="s">
        <v>35</v>
      </c>
      <c r="D1005" s="4" t="s">
        <v>40</v>
      </c>
      <c r="E1005" s="4">
        <v>306</v>
      </c>
      <c r="F1005" s="4">
        <v>472</v>
      </c>
      <c r="G1005" s="4">
        <v>228</v>
      </c>
      <c r="H1005" s="4">
        <v>144.43</v>
      </c>
      <c r="I1005" s="4">
        <v>69.77</v>
      </c>
      <c r="J1005" s="4">
        <v>74.66</v>
      </c>
      <c r="K1005" s="4">
        <v>23.22</v>
      </c>
      <c r="L1005" s="4">
        <v>279</v>
      </c>
      <c r="M1005" s="4" t="s">
        <v>37</v>
      </c>
      <c r="N1005" s="4" t="s">
        <v>19</v>
      </c>
      <c r="O1005" s="4" t="s">
        <v>62</v>
      </c>
      <c r="P1005" s="4" t="s">
        <v>72</v>
      </c>
    </row>
    <row r="1006" spans="1:16" x14ac:dyDescent="0.3">
      <c r="A1006" s="4">
        <v>2024</v>
      </c>
      <c r="B1006" s="4" t="s">
        <v>51</v>
      </c>
      <c r="C1006" s="4" t="s">
        <v>33</v>
      </c>
      <c r="D1006" s="4" t="s">
        <v>50</v>
      </c>
      <c r="E1006" s="4">
        <v>347</v>
      </c>
      <c r="F1006" s="4">
        <v>413</v>
      </c>
      <c r="G1006" s="4">
        <v>317</v>
      </c>
      <c r="H1006" s="4">
        <v>143.31</v>
      </c>
      <c r="I1006" s="4">
        <v>110</v>
      </c>
      <c r="J1006" s="4">
        <v>33.31</v>
      </c>
      <c r="K1006" s="4">
        <v>9.0399999999999991</v>
      </c>
      <c r="L1006" s="4">
        <v>269</v>
      </c>
      <c r="M1006" s="4" t="s">
        <v>37</v>
      </c>
      <c r="N1006" s="4" t="s">
        <v>19</v>
      </c>
      <c r="O1006" s="4" t="s">
        <v>62</v>
      </c>
      <c r="P1006" s="4" t="s">
        <v>73</v>
      </c>
    </row>
    <row r="1007" spans="1:16" x14ac:dyDescent="0.3">
      <c r="A1007" s="4">
        <v>2024</v>
      </c>
      <c r="B1007" s="4" t="s">
        <v>21</v>
      </c>
      <c r="C1007" s="4" t="s">
        <v>33</v>
      </c>
      <c r="D1007" s="4" t="s">
        <v>34</v>
      </c>
      <c r="E1007" s="4">
        <v>89</v>
      </c>
      <c r="F1007" s="4">
        <v>339</v>
      </c>
      <c r="G1007" s="4">
        <v>109</v>
      </c>
      <c r="H1007" s="4">
        <v>30.17</v>
      </c>
      <c r="I1007" s="4">
        <v>9.6999999999999993</v>
      </c>
      <c r="J1007" s="4">
        <v>20.47</v>
      </c>
      <c r="K1007" s="4">
        <v>7</v>
      </c>
      <c r="L1007" s="4">
        <v>21</v>
      </c>
      <c r="M1007" s="4" t="s">
        <v>28</v>
      </c>
      <c r="N1007" s="4" t="s">
        <v>31</v>
      </c>
      <c r="O1007" s="4" t="s">
        <v>42</v>
      </c>
      <c r="P1007" s="4" t="s">
        <v>76</v>
      </c>
    </row>
    <row r="1008" spans="1:16" x14ac:dyDescent="0.3">
      <c r="A1008" s="4">
        <v>2023</v>
      </c>
      <c r="B1008" s="4" t="s">
        <v>15</v>
      </c>
      <c r="C1008" s="4" t="s">
        <v>33</v>
      </c>
      <c r="D1008" s="4" t="s">
        <v>50</v>
      </c>
      <c r="E1008" s="4">
        <v>158</v>
      </c>
      <c r="F1008" s="4">
        <v>82</v>
      </c>
      <c r="G1008" s="4">
        <v>46</v>
      </c>
      <c r="H1008" s="4">
        <v>12.96</v>
      </c>
      <c r="I1008" s="4">
        <v>7.27</v>
      </c>
      <c r="J1008" s="4">
        <v>5.69</v>
      </c>
      <c r="K1008" s="4">
        <v>15.15</v>
      </c>
      <c r="L1008" s="4">
        <v>87</v>
      </c>
      <c r="M1008" s="4" t="s">
        <v>28</v>
      </c>
      <c r="N1008" s="4" t="s">
        <v>24</v>
      </c>
      <c r="O1008" s="4" t="s">
        <v>63</v>
      </c>
      <c r="P1008" s="4" t="s">
        <v>74</v>
      </c>
    </row>
    <row r="1009" spans="1:16" x14ac:dyDescent="0.3">
      <c r="A1009" s="4">
        <v>2023</v>
      </c>
      <c r="B1009" s="4" t="s">
        <v>32</v>
      </c>
      <c r="C1009" s="4" t="s">
        <v>26</v>
      </c>
      <c r="D1009" s="4" t="s">
        <v>52</v>
      </c>
      <c r="E1009" s="4">
        <v>480</v>
      </c>
      <c r="F1009" s="4">
        <v>319</v>
      </c>
      <c r="G1009" s="4">
        <v>296</v>
      </c>
      <c r="H1009" s="4">
        <v>153.12</v>
      </c>
      <c r="I1009" s="4">
        <v>142.08000000000001</v>
      </c>
      <c r="J1009" s="4">
        <v>11.04</v>
      </c>
      <c r="K1009" s="4">
        <v>-2.6</v>
      </c>
      <c r="L1009" s="4">
        <v>69</v>
      </c>
      <c r="M1009" s="4" t="s">
        <v>28</v>
      </c>
      <c r="N1009" s="4" t="s">
        <v>24</v>
      </c>
      <c r="O1009" s="4" t="s">
        <v>63</v>
      </c>
      <c r="P1009" s="4" t="s">
        <v>73</v>
      </c>
    </row>
    <row r="1010" spans="1:16" x14ac:dyDescent="0.3">
      <c r="A1010" s="4">
        <v>2025</v>
      </c>
      <c r="B1010" s="4" t="s">
        <v>39</v>
      </c>
      <c r="C1010" s="4" t="s">
        <v>16</v>
      </c>
      <c r="D1010" s="4" t="s">
        <v>30</v>
      </c>
      <c r="E1010" s="4">
        <v>181</v>
      </c>
      <c r="F1010" s="4">
        <v>265</v>
      </c>
      <c r="G1010" s="4">
        <v>215</v>
      </c>
      <c r="H1010" s="4">
        <v>47.97</v>
      </c>
      <c r="I1010" s="4">
        <v>38.909999999999997</v>
      </c>
      <c r="J1010" s="4">
        <v>9.0500000000000007</v>
      </c>
      <c r="K1010" s="4">
        <v>4.55</v>
      </c>
      <c r="L1010" s="4">
        <v>277</v>
      </c>
      <c r="M1010" s="4" t="s">
        <v>18</v>
      </c>
      <c r="N1010" s="4" t="s">
        <v>24</v>
      </c>
      <c r="O1010" s="4" t="s">
        <v>63</v>
      </c>
      <c r="P1010" s="4" t="s">
        <v>74</v>
      </c>
    </row>
    <row r="1011" spans="1:16" x14ac:dyDescent="0.3">
      <c r="A1011" s="4">
        <v>2024</v>
      </c>
      <c r="B1011" s="4" t="s">
        <v>45</v>
      </c>
      <c r="C1011" s="4" t="s">
        <v>33</v>
      </c>
      <c r="D1011" s="4" t="s">
        <v>54</v>
      </c>
      <c r="E1011" s="4">
        <v>455</v>
      </c>
      <c r="F1011" s="4">
        <v>375</v>
      </c>
      <c r="G1011" s="4">
        <v>133</v>
      </c>
      <c r="H1011" s="4">
        <v>170.62</v>
      </c>
      <c r="I1011" s="4">
        <v>60.52</v>
      </c>
      <c r="J1011" s="4">
        <v>110.11</v>
      </c>
      <c r="K1011" s="4">
        <v>15.34</v>
      </c>
      <c r="L1011" s="4">
        <v>61</v>
      </c>
      <c r="M1011" s="4" t="s">
        <v>18</v>
      </c>
      <c r="N1011" s="4" t="s">
        <v>38</v>
      </c>
      <c r="O1011" s="4" t="s">
        <v>44</v>
      </c>
      <c r="P1011" s="4" t="s">
        <v>75</v>
      </c>
    </row>
    <row r="1012" spans="1:16" x14ac:dyDescent="0.3">
      <c r="A1012" s="4">
        <v>2024</v>
      </c>
      <c r="B1012" s="4" t="s">
        <v>57</v>
      </c>
      <c r="C1012" s="4" t="s">
        <v>33</v>
      </c>
      <c r="D1012" s="4" t="s">
        <v>50</v>
      </c>
      <c r="E1012" s="4">
        <v>162</v>
      </c>
      <c r="F1012" s="4">
        <v>292</v>
      </c>
      <c r="G1012" s="4">
        <v>142</v>
      </c>
      <c r="H1012" s="4">
        <v>47.3</v>
      </c>
      <c r="I1012" s="4">
        <v>23</v>
      </c>
      <c r="J1012" s="4">
        <v>24.3</v>
      </c>
      <c r="K1012" s="4">
        <v>23.17</v>
      </c>
      <c r="L1012" s="4">
        <v>183</v>
      </c>
      <c r="M1012" s="4" t="s">
        <v>28</v>
      </c>
      <c r="N1012" s="4" t="s">
        <v>31</v>
      </c>
      <c r="O1012" s="4" t="s">
        <v>42</v>
      </c>
      <c r="P1012" s="4" t="s">
        <v>73</v>
      </c>
    </row>
    <row r="1013" spans="1:16" x14ac:dyDescent="0.3">
      <c r="A1013" s="4">
        <v>2025</v>
      </c>
      <c r="B1013" s="4" t="s">
        <v>15</v>
      </c>
      <c r="C1013" s="4" t="s">
        <v>16</v>
      </c>
      <c r="D1013" s="4" t="s">
        <v>17</v>
      </c>
      <c r="E1013" s="4">
        <v>288</v>
      </c>
      <c r="F1013" s="4">
        <v>220</v>
      </c>
      <c r="G1013" s="4">
        <v>187</v>
      </c>
      <c r="H1013" s="4">
        <v>63.36</v>
      </c>
      <c r="I1013" s="4">
        <v>53.86</v>
      </c>
      <c r="J1013" s="4">
        <v>9.5</v>
      </c>
      <c r="K1013" s="4">
        <v>-2.7</v>
      </c>
      <c r="L1013" s="4">
        <v>237</v>
      </c>
      <c r="M1013" s="4" t="s">
        <v>37</v>
      </c>
      <c r="N1013" s="4" t="s">
        <v>31</v>
      </c>
      <c r="O1013" s="4" t="s">
        <v>42</v>
      </c>
      <c r="P1013" s="4" t="s">
        <v>74</v>
      </c>
    </row>
    <row r="1014" spans="1:16" x14ac:dyDescent="0.3">
      <c r="A1014" s="4">
        <v>2025</v>
      </c>
      <c r="B1014" s="4" t="s">
        <v>41</v>
      </c>
      <c r="C1014" s="4" t="s">
        <v>35</v>
      </c>
      <c r="D1014" s="4" t="s">
        <v>43</v>
      </c>
      <c r="E1014" s="4">
        <v>138</v>
      </c>
      <c r="F1014" s="4">
        <v>138</v>
      </c>
      <c r="G1014" s="4">
        <v>52</v>
      </c>
      <c r="H1014" s="4">
        <v>19.04</v>
      </c>
      <c r="I1014" s="4">
        <v>7.18</v>
      </c>
      <c r="J1014" s="4">
        <v>11.87</v>
      </c>
      <c r="K1014" s="4">
        <v>5.42</v>
      </c>
      <c r="L1014" s="4">
        <v>77</v>
      </c>
      <c r="M1014" s="4" t="s">
        <v>28</v>
      </c>
      <c r="N1014" s="4" t="s">
        <v>24</v>
      </c>
      <c r="O1014" s="4" t="s">
        <v>63</v>
      </c>
      <c r="P1014" s="4" t="s">
        <v>71</v>
      </c>
    </row>
    <row r="1015" spans="1:16" x14ac:dyDescent="0.3">
      <c r="A1015" s="4">
        <v>2023</v>
      </c>
      <c r="B1015" s="4" t="s">
        <v>51</v>
      </c>
      <c r="C1015" s="4" t="s">
        <v>26</v>
      </c>
      <c r="D1015" s="4" t="s">
        <v>27</v>
      </c>
      <c r="E1015" s="4">
        <v>248</v>
      </c>
      <c r="F1015" s="4">
        <v>361</v>
      </c>
      <c r="G1015" s="4">
        <v>347</v>
      </c>
      <c r="H1015" s="4">
        <v>89.53</v>
      </c>
      <c r="I1015" s="4">
        <v>86.06</v>
      </c>
      <c r="J1015" s="4">
        <v>3.47</v>
      </c>
      <c r="K1015" s="4">
        <v>4.1399999999999997</v>
      </c>
      <c r="L1015" s="4">
        <v>111</v>
      </c>
      <c r="M1015" s="4" t="s">
        <v>37</v>
      </c>
      <c r="N1015" s="4" t="s">
        <v>31</v>
      </c>
      <c r="O1015" s="4" t="s">
        <v>42</v>
      </c>
      <c r="P1015" s="4" t="s">
        <v>72</v>
      </c>
    </row>
    <row r="1016" spans="1:16" x14ac:dyDescent="0.3">
      <c r="A1016" s="4">
        <v>2023</v>
      </c>
      <c r="B1016" s="4" t="s">
        <v>32</v>
      </c>
      <c r="C1016" s="4" t="s">
        <v>35</v>
      </c>
      <c r="D1016" s="4" t="s">
        <v>36</v>
      </c>
      <c r="E1016" s="4">
        <v>279</v>
      </c>
      <c r="F1016" s="4">
        <v>189</v>
      </c>
      <c r="G1016" s="4">
        <v>110</v>
      </c>
      <c r="H1016" s="4">
        <v>52.73</v>
      </c>
      <c r="I1016" s="4">
        <v>30.69</v>
      </c>
      <c r="J1016" s="4">
        <v>22.04</v>
      </c>
      <c r="K1016" s="4">
        <v>-6.07</v>
      </c>
      <c r="L1016" s="4">
        <v>143</v>
      </c>
      <c r="M1016" s="4" t="s">
        <v>18</v>
      </c>
      <c r="N1016" s="4" t="s">
        <v>19</v>
      </c>
      <c r="O1016" s="4" t="s">
        <v>62</v>
      </c>
      <c r="P1016" s="4" t="s">
        <v>76</v>
      </c>
    </row>
    <row r="1017" spans="1:16" x14ac:dyDescent="0.3">
      <c r="A1017" s="4">
        <v>2025</v>
      </c>
      <c r="B1017" s="4" t="s">
        <v>47</v>
      </c>
      <c r="C1017" s="4" t="s">
        <v>33</v>
      </c>
      <c r="D1017" s="4" t="s">
        <v>50</v>
      </c>
      <c r="E1017" s="4">
        <v>438</v>
      </c>
      <c r="F1017" s="4">
        <v>387</v>
      </c>
      <c r="G1017" s="4">
        <v>134</v>
      </c>
      <c r="H1017" s="4">
        <v>169.51</v>
      </c>
      <c r="I1017" s="4">
        <v>58.69</v>
      </c>
      <c r="J1017" s="4">
        <v>110.81</v>
      </c>
      <c r="K1017" s="4">
        <v>1.31</v>
      </c>
      <c r="L1017" s="4">
        <v>260</v>
      </c>
      <c r="M1017" s="4" t="s">
        <v>28</v>
      </c>
      <c r="N1017" s="4" t="s">
        <v>31</v>
      </c>
      <c r="O1017" s="4" t="s">
        <v>42</v>
      </c>
      <c r="P1017" s="4" t="s">
        <v>71</v>
      </c>
    </row>
    <row r="1018" spans="1:16" x14ac:dyDescent="0.3">
      <c r="A1018" s="4">
        <v>2025</v>
      </c>
      <c r="B1018" s="4" t="s">
        <v>47</v>
      </c>
      <c r="C1018" s="4" t="s">
        <v>33</v>
      </c>
      <c r="D1018" s="4" t="s">
        <v>34</v>
      </c>
      <c r="E1018" s="4">
        <v>132</v>
      </c>
      <c r="F1018" s="4">
        <v>375</v>
      </c>
      <c r="G1018" s="4">
        <v>129</v>
      </c>
      <c r="H1018" s="4">
        <v>49.5</v>
      </c>
      <c r="I1018" s="4">
        <v>17.03</v>
      </c>
      <c r="J1018" s="4">
        <v>32.47</v>
      </c>
      <c r="K1018" s="4">
        <v>2.4500000000000002</v>
      </c>
      <c r="L1018" s="4">
        <v>138</v>
      </c>
      <c r="M1018" s="4" t="s">
        <v>28</v>
      </c>
      <c r="N1018" s="4" t="s">
        <v>38</v>
      </c>
      <c r="O1018" s="4" t="s">
        <v>44</v>
      </c>
      <c r="P1018" s="4" t="s">
        <v>75</v>
      </c>
    </row>
    <row r="1019" spans="1:16" x14ac:dyDescent="0.3">
      <c r="A1019" s="4">
        <v>2024</v>
      </c>
      <c r="B1019" s="4" t="s">
        <v>41</v>
      </c>
      <c r="C1019" s="4" t="s">
        <v>26</v>
      </c>
      <c r="D1019" s="4" t="s">
        <v>58</v>
      </c>
      <c r="E1019" s="4">
        <v>191</v>
      </c>
      <c r="F1019" s="4">
        <v>394</v>
      </c>
      <c r="G1019" s="4">
        <v>273</v>
      </c>
      <c r="H1019" s="4">
        <v>75.25</v>
      </c>
      <c r="I1019" s="4">
        <v>52.14</v>
      </c>
      <c r="J1019" s="4">
        <v>23.11</v>
      </c>
      <c r="K1019" s="4">
        <v>-6.16</v>
      </c>
      <c r="L1019" s="4">
        <v>75</v>
      </c>
      <c r="M1019" s="4" t="s">
        <v>37</v>
      </c>
      <c r="N1019" s="4" t="s">
        <v>38</v>
      </c>
      <c r="O1019" s="4" t="s">
        <v>44</v>
      </c>
      <c r="P1019" s="4" t="s">
        <v>76</v>
      </c>
    </row>
    <row r="1020" spans="1:16" x14ac:dyDescent="0.3">
      <c r="A1020" s="4">
        <v>2025</v>
      </c>
      <c r="B1020" s="4" t="s">
        <v>49</v>
      </c>
      <c r="C1020" s="4" t="s">
        <v>22</v>
      </c>
      <c r="D1020" s="4" t="s">
        <v>23</v>
      </c>
      <c r="E1020" s="4">
        <v>130</v>
      </c>
      <c r="F1020" s="4">
        <v>342</v>
      </c>
      <c r="G1020" s="4">
        <v>224</v>
      </c>
      <c r="H1020" s="4">
        <v>44.46</v>
      </c>
      <c r="I1020" s="4">
        <v>29.12</v>
      </c>
      <c r="J1020" s="4">
        <v>15.34</v>
      </c>
      <c r="K1020" s="4">
        <v>11.85</v>
      </c>
      <c r="L1020" s="4">
        <v>213</v>
      </c>
      <c r="M1020" s="4" t="s">
        <v>28</v>
      </c>
      <c r="N1020" s="4" t="s">
        <v>38</v>
      </c>
      <c r="O1020" s="4" t="s">
        <v>44</v>
      </c>
      <c r="P1020" s="4" t="s">
        <v>72</v>
      </c>
    </row>
    <row r="1021" spans="1:16" x14ac:dyDescent="0.3">
      <c r="A1021" s="4">
        <v>2024</v>
      </c>
      <c r="B1021" s="4" t="s">
        <v>39</v>
      </c>
      <c r="C1021" s="4" t="s">
        <v>16</v>
      </c>
      <c r="D1021" s="4" t="s">
        <v>17</v>
      </c>
      <c r="E1021" s="4">
        <v>416</v>
      </c>
      <c r="F1021" s="4">
        <v>500</v>
      </c>
      <c r="G1021" s="4">
        <v>245</v>
      </c>
      <c r="H1021" s="4">
        <v>208</v>
      </c>
      <c r="I1021" s="4">
        <v>101.92</v>
      </c>
      <c r="J1021" s="4">
        <v>106.08</v>
      </c>
      <c r="K1021" s="4">
        <v>-3.89</v>
      </c>
      <c r="L1021" s="4">
        <v>230</v>
      </c>
      <c r="M1021" s="4" t="s">
        <v>37</v>
      </c>
      <c r="N1021" s="4" t="s">
        <v>24</v>
      </c>
      <c r="O1021" s="4" t="s">
        <v>63</v>
      </c>
      <c r="P1021" s="4" t="s">
        <v>76</v>
      </c>
    </row>
    <row r="1022" spans="1:16" x14ac:dyDescent="0.3">
      <c r="A1022" s="4">
        <v>2025</v>
      </c>
      <c r="B1022" s="4" t="s">
        <v>49</v>
      </c>
      <c r="C1022" s="4" t="s">
        <v>33</v>
      </c>
      <c r="D1022" s="4" t="s">
        <v>50</v>
      </c>
      <c r="E1022" s="4">
        <v>203</v>
      </c>
      <c r="F1022" s="4">
        <v>213</v>
      </c>
      <c r="G1022" s="4">
        <v>195</v>
      </c>
      <c r="H1022" s="4">
        <v>43.24</v>
      </c>
      <c r="I1022" s="4">
        <v>39.590000000000003</v>
      </c>
      <c r="J1022" s="4">
        <v>3.65</v>
      </c>
      <c r="K1022" s="4">
        <v>6.19</v>
      </c>
      <c r="L1022" s="4">
        <v>69</v>
      </c>
      <c r="M1022" s="4" t="s">
        <v>18</v>
      </c>
      <c r="N1022" s="4" t="s">
        <v>24</v>
      </c>
      <c r="O1022" s="4" t="s">
        <v>63</v>
      </c>
      <c r="P1022" s="4" t="s">
        <v>75</v>
      </c>
    </row>
    <row r="1023" spans="1:16" x14ac:dyDescent="0.3">
      <c r="A1023" s="4">
        <v>2024</v>
      </c>
      <c r="B1023" s="4" t="s">
        <v>46</v>
      </c>
      <c r="C1023" s="4" t="s">
        <v>22</v>
      </c>
      <c r="D1023" s="4" t="s">
        <v>23</v>
      </c>
      <c r="E1023" s="4">
        <v>423</v>
      </c>
      <c r="F1023" s="4">
        <v>297</v>
      </c>
      <c r="G1023" s="4">
        <v>97</v>
      </c>
      <c r="H1023" s="4">
        <v>125.63</v>
      </c>
      <c r="I1023" s="4">
        <v>41.03</v>
      </c>
      <c r="J1023" s="4">
        <v>84.6</v>
      </c>
      <c r="K1023" s="4">
        <v>13.01</v>
      </c>
      <c r="L1023" s="4">
        <v>295</v>
      </c>
      <c r="M1023" s="4" t="s">
        <v>18</v>
      </c>
      <c r="N1023" s="4" t="s">
        <v>38</v>
      </c>
      <c r="O1023" s="4" t="s">
        <v>44</v>
      </c>
      <c r="P1023" s="4" t="s">
        <v>74</v>
      </c>
    </row>
    <row r="1024" spans="1:16" x14ac:dyDescent="0.3">
      <c r="A1024" s="4">
        <v>2024</v>
      </c>
      <c r="B1024" s="4" t="s">
        <v>46</v>
      </c>
      <c r="C1024" s="4" t="s">
        <v>35</v>
      </c>
      <c r="D1024" s="4" t="s">
        <v>40</v>
      </c>
      <c r="E1024" s="4">
        <v>136</v>
      </c>
      <c r="F1024" s="4">
        <v>459</v>
      </c>
      <c r="G1024" s="4">
        <v>182</v>
      </c>
      <c r="H1024" s="4">
        <v>62.42</v>
      </c>
      <c r="I1024" s="4">
        <v>24.75</v>
      </c>
      <c r="J1024" s="4">
        <v>37.67</v>
      </c>
      <c r="K1024" s="4">
        <v>22.94</v>
      </c>
      <c r="L1024" s="4">
        <v>107</v>
      </c>
      <c r="M1024" s="4" t="s">
        <v>18</v>
      </c>
      <c r="N1024" s="4" t="s">
        <v>31</v>
      </c>
      <c r="O1024" s="4" t="s">
        <v>42</v>
      </c>
      <c r="P1024" s="4" t="s">
        <v>74</v>
      </c>
    </row>
    <row r="1025" spans="1:16" x14ac:dyDescent="0.3">
      <c r="A1025" s="4">
        <v>2024</v>
      </c>
      <c r="B1025" s="4" t="s">
        <v>51</v>
      </c>
      <c r="C1025" s="4" t="s">
        <v>16</v>
      </c>
      <c r="D1025" s="4" t="s">
        <v>30</v>
      </c>
      <c r="E1025" s="4">
        <v>152</v>
      </c>
      <c r="F1025" s="4">
        <v>302</v>
      </c>
      <c r="G1025" s="4">
        <v>210</v>
      </c>
      <c r="H1025" s="4">
        <v>45.9</v>
      </c>
      <c r="I1025" s="4">
        <v>31.92</v>
      </c>
      <c r="J1025" s="4">
        <v>13.98</v>
      </c>
      <c r="K1025" s="4">
        <v>6.93</v>
      </c>
      <c r="L1025" s="4">
        <v>163</v>
      </c>
      <c r="M1025" s="4" t="s">
        <v>37</v>
      </c>
      <c r="N1025" s="4" t="s">
        <v>38</v>
      </c>
      <c r="O1025" s="4" t="s">
        <v>44</v>
      </c>
      <c r="P1025" s="4" t="s">
        <v>71</v>
      </c>
    </row>
    <row r="1026" spans="1:16" x14ac:dyDescent="0.3">
      <c r="A1026" s="4">
        <v>2023</v>
      </c>
      <c r="B1026" s="4" t="s">
        <v>39</v>
      </c>
      <c r="C1026" s="4" t="s">
        <v>35</v>
      </c>
      <c r="D1026" s="4" t="s">
        <v>43</v>
      </c>
      <c r="E1026" s="4">
        <v>161</v>
      </c>
      <c r="F1026" s="4">
        <v>245</v>
      </c>
      <c r="G1026" s="4">
        <v>179</v>
      </c>
      <c r="H1026" s="4">
        <v>39.450000000000003</v>
      </c>
      <c r="I1026" s="4">
        <v>28.82</v>
      </c>
      <c r="J1026" s="4">
        <v>10.63</v>
      </c>
      <c r="K1026" s="4">
        <v>5.81</v>
      </c>
      <c r="L1026" s="4">
        <v>244</v>
      </c>
      <c r="M1026" s="4" t="s">
        <v>28</v>
      </c>
      <c r="N1026" s="4" t="s">
        <v>24</v>
      </c>
      <c r="O1026" s="4" t="s">
        <v>63</v>
      </c>
      <c r="P1026" s="4" t="s">
        <v>72</v>
      </c>
    </row>
    <row r="1027" spans="1:16" x14ac:dyDescent="0.3">
      <c r="A1027" s="4">
        <v>2023</v>
      </c>
      <c r="B1027" s="4" t="s">
        <v>46</v>
      </c>
      <c r="C1027" s="4" t="s">
        <v>35</v>
      </c>
      <c r="D1027" s="4" t="s">
        <v>40</v>
      </c>
      <c r="E1027" s="4">
        <v>201</v>
      </c>
      <c r="F1027" s="4">
        <v>409</v>
      </c>
      <c r="G1027" s="4">
        <v>204</v>
      </c>
      <c r="H1027" s="4">
        <v>82.21</v>
      </c>
      <c r="I1027" s="4">
        <v>41</v>
      </c>
      <c r="J1027" s="4">
        <v>41.21</v>
      </c>
      <c r="K1027" s="4">
        <v>16.02</v>
      </c>
      <c r="L1027" s="4">
        <v>269</v>
      </c>
      <c r="M1027" s="4" t="s">
        <v>18</v>
      </c>
      <c r="N1027" s="4" t="s">
        <v>24</v>
      </c>
      <c r="O1027" s="4" t="s">
        <v>63</v>
      </c>
      <c r="P1027" s="4" t="s">
        <v>75</v>
      </c>
    </row>
    <row r="1028" spans="1:16" x14ac:dyDescent="0.3">
      <c r="A1028" s="4">
        <v>2023</v>
      </c>
      <c r="B1028" s="4" t="s">
        <v>15</v>
      </c>
      <c r="C1028" s="4" t="s">
        <v>16</v>
      </c>
      <c r="D1028" s="4" t="s">
        <v>17</v>
      </c>
      <c r="E1028" s="4">
        <v>84</v>
      </c>
      <c r="F1028" s="4">
        <v>319</v>
      </c>
      <c r="G1028" s="4">
        <v>280</v>
      </c>
      <c r="H1028" s="4">
        <v>26.8</v>
      </c>
      <c r="I1028" s="4">
        <v>23.52</v>
      </c>
      <c r="J1028" s="4">
        <v>3.28</v>
      </c>
      <c r="K1028" s="4">
        <v>-9.09</v>
      </c>
      <c r="L1028" s="4">
        <v>176</v>
      </c>
      <c r="M1028" s="4" t="s">
        <v>37</v>
      </c>
      <c r="N1028" s="4" t="s">
        <v>31</v>
      </c>
      <c r="O1028" s="4" t="s">
        <v>42</v>
      </c>
      <c r="P1028" s="4" t="s">
        <v>73</v>
      </c>
    </row>
    <row r="1029" spans="1:16" x14ac:dyDescent="0.3">
      <c r="A1029" s="4">
        <v>2024</v>
      </c>
      <c r="B1029" s="4" t="s">
        <v>49</v>
      </c>
      <c r="C1029" s="4" t="s">
        <v>35</v>
      </c>
      <c r="D1029" s="4" t="s">
        <v>36</v>
      </c>
      <c r="E1029" s="4">
        <v>135</v>
      </c>
      <c r="F1029" s="4">
        <v>164</v>
      </c>
      <c r="G1029" s="4">
        <v>98</v>
      </c>
      <c r="H1029" s="4">
        <v>22.14</v>
      </c>
      <c r="I1029" s="4">
        <v>13.23</v>
      </c>
      <c r="J1029" s="4">
        <v>8.91</v>
      </c>
      <c r="K1029" s="4">
        <v>21.13</v>
      </c>
      <c r="L1029" s="4">
        <v>111</v>
      </c>
      <c r="M1029" s="4" t="s">
        <v>37</v>
      </c>
      <c r="N1029" s="4" t="s">
        <v>19</v>
      </c>
      <c r="O1029" s="4" t="s">
        <v>62</v>
      </c>
      <c r="P1029" s="4" t="s">
        <v>71</v>
      </c>
    </row>
    <row r="1030" spans="1:16" x14ac:dyDescent="0.3">
      <c r="A1030" s="4">
        <v>2025</v>
      </c>
      <c r="B1030" s="4" t="s">
        <v>29</v>
      </c>
      <c r="C1030" s="4" t="s">
        <v>16</v>
      </c>
      <c r="D1030" s="4" t="s">
        <v>56</v>
      </c>
      <c r="E1030" s="4">
        <v>393</v>
      </c>
      <c r="F1030" s="4">
        <v>358</v>
      </c>
      <c r="G1030" s="4">
        <v>31</v>
      </c>
      <c r="H1030" s="4">
        <v>140.69</v>
      </c>
      <c r="I1030" s="4">
        <v>12.18</v>
      </c>
      <c r="J1030" s="4">
        <v>128.51</v>
      </c>
      <c r="K1030" s="4">
        <v>3.72</v>
      </c>
      <c r="L1030" s="4">
        <v>296</v>
      </c>
      <c r="M1030" s="4" t="s">
        <v>28</v>
      </c>
      <c r="N1030" s="4" t="s">
        <v>31</v>
      </c>
      <c r="O1030" s="4" t="s">
        <v>42</v>
      </c>
      <c r="P1030" s="4" t="s">
        <v>75</v>
      </c>
    </row>
    <row r="1031" spans="1:16" x14ac:dyDescent="0.3">
      <c r="A1031" s="4">
        <v>2024</v>
      </c>
      <c r="B1031" s="4" t="s">
        <v>46</v>
      </c>
      <c r="C1031" s="4" t="s">
        <v>16</v>
      </c>
      <c r="D1031" s="4" t="s">
        <v>56</v>
      </c>
      <c r="E1031" s="4">
        <v>285</v>
      </c>
      <c r="F1031" s="4">
        <v>202</v>
      </c>
      <c r="G1031" s="4">
        <v>96</v>
      </c>
      <c r="H1031" s="4">
        <v>57.57</v>
      </c>
      <c r="I1031" s="4">
        <v>27.36</v>
      </c>
      <c r="J1031" s="4">
        <v>30.21</v>
      </c>
      <c r="K1031" s="4">
        <v>-1.8</v>
      </c>
      <c r="L1031" s="4">
        <v>165</v>
      </c>
      <c r="M1031" s="4" t="s">
        <v>18</v>
      </c>
      <c r="N1031" s="4" t="s">
        <v>31</v>
      </c>
      <c r="O1031" s="4" t="s">
        <v>42</v>
      </c>
      <c r="P1031" s="4" t="s">
        <v>72</v>
      </c>
    </row>
    <row r="1032" spans="1:16" x14ac:dyDescent="0.3">
      <c r="A1032" s="4">
        <v>2025</v>
      </c>
      <c r="B1032" s="4" t="s">
        <v>21</v>
      </c>
      <c r="C1032" s="4" t="s">
        <v>26</v>
      </c>
      <c r="D1032" s="4" t="s">
        <v>58</v>
      </c>
      <c r="E1032" s="4">
        <v>378</v>
      </c>
      <c r="F1032" s="4">
        <v>240</v>
      </c>
      <c r="G1032" s="4">
        <v>188</v>
      </c>
      <c r="H1032" s="4">
        <v>90.72</v>
      </c>
      <c r="I1032" s="4">
        <v>71.06</v>
      </c>
      <c r="J1032" s="4">
        <v>19.66</v>
      </c>
      <c r="K1032" s="4">
        <v>-4.29</v>
      </c>
      <c r="L1032" s="4">
        <v>24</v>
      </c>
      <c r="M1032" s="4" t="s">
        <v>18</v>
      </c>
      <c r="N1032" s="4" t="s">
        <v>24</v>
      </c>
      <c r="O1032" s="4" t="s">
        <v>63</v>
      </c>
      <c r="P1032" s="4" t="s">
        <v>73</v>
      </c>
    </row>
    <row r="1033" spans="1:16" x14ac:dyDescent="0.3">
      <c r="A1033" s="4">
        <v>2023</v>
      </c>
      <c r="B1033" s="4" t="s">
        <v>32</v>
      </c>
      <c r="C1033" s="4" t="s">
        <v>35</v>
      </c>
      <c r="D1033" s="4" t="s">
        <v>40</v>
      </c>
      <c r="E1033" s="4">
        <v>353</v>
      </c>
      <c r="F1033" s="4">
        <v>202</v>
      </c>
      <c r="G1033" s="4">
        <v>116</v>
      </c>
      <c r="H1033" s="4">
        <v>71.31</v>
      </c>
      <c r="I1033" s="4">
        <v>40.950000000000003</v>
      </c>
      <c r="J1033" s="4">
        <v>30.36</v>
      </c>
      <c r="K1033" s="4">
        <v>18.96</v>
      </c>
      <c r="L1033" s="4">
        <v>23</v>
      </c>
      <c r="M1033" s="4" t="s">
        <v>18</v>
      </c>
      <c r="N1033" s="4" t="s">
        <v>24</v>
      </c>
      <c r="O1033" s="4" t="s">
        <v>63</v>
      </c>
      <c r="P1033" s="4" t="s">
        <v>72</v>
      </c>
    </row>
    <row r="1034" spans="1:16" x14ac:dyDescent="0.3">
      <c r="A1034" s="4">
        <v>2024</v>
      </c>
      <c r="B1034" s="4" t="s">
        <v>47</v>
      </c>
      <c r="C1034" s="4" t="s">
        <v>16</v>
      </c>
      <c r="D1034" s="4" t="s">
        <v>17</v>
      </c>
      <c r="E1034" s="4">
        <v>151</v>
      </c>
      <c r="F1034" s="4">
        <v>232</v>
      </c>
      <c r="G1034" s="4">
        <v>91</v>
      </c>
      <c r="H1034" s="4">
        <v>35.03</v>
      </c>
      <c r="I1034" s="4">
        <v>13.74</v>
      </c>
      <c r="J1034" s="4">
        <v>21.29</v>
      </c>
      <c r="K1034" s="4">
        <v>-8.4700000000000006</v>
      </c>
      <c r="L1034" s="4">
        <v>227</v>
      </c>
      <c r="M1034" s="4" t="s">
        <v>28</v>
      </c>
      <c r="N1034" s="4" t="s">
        <v>31</v>
      </c>
      <c r="O1034" s="4" t="s">
        <v>42</v>
      </c>
      <c r="P1034" s="4" t="s">
        <v>73</v>
      </c>
    </row>
    <row r="1035" spans="1:16" x14ac:dyDescent="0.3">
      <c r="A1035" s="4">
        <v>2024</v>
      </c>
      <c r="B1035" s="4" t="s">
        <v>21</v>
      </c>
      <c r="C1035" s="4" t="s">
        <v>33</v>
      </c>
      <c r="D1035" s="4" t="s">
        <v>54</v>
      </c>
      <c r="E1035" s="4">
        <v>461</v>
      </c>
      <c r="F1035" s="4">
        <v>408</v>
      </c>
      <c r="G1035" s="4">
        <v>284</v>
      </c>
      <c r="H1035" s="4">
        <v>188.09</v>
      </c>
      <c r="I1035" s="4">
        <v>130.91999999999999</v>
      </c>
      <c r="J1035" s="4">
        <v>57.16</v>
      </c>
      <c r="K1035" s="4">
        <v>-5.1100000000000003</v>
      </c>
      <c r="L1035" s="4">
        <v>121</v>
      </c>
      <c r="M1035" s="4" t="s">
        <v>18</v>
      </c>
      <c r="N1035" s="4" t="s">
        <v>19</v>
      </c>
      <c r="O1035" s="4" t="s">
        <v>62</v>
      </c>
      <c r="P1035" s="4" t="s">
        <v>76</v>
      </c>
    </row>
    <row r="1036" spans="1:16" x14ac:dyDescent="0.3">
      <c r="A1036" s="4">
        <v>2025</v>
      </c>
      <c r="B1036" s="4" t="s">
        <v>29</v>
      </c>
      <c r="C1036" s="4" t="s">
        <v>33</v>
      </c>
      <c r="D1036" s="4" t="s">
        <v>50</v>
      </c>
      <c r="E1036" s="4">
        <v>395</v>
      </c>
      <c r="F1036" s="4">
        <v>449</v>
      </c>
      <c r="G1036" s="4">
        <v>287</v>
      </c>
      <c r="H1036" s="4">
        <v>177.35</v>
      </c>
      <c r="I1036" s="4">
        <v>113.36</v>
      </c>
      <c r="J1036" s="4">
        <v>63.99</v>
      </c>
      <c r="K1036" s="4">
        <v>16.899999999999999</v>
      </c>
      <c r="L1036" s="4">
        <v>274</v>
      </c>
      <c r="M1036" s="4" t="s">
        <v>37</v>
      </c>
      <c r="N1036" s="4" t="s">
        <v>31</v>
      </c>
      <c r="O1036" s="4" t="s">
        <v>42</v>
      </c>
      <c r="P1036" s="4" t="s">
        <v>72</v>
      </c>
    </row>
    <row r="1037" spans="1:16" x14ac:dyDescent="0.3">
      <c r="A1037" s="4">
        <v>2025</v>
      </c>
      <c r="B1037" s="4" t="s">
        <v>29</v>
      </c>
      <c r="C1037" s="4" t="s">
        <v>35</v>
      </c>
      <c r="D1037" s="4" t="s">
        <v>36</v>
      </c>
      <c r="E1037" s="4">
        <v>190</v>
      </c>
      <c r="F1037" s="4">
        <v>390</v>
      </c>
      <c r="G1037" s="4">
        <v>193</v>
      </c>
      <c r="H1037" s="4">
        <v>74.099999999999994</v>
      </c>
      <c r="I1037" s="4">
        <v>36.67</v>
      </c>
      <c r="J1037" s="4">
        <v>37.43</v>
      </c>
      <c r="K1037" s="4">
        <v>5.72</v>
      </c>
      <c r="L1037" s="4">
        <v>102</v>
      </c>
      <c r="M1037" s="4" t="s">
        <v>37</v>
      </c>
      <c r="N1037" s="4" t="s">
        <v>24</v>
      </c>
      <c r="O1037" s="4" t="s">
        <v>63</v>
      </c>
      <c r="P1037" s="4" t="s">
        <v>72</v>
      </c>
    </row>
    <row r="1038" spans="1:16" x14ac:dyDescent="0.3">
      <c r="A1038" s="4">
        <v>2023</v>
      </c>
      <c r="B1038" s="4" t="s">
        <v>47</v>
      </c>
      <c r="C1038" s="4" t="s">
        <v>16</v>
      </c>
      <c r="D1038" s="4" t="s">
        <v>17</v>
      </c>
      <c r="E1038" s="4">
        <v>119</v>
      </c>
      <c r="F1038" s="4">
        <v>317</v>
      </c>
      <c r="G1038" s="4">
        <v>85</v>
      </c>
      <c r="H1038" s="4">
        <v>37.72</v>
      </c>
      <c r="I1038" s="4">
        <v>10.119999999999999</v>
      </c>
      <c r="J1038" s="4">
        <v>27.61</v>
      </c>
      <c r="K1038" s="4">
        <v>19.7</v>
      </c>
      <c r="L1038" s="4">
        <v>234</v>
      </c>
      <c r="M1038" s="4" t="s">
        <v>28</v>
      </c>
      <c r="N1038" s="4" t="s">
        <v>19</v>
      </c>
      <c r="O1038" s="4" t="s">
        <v>62</v>
      </c>
      <c r="P1038" s="4" t="s">
        <v>71</v>
      </c>
    </row>
    <row r="1039" spans="1:16" x14ac:dyDescent="0.3">
      <c r="A1039" s="4">
        <v>2024</v>
      </c>
      <c r="B1039" s="4" t="s">
        <v>41</v>
      </c>
      <c r="C1039" s="4" t="s">
        <v>16</v>
      </c>
      <c r="D1039" s="4" t="s">
        <v>17</v>
      </c>
      <c r="E1039" s="4">
        <v>472</v>
      </c>
      <c r="F1039" s="4">
        <v>468</v>
      </c>
      <c r="G1039" s="4">
        <v>84</v>
      </c>
      <c r="H1039" s="4">
        <v>220.9</v>
      </c>
      <c r="I1039" s="4">
        <v>39.65</v>
      </c>
      <c r="J1039" s="4">
        <v>181.25</v>
      </c>
      <c r="K1039" s="4">
        <v>6.93</v>
      </c>
      <c r="L1039" s="4">
        <v>210</v>
      </c>
      <c r="M1039" s="4" t="s">
        <v>18</v>
      </c>
      <c r="N1039" s="4" t="s">
        <v>38</v>
      </c>
      <c r="O1039" s="4" t="s">
        <v>44</v>
      </c>
      <c r="P1039" s="4" t="s">
        <v>73</v>
      </c>
    </row>
    <row r="1040" spans="1:16" x14ac:dyDescent="0.3">
      <c r="A1040" s="4">
        <v>2023</v>
      </c>
      <c r="B1040" s="4" t="s">
        <v>51</v>
      </c>
      <c r="C1040" s="4" t="s">
        <v>26</v>
      </c>
      <c r="D1040" s="4" t="s">
        <v>27</v>
      </c>
      <c r="E1040" s="4">
        <v>343</v>
      </c>
      <c r="F1040" s="4">
        <v>211</v>
      </c>
      <c r="G1040" s="4">
        <v>70</v>
      </c>
      <c r="H1040" s="4">
        <v>72.37</v>
      </c>
      <c r="I1040" s="4">
        <v>24.01</v>
      </c>
      <c r="J1040" s="4">
        <v>48.36</v>
      </c>
      <c r="K1040" s="4">
        <v>22.78</v>
      </c>
      <c r="L1040" s="4">
        <v>42</v>
      </c>
      <c r="M1040" s="4" t="s">
        <v>18</v>
      </c>
      <c r="N1040" s="4" t="s">
        <v>24</v>
      </c>
      <c r="O1040" s="4" t="s">
        <v>63</v>
      </c>
      <c r="P1040" s="4" t="s">
        <v>74</v>
      </c>
    </row>
    <row r="1041" spans="1:16" x14ac:dyDescent="0.3">
      <c r="A1041" s="4">
        <v>2024</v>
      </c>
      <c r="B1041" s="4" t="s">
        <v>57</v>
      </c>
      <c r="C1041" s="4" t="s">
        <v>22</v>
      </c>
      <c r="D1041" s="4" t="s">
        <v>53</v>
      </c>
      <c r="E1041" s="4">
        <v>270</v>
      </c>
      <c r="F1041" s="4">
        <v>498</v>
      </c>
      <c r="G1041" s="4">
        <v>484</v>
      </c>
      <c r="H1041" s="4">
        <v>134.46</v>
      </c>
      <c r="I1041" s="4">
        <v>130.68</v>
      </c>
      <c r="J1041" s="4">
        <v>3.78</v>
      </c>
      <c r="K1041" s="4">
        <v>19.45</v>
      </c>
      <c r="L1041" s="4">
        <v>180</v>
      </c>
      <c r="M1041" s="4" t="s">
        <v>28</v>
      </c>
      <c r="N1041" s="4" t="s">
        <v>38</v>
      </c>
      <c r="O1041" s="4" t="s">
        <v>44</v>
      </c>
      <c r="P1041" s="4" t="s">
        <v>76</v>
      </c>
    </row>
    <row r="1042" spans="1:16" x14ac:dyDescent="0.3">
      <c r="A1042" s="4">
        <v>2025</v>
      </c>
      <c r="B1042" s="4" t="s">
        <v>32</v>
      </c>
      <c r="C1042" s="4" t="s">
        <v>16</v>
      </c>
      <c r="D1042" s="4" t="s">
        <v>56</v>
      </c>
      <c r="E1042" s="4">
        <v>437</v>
      </c>
      <c r="F1042" s="4">
        <v>462</v>
      </c>
      <c r="G1042" s="4">
        <v>415</v>
      </c>
      <c r="H1042" s="4">
        <v>201.89</v>
      </c>
      <c r="I1042" s="4">
        <v>181.35</v>
      </c>
      <c r="J1042" s="4">
        <v>20.54</v>
      </c>
      <c r="K1042" s="4">
        <v>2.3199999999999998</v>
      </c>
      <c r="L1042" s="4">
        <v>186</v>
      </c>
      <c r="M1042" s="4" t="s">
        <v>37</v>
      </c>
      <c r="N1042" s="4" t="s">
        <v>38</v>
      </c>
      <c r="O1042" s="4" t="s">
        <v>44</v>
      </c>
      <c r="P1042" s="4" t="s">
        <v>73</v>
      </c>
    </row>
    <row r="1043" spans="1:16" x14ac:dyDescent="0.3">
      <c r="A1043" s="4">
        <v>2023</v>
      </c>
      <c r="B1043" s="4" t="s">
        <v>32</v>
      </c>
      <c r="C1043" s="4" t="s">
        <v>33</v>
      </c>
      <c r="D1043" s="4" t="s">
        <v>48</v>
      </c>
      <c r="E1043" s="4">
        <v>152</v>
      </c>
      <c r="F1043" s="4">
        <v>381</v>
      </c>
      <c r="G1043" s="4">
        <v>247</v>
      </c>
      <c r="H1043" s="4">
        <v>57.91</v>
      </c>
      <c r="I1043" s="4">
        <v>37.54</v>
      </c>
      <c r="J1043" s="4">
        <v>20.37</v>
      </c>
      <c r="K1043" s="4">
        <v>-9.8699999999999992</v>
      </c>
      <c r="L1043" s="4">
        <v>281</v>
      </c>
      <c r="M1043" s="4" t="s">
        <v>37</v>
      </c>
      <c r="N1043" s="4" t="s">
        <v>19</v>
      </c>
      <c r="O1043" s="4" t="s">
        <v>62</v>
      </c>
      <c r="P1043" s="4" t="s">
        <v>72</v>
      </c>
    </row>
    <row r="1044" spans="1:16" x14ac:dyDescent="0.3">
      <c r="A1044" s="4">
        <v>2024</v>
      </c>
      <c r="B1044" s="4" t="s">
        <v>51</v>
      </c>
      <c r="C1044" s="4" t="s">
        <v>33</v>
      </c>
      <c r="D1044" s="4" t="s">
        <v>54</v>
      </c>
      <c r="E1044" s="4">
        <v>453</v>
      </c>
      <c r="F1044" s="4">
        <v>277</v>
      </c>
      <c r="G1044" s="4">
        <v>153</v>
      </c>
      <c r="H1044" s="4">
        <v>125.48</v>
      </c>
      <c r="I1044" s="4">
        <v>69.31</v>
      </c>
      <c r="J1044" s="4">
        <v>56.17</v>
      </c>
      <c r="K1044" s="4">
        <v>3.09</v>
      </c>
      <c r="L1044" s="4">
        <v>119</v>
      </c>
      <c r="M1044" s="4" t="s">
        <v>18</v>
      </c>
      <c r="N1044" s="4" t="s">
        <v>19</v>
      </c>
      <c r="O1044" s="4" t="s">
        <v>62</v>
      </c>
      <c r="P1044" s="4" t="s">
        <v>73</v>
      </c>
    </row>
    <row r="1045" spans="1:16" x14ac:dyDescent="0.3">
      <c r="A1045" s="4">
        <v>2025</v>
      </c>
      <c r="B1045" s="4" t="s">
        <v>47</v>
      </c>
      <c r="C1045" s="4" t="s">
        <v>22</v>
      </c>
      <c r="D1045" s="4" t="s">
        <v>53</v>
      </c>
      <c r="E1045" s="4">
        <v>278</v>
      </c>
      <c r="F1045" s="4">
        <v>213</v>
      </c>
      <c r="G1045" s="4">
        <v>45</v>
      </c>
      <c r="H1045" s="4">
        <v>59.21</v>
      </c>
      <c r="I1045" s="4">
        <v>12.51</v>
      </c>
      <c r="J1045" s="4">
        <v>46.7</v>
      </c>
      <c r="K1045" s="4">
        <v>15.26</v>
      </c>
      <c r="L1045" s="4">
        <v>184</v>
      </c>
      <c r="M1045" s="4" t="s">
        <v>28</v>
      </c>
      <c r="N1045" s="4" t="s">
        <v>24</v>
      </c>
      <c r="O1045" s="4" t="s">
        <v>63</v>
      </c>
      <c r="P1045" s="4" t="s">
        <v>76</v>
      </c>
    </row>
    <row r="1046" spans="1:16" x14ac:dyDescent="0.3">
      <c r="A1046" s="4">
        <v>2025</v>
      </c>
      <c r="B1046" s="4" t="s">
        <v>46</v>
      </c>
      <c r="C1046" s="4" t="s">
        <v>33</v>
      </c>
      <c r="D1046" s="4" t="s">
        <v>50</v>
      </c>
      <c r="E1046" s="4">
        <v>353</v>
      </c>
      <c r="F1046" s="4">
        <v>480</v>
      </c>
      <c r="G1046" s="4">
        <v>110</v>
      </c>
      <c r="H1046" s="4">
        <v>169.44</v>
      </c>
      <c r="I1046" s="4">
        <v>38.83</v>
      </c>
      <c r="J1046" s="4">
        <v>130.61000000000001</v>
      </c>
      <c r="K1046" s="4">
        <v>15.92</v>
      </c>
      <c r="L1046" s="4">
        <v>139</v>
      </c>
      <c r="M1046" s="4" t="s">
        <v>28</v>
      </c>
      <c r="N1046" s="4" t="s">
        <v>31</v>
      </c>
      <c r="O1046" s="4" t="s">
        <v>42</v>
      </c>
      <c r="P1046" s="4" t="s">
        <v>72</v>
      </c>
    </row>
    <row r="1047" spans="1:16" x14ac:dyDescent="0.3">
      <c r="A1047" s="4">
        <v>2024</v>
      </c>
      <c r="B1047" s="4" t="s">
        <v>41</v>
      </c>
      <c r="C1047" s="4" t="s">
        <v>22</v>
      </c>
      <c r="D1047" s="4" t="s">
        <v>55</v>
      </c>
      <c r="E1047" s="4">
        <v>161</v>
      </c>
      <c r="F1047" s="4">
        <v>476</v>
      </c>
      <c r="G1047" s="4">
        <v>55</v>
      </c>
      <c r="H1047" s="4">
        <v>76.64</v>
      </c>
      <c r="I1047" s="4">
        <v>8.86</v>
      </c>
      <c r="J1047" s="4">
        <v>67.78</v>
      </c>
      <c r="K1047" s="4">
        <v>13.03</v>
      </c>
      <c r="L1047" s="4">
        <v>144</v>
      </c>
      <c r="M1047" s="4" t="s">
        <v>18</v>
      </c>
      <c r="N1047" s="4" t="s">
        <v>19</v>
      </c>
      <c r="O1047" s="4" t="s">
        <v>62</v>
      </c>
      <c r="P1047" s="4" t="s">
        <v>74</v>
      </c>
    </row>
    <row r="1048" spans="1:16" x14ac:dyDescent="0.3">
      <c r="A1048" s="4">
        <v>2023</v>
      </c>
      <c r="B1048" s="4" t="s">
        <v>15</v>
      </c>
      <c r="C1048" s="4" t="s">
        <v>35</v>
      </c>
      <c r="D1048" s="4" t="s">
        <v>40</v>
      </c>
      <c r="E1048" s="4">
        <v>483</v>
      </c>
      <c r="F1048" s="4">
        <v>103</v>
      </c>
      <c r="G1048" s="4">
        <v>80</v>
      </c>
      <c r="H1048" s="4">
        <v>49.75</v>
      </c>
      <c r="I1048" s="4">
        <v>38.64</v>
      </c>
      <c r="J1048" s="4">
        <v>11.11</v>
      </c>
      <c r="K1048" s="4">
        <v>9.57</v>
      </c>
      <c r="L1048" s="4">
        <v>158</v>
      </c>
      <c r="M1048" s="4" t="s">
        <v>18</v>
      </c>
      <c r="N1048" s="4" t="s">
        <v>31</v>
      </c>
      <c r="O1048" s="4" t="s">
        <v>42</v>
      </c>
      <c r="P1048" s="4" t="s">
        <v>74</v>
      </c>
    </row>
    <row r="1049" spans="1:16" x14ac:dyDescent="0.3">
      <c r="A1049" s="4">
        <v>2025</v>
      </c>
      <c r="B1049" s="4" t="s">
        <v>39</v>
      </c>
      <c r="C1049" s="4" t="s">
        <v>22</v>
      </c>
      <c r="D1049" s="4" t="s">
        <v>53</v>
      </c>
      <c r="E1049" s="4">
        <v>399</v>
      </c>
      <c r="F1049" s="4">
        <v>436</v>
      </c>
      <c r="G1049" s="4">
        <v>269</v>
      </c>
      <c r="H1049" s="4">
        <v>173.96</v>
      </c>
      <c r="I1049" s="4">
        <v>107.33</v>
      </c>
      <c r="J1049" s="4">
        <v>66.63</v>
      </c>
      <c r="K1049" s="4">
        <v>-8.14</v>
      </c>
      <c r="L1049" s="4">
        <v>197</v>
      </c>
      <c r="M1049" s="4" t="s">
        <v>37</v>
      </c>
      <c r="N1049" s="4" t="s">
        <v>19</v>
      </c>
      <c r="O1049" s="4" t="s">
        <v>62</v>
      </c>
      <c r="P1049" s="4" t="s">
        <v>75</v>
      </c>
    </row>
    <row r="1050" spans="1:16" x14ac:dyDescent="0.3">
      <c r="A1050" s="4">
        <v>2023</v>
      </c>
      <c r="B1050" s="4" t="s">
        <v>39</v>
      </c>
      <c r="C1050" s="4" t="s">
        <v>33</v>
      </c>
      <c r="D1050" s="4" t="s">
        <v>34</v>
      </c>
      <c r="E1050" s="4">
        <v>346</v>
      </c>
      <c r="F1050" s="4">
        <v>398</v>
      </c>
      <c r="G1050" s="4">
        <v>239</v>
      </c>
      <c r="H1050" s="4">
        <v>137.71</v>
      </c>
      <c r="I1050" s="4">
        <v>82.69</v>
      </c>
      <c r="J1050" s="4">
        <v>55.01</v>
      </c>
      <c r="K1050" s="4">
        <v>19.61</v>
      </c>
      <c r="L1050" s="4">
        <v>137</v>
      </c>
      <c r="M1050" s="4" t="s">
        <v>28</v>
      </c>
      <c r="N1050" s="4" t="s">
        <v>24</v>
      </c>
      <c r="O1050" s="4" t="s">
        <v>63</v>
      </c>
      <c r="P1050" s="4" t="s">
        <v>71</v>
      </c>
    </row>
    <row r="1051" spans="1:16" x14ac:dyDescent="0.3">
      <c r="A1051" s="4">
        <v>2025</v>
      </c>
      <c r="B1051" s="4" t="s">
        <v>15</v>
      </c>
      <c r="C1051" s="4" t="s">
        <v>26</v>
      </c>
      <c r="D1051" s="4" t="s">
        <v>52</v>
      </c>
      <c r="E1051" s="4">
        <v>464</v>
      </c>
      <c r="F1051" s="4">
        <v>298</v>
      </c>
      <c r="G1051" s="4">
        <v>71</v>
      </c>
      <c r="H1051" s="4">
        <v>138.27000000000001</v>
      </c>
      <c r="I1051" s="4">
        <v>32.94</v>
      </c>
      <c r="J1051" s="4">
        <v>105.33</v>
      </c>
      <c r="K1051" s="4">
        <v>19.55</v>
      </c>
      <c r="L1051" s="4">
        <v>224</v>
      </c>
      <c r="M1051" s="4" t="s">
        <v>18</v>
      </c>
      <c r="N1051" s="4" t="s">
        <v>38</v>
      </c>
      <c r="O1051" s="4" t="s">
        <v>44</v>
      </c>
      <c r="P1051" s="4" t="s">
        <v>72</v>
      </c>
    </row>
    <row r="1052" spans="1:16" x14ac:dyDescent="0.3">
      <c r="A1052" s="4">
        <v>2024</v>
      </c>
      <c r="B1052" s="4" t="s">
        <v>47</v>
      </c>
      <c r="C1052" s="4" t="s">
        <v>16</v>
      </c>
      <c r="D1052" s="4" t="s">
        <v>56</v>
      </c>
      <c r="E1052" s="4">
        <v>198</v>
      </c>
      <c r="F1052" s="4">
        <v>368</v>
      </c>
      <c r="G1052" s="4">
        <v>33</v>
      </c>
      <c r="H1052" s="4">
        <v>72.86</v>
      </c>
      <c r="I1052" s="4">
        <v>6.53</v>
      </c>
      <c r="J1052" s="4">
        <v>66.33</v>
      </c>
      <c r="K1052" s="4">
        <v>-3.27</v>
      </c>
      <c r="L1052" s="4">
        <v>291</v>
      </c>
      <c r="M1052" s="4" t="s">
        <v>28</v>
      </c>
      <c r="N1052" s="4" t="s">
        <v>38</v>
      </c>
      <c r="O1052" s="4" t="s">
        <v>44</v>
      </c>
      <c r="P1052" s="4" t="s">
        <v>71</v>
      </c>
    </row>
    <row r="1053" spans="1:16" x14ac:dyDescent="0.3">
      <c r="A1053" s="4">
        <v>2023</v>
      </c>
      <c r="B1053" s="4" t="s">
        <v>32</v>
      </c>
      <c r="C1053" s="4" t="s">
        <v>22</v>
      </c>
      <c r="D1053" s="4" t="s">
        <v>59</v>
      </c>
      <c r="E1053" s="4">
        <v>229</v>
      </c>
      <c r="F1053" s="4">
        <v>418</v>
      </c>
      <c r="G1053" s="4">
        <v>182</v>
      </c>
      <c r="H1053" s="4">
        <v>95.72</v>
      </c>
      <c r="I1053" s="4">
        <v>41.68</v>
      </c>
      <c r="J1053" s="4">
        <v>54.04</v>
      </c>
      <c r="K1053" s="4">
        <v>-3</v>
      </c>
      <c r="L1053" s="4">
        <v>150</v>
      </c>
      <c r="M1053" s="4" t="s">
        <v>28</v>
      </c>
      <c r="N1053" s="4" t="s">
        <v>24</v>
      </c>
      <c r="O1053" s="4" t="s">
        <v>63</v>
      </c>
      <c r="P1053" s="4" t="s">
        <v>75</v>
      </c>
    </row>
    <row r="1054" spans="1:16" x14ac:dyDescent="0.3">
      <c r="A1054" s="4">
        <v>2025</v>
      </c>
      <c r="B1054" s="4" t="s">
        <v>39</v>
      </c>
      <c r="C1054" s="4" t="s">
        <v>26</v>
      </c>
      <c r="D1054" s="4" t="s">
        <v>58</v>
      </c>
      <c r="E1054" s="4">
        <v>191</v>
      </c>
      <c r="F1054" s="4">
        <v>479</v>
      </c>
      <c r="G1054" s="4">
        <v>374</v>
      </c>
      <c r="H1054" s="4">
        <v>91.49</v>
      </c>
      <c r="I1054" s="4">
        <v>71.430000000000007</v>
      </c>
      <c r="J1054" s="4">
        <v>20.059999999999999</v>
      </c>
      <c r="K1054" s="4">
        <v>3.41</v>
      </c>
      <c r="L1054" s="4">
        <v>264</v>
      </c>
      <c r="M1054" s="4" t="s">
        <v>28</v>
      </c>
      <c r="N1054" s="4" t="s">
        <v>24</v>
      </c>
      <c r="O1054" s="4" t="s">
        <v>63</v>
      </c>
      <c r="P1054" s="4" t="s">
        <v>76</v>
      </c>
    </row>
    <row r="1055" spans="1:16" x14ac:dyDescent="0.3">
      <c r="A1055" s="4">
        <v>2025</v>
      </c>
      <c r="B1055" s="4" t="s">
        <v>32</v>
      </c>
      <c r="C1055" s="4" t="s">
        <v>16</v>
      </c>
      <c r="D1055" s="4" t="s">
        <v>30</v>
      </c>
      <c r="E1055" s="4">
        <v>111</v>
      </c>
      <c r="F1055" s="4">
        <v>321</v>
      </c>
      <c r="G1055" s="4">
        <v>285</v>
      </c>
      <c r="H1055" s="4">
        <v>35.630000000000003</v>
      </c>
      <c r="I1055" s="4">
        <v>31.64</v>
      </c>
      <c r="J1055" s="4">
        <v>4</v>
      </c>
      <c r="K1055" s="4">
        <v>-7.71</v>
      </c>
      <c r="L1055" s="4">
        <v>85</v>
      </c>
      <c r="M1055" s="4" t="s">
        <v>18</v>
      </c>
      <c r="N1055" s="4" t="s">
        <v>31</v>
      </c>
      <c r="O1055" s="4" t="s">
        <v>42</v>
      </c>
      <c r="P1055" s="4" t="s">
        <v>71</v>
      </c>
    </row>
    <row r="1056" spans="1:16" x14ac:dyDescent="0.3">
      <c r="A1056" s="4">
        <v>2023</v>
      </c>
      <c r="B1056" s="4" t="s">
        <v>46</v>
      </c>
      <c r="C1056" s="4" t="s">
        <v>35</v>
      </c>
      <c r="D1056" s="4" t="s">
        <v>43</v>
      </c>
      <c r="E1056" s="4">
        <v>490</v>
      </c>
      <c r="F1056" s="4">
        <v>233</v>
      </c>
      <c r="G1056" s="4">
        <v>127</v>
      </c>
      <c r="H1056" s="4">
        <v>114.17</v>
      </c>
      <c r="I1056" s="4">
        <v>62.23</v>
      </c>
      <c r="J1056" s="4">
        <v>51.94</v>
      </c>
      <c r="K1056" s="4">
        <v>-1.18</v>
      </c>
      <c r="L1056" s="4">
        <v>236</v>
      </c>
      <c r="M1056" s="4" t="s">
        <v>28</v>
      </c>
      <c r="N1056" s="4" t="s">
        <v>19</v>
      </c>
      <c r="O1056" s="4" t="s">
        <v>62</v>
      </c>
      <c r="P1056" s="4" t="s">
        <v>76</v>
      </c>
    </row>
    <row r="1057" spans="1:16" x14ac:dyDescent="0.3">
      <c r="A1057" s="4">
        <v>2023</v>
      </c>
      <c r="B1057" s="4" t="s">
        <v>29</v>
      </c>
      <c r="C1057" s="4" t="s">
        <v>16</v>
      </c>
      <c r="D1057" s="4" t="s">
        <v>17</v>
      </c>
      <c r="E1057" s="4">
        <v>407</v>
      </c>
      <c r="F1057" s="4">
        <v>170</v>
      </c>
      <c r="G1057" s="4">
        <v>49</v>
      </c>
      <c r="H1057" s="4">
        <v>69.19</v>
      </c>
      <c r="I1057" s="4">
        <v>19.940000000000001</v>
      </c>
      <c r="J1057" s="4">
        <v>49.25</v>
      </c>
      <c r="K1057" s="4">
        <v>6.47</v>
      </c>
      <c r="L1057" s="4">
        <v>136</v>
      </c>
      <c r="M1057" s="4" t="s">
        <v>37</v>
      </c>
      <c r="N1057" s="4" t="s">
        <v>24</v>
      </c>
      <c r="O1057" s="4" t="s">
        <v>63</v>
      </c>
      <c r="P1057" s="4" t="s">
        <v>71</v>
      </c>
    </row>
    <row r="1058" spans="1:16" x14ac:dyDescent="0.3">
      <c r="A1058" s="4">
        <v>2023</v>
      </c>
      <c r="B1058" s="4" t="s">
        <v>51</v>
      </c>
      <c r="C1058" s="4" t="s">
        <v>16</v>
      </c>
      <c r="D1058" s="4" t="s">
        <v>56</v>
      </c>
      <c r="E1058" s="4">
        <v>173</v>
      </c>
      <c r="F1058" s="4">
        <v>155</v>
      </c>
      <c r="G1058" s="4">
        <v>141</v>
      </c>
      <c r="H1058" s="4">
        <v>26.82</v>
      </c>
      <c r="I1058" s="4">
        <v>24.39</v>
      </c>
      <c r="J1058" s="4">
        <v>2.42</v>
      </c>
      <c r="K1058" s="4">
        <v>-7.22</v>
      </c>
      <c r="L1058" s="4">
        <v>51</v>
      </c>
      <c r="M1058" s="4" t="s">
        <v>28</v>
      </c>
      <c r="N1058" s="4" t="s">
        <v>31</v>
      </c>
      <c r="O1058" s="4" t="s">
        <v>42</v>
      </c>
      <c r="P1058" s="4" t="s">
        <v>76</v>
      </c>
    </row>
    <row r="1059" spans="1:16" x14ac:dyDescent="0.3">
      <c r="A1059" s="4">
        <v>2023</v>
      </c>
      <c r="B1059" s="4" t="s">
        <v>46</v>
      </c>
      <c r="C1059" s="4" t="s">
        <v>22</v>
      </c>
      <c r="D1059" s="4" t="s">
        <v>55</v>
      </c>
      <c r="E1059" s="4">
        <v>405</v>
      </c>
      <c r="F1059" s="4">
        <v>146</v>
      </c>
      <c r="G1059" s="4">
        <v>117</v>
      </c>
      <c r="H1059" s="4">
        <v>59.13</v>
      </c>
      <c r="I1059" s="4">
        <v>47.38</v>
      </c>
      <c r="J1059" s="4">
        <v>11.75</v>
      </c>
      <c r="K1059" s="4">
        <v>7.39</v>
      </c>
      <c r="L1059" s="4">
        <v>280</v>
      </c>
      <c r="M1059" s="4" t="s">
        <v>37</v>
      </c>
      <c r="N1059" s="4" t="s">
        <v>31</v>
      </c>
      <c r="O1059" s="4" t="s">
        <v>42</v>
      </c>
      <c r="P1059" s="4" t="s">
        <v>71</v>
      </c>
    </row>
    <row r="1060" spans="1:16" x14ac:dyDescent="0.3">
      <c r="A1060" s="4">
        <v>2025</v>
      </c>
      <c r="B1060" s="4" t="s">
        <v>32</v>
      </c>
      <c r="C1060" s="4" t="s">
        <v>16</v>
      </c>
      <c r="D1060" s="4" t="s">
        <v>17</v>
      </c>
      <c r="E1060" s="4">
        <v>454</v>
      </c>
      <c r="F1060" s="4">
        <v>397</v>
      </c>
      <c r="G1060" s="4">
        <v>152</v>
      </c>
      <c r="H1060" s="4">
        <v>180.24</v>
      </c>
      <c r="I1060" s="4">
        <v>69.010000000000005</v>
      </c>
      <c r="J1060" s="4">
        <v>111.23</v>
      </c>
      <c r="K1060" s="4">
        <v>4.57</v>
      </c>
      <c r="L1060" s="4">
        <v>94</v>
      </c>
      <c r="M1060" s="4" t="s">
        <v>37</v>
      </c>
      <c r="N1060" s="4" t="s">
        <v>24</v>
      </c>
      <c r="O1060" s="4" t="s">
        <v>63</v>
      </c>
      <c r="P1060" s="4" t="s">
        <v>73</v>
      </c>
    </row>
    <row r="1061" spans="1:16" x14ac:dyDescent="0.3">
      <c r="A1061" s="4">
        <v>2024</v>
      </c>
      <c r="B1061" s="4" t="s">
        <v>45</v>
      </c>
      <c r="C1061" s="4" t="s">
        <v>33</v>
      </c>
      <c r="D1061" s="4" t="s">
        <v>48</v>
      </c>
      <c r="E1061" s="4">
        <v>410</v>
      </c>
      <c r="F1061" s="4">
        <v>383</v>
      </c>
      <c r="G1061" s="4">
        <v>61</v>
      </c>
      <c r="H1061" s="4">
        <v>157.03</v>
      </c>
      <c r="I1061" s="4">
        <v>25.01</v>
      </c>
      <c r="J1061" s="4">
        <v>132.02000000000001</v>
      </c>
      <c r="K1061" s="4">
        <v>-6.07</v>
      </c>
      <c r="L1061" s="4">
        <v>279</v>
      </c>
      <c r="M1061" s="4" t="s">
        <v>18</v>
      </c>
      <c r="N1061" s="4" t="s">
        <v>19</v>
      </c>
      <c r="O1061" s="4" t="s">
        <v>62</v>
      </c>
      <c r="P1061" s="4" t="s">
        <v>73</v>
      </c>
    </row>
    <row r="1062" spans="1:16" x14ac:dyDescent="0.3">
      <c r="A1062" s="4">
        <v>2023</v>
      </c>
      <c r="B1062" s="4" t="s">
        <v>41</v>
      </c>
      <c r="C1062" s="4" t="s">
        <v>16</v>
      </c>
      <c r="D1062" s="4" t="s">
        <v>17</v>
      </c>
      <c r="E1062" s="4">
        <v>51</v>
      </c>
      <c r="F1062" s="4">
        <v>460</v>
      </c>
      <c r="G1062" s="4">
        <v>168</v>
      </c>
      <c r="H1062" s="4">
        <v>23.46</v>
      </c>
      <c r="I1062" s="4">
        <v>8.57</v>
      </c>
      <c r="J1062" s="4">
        <v>14.89</v>
      </c>
      <c r="K1062" s="4">
        <v>15.32</v>
      </c>
      <c r="L1062" s="4">
        <v>82</v>
      </c>
      <c r="M1062" s="4" t="s">
        <v>28</v>
      </c>
      <c r="N1062" s="4" t="s">
        <v>38</v>
      </c>
      <c r="O1062" s="4" t="s">
        <v>44</v>
      </c>
      <c r="P1062" s="4" t="s">
        <v>72</v>
      </c>
    </row>
    <row r="1063" spans="1:16" x14ac:dyDescent="0.3">
      <c r="A1063" s="4">
        <v>2024</v>
      </c>
      <c r="B1063" s="4" t="s">
        <v>29</v>
      </c>
      <c r="C1063" s="4" t="s">
        <v>22</v>
      </c>
      <c r="D1063" s="4" t="s">
        <v>59</v>
      </c>
      <c r="E1063" s="4">
        <v>265</v>
      </c>
      <c r="F1063" s="4">
        <v>293</v>
      </c>
      <c r="G1063" s="4">
        <v>228</v>
      </c>
      <c r="H1063" s="4">
        <v>77.64</v>
      </c>
      <c r="I1063" s="4">
        <v>60.42</v>
      </c>
      <c r="J1063" s="4">
        <v>17.22</v>
      </c>
      <c r="K1063" s="4">
        <v>-9.35</v>
      </c>
      <c r="L1063" s="4">
        <v>173</v>
      </c>
      <c r="M1063" s="4" t="s">
        <v>37</v>
      </c>
      <c r="N1063" s="4" t="s">
        <v>19</v>
      </c>
      <c r="O1063" s="4" t="s">
        <v>62</v>
      </c>
      <c r="P1063" s="4" t="s">
        <v>75</v>
      </c>
    </row>
    <row r="1064" spans="1:16" x14ac:dyDescent="0.3">
      <c r="A1064" s="4">
        <v>2024</v>
      </c>
      <c r="B1064" s="4" t="s">
        <v>21</v>
      </c>
      <c r="C1064" s="4" t="s">
        <v>16</v>
      </c>
      <c r="D1064" s="4" t="s">
        <v>30</v>
      </c>
      <c r="E1064" s="4">
        <v>454</v>
      </c>
      <c r="F1064" s="4">
        <v>474</v>
      </c>
      <c r="G1064" s="4">
        <v>460</v>
      </c>
      <c r="H1064" s="4">
        <v>215.2</v>
      </c>
      <c r="I1064" s="4">
        <v>208.84</v>
      </c>
      <c r="J1064" s="4">
        <v>6.36</v>
      </c>
      <c r="K1064" s="4">
        <v>24.42</v>
      </c>
      <c r="L1064" s="4">
        <v>219</v>
      </c>
      <c r="M1064" s="4" t="s">
        <v>37</v>
      </c>
      <c r="N1064" s="4" t="s">
        <v>38</v>
      </c>
      <c r="O1064" s="4" t="s">
        <v>44</v>
      </c>
      <c r="P1064" s="4" t="s">
        <v>73</v>
      </c>
    </row>
    <row r="1065" spans="1:16" x14ac:dyDescent="0.3">
      <c r="A1065" s="4">
        <v>2025</v>
      </c>
      <c r="B1065" s="4" t="s">
        <v>29</v>
      </c>
      <c r="C1065" s="4" t="s">
        <v>22</v>
      </c>
      <c r="D1065" s="4" t="s">
        <v>23</v>
      </c>
      <c r="E1065" s="4">
        <v>225</v>
      </c>
      <c r="F1065" s="4">
        <v>251</v>
      </c>
      <c r="G1065" s="4">
        <v>40</v>
      </c>
      <c r="H1065" s="4">
        <v>56.48</v>
      </c>
      <c r="I1065" s="4">
        <v>9</v>
      </c>
      <c r="J1065" s="4">
        <v>47.48</v>
      </c>
      <c r="K1065" s="4">
        <v>2.78</v>
      </c>
      <c r="L1065" s="4">
        <v>241</v>
      </c>
      <c r="M1065" s="4" t="s">
        <v>18</v>
      </c>
      <c r="N1065" s="4" t="s">
        <v>19</v>
      </c>
      <c r="O1065" s="4" t="s">
        <v>62</v>
      </c>
      <c r="P1065" s="4" t="s">
        <v>76</v>
      </c>
    </row>
    <row r="1066" spans="1:16" x14ac:dyDescent="0.3">
      <c r="A1066" s="4">
        <v>2025</v>
      </c>
      <c r="B1066" s="4" t="s">
        <v>57</v>
      </c>
      <c r="C1066" s="4" t="s">
        <v>33</v>
      </c>
      <c r="D1066" s="4" t="s">
        <v>34</v>
      </c>
      <c r="E1066" s="4">
        <v>194</v>
      </c>
      <c r="F1066" s="4">
        <v>117</v>
      </c>
      <c r="G1066" s="4">
        <v>100</v>
      </c>
      <c r="H1066" s="4">
        <v>22.7</v>
      </c>
      <c r="I1066" s="4">
        <v>19.399999999999999</v>
      </c>
      <c r="J1066" s="4">
        <v>3.3</v>
      </c>
      <c r="K1066" s="4">
        <v>9.7100000000000009</v>
      </c>
      <c r="L1066" s="4">
        <v>298</v>
      </c>
      <c r="M1066" s="4" t="s">
        <v>37</v>
      </c>
      <c r="N1066" s="4" t="s">
        <v>19</v>
      </c>
      <c r="O1066" s="4" t="s">
        <v>62</v>
      </c>
      <c r="P1066" s="4" t="s">
        <v>76</v>
      </c>
    </row>
    <row r="1067" spans="1:16" x14ac:dyDescent="0.3">
      <c r="A1067" s="4">
        <v>2024</v>
      </c>
      <c r="B1067" s="4" t="s">
        <v>45</v>
      </c>
      <c r="C1067" s="4" t="s">
        <v>26</v>
      </c>
      <c r="D1067" s="4" t="s">
        <v>27</v>
      </c>
      <c r="E1067" s="4">
        <v>55</v>
      </c>
      <c r="F1067" s="4">
        <v>337</v>
      </c>
      <c r="G1067" s="4">
        <v>167</v>
      </c>
      <c r="H1067" s="4">
        <v>18.54</v>
      </c>
      <c r="I1067" s="4">
        <v>9.19</v>
      </c>
      <c r="J1067" s="4">
        <v>9.35</v>
      </c>
      <c r="K1067" s="4">
        <v>15.76</v>
      </c>
      <c r="L1067" s="4">
        <v>248</v>
      </c>
      <c r="M1067" s="4" t="s">
        <v>28</v>
      </c>
      <c r="N1067" s="4" t="s">
        <v>38</v>
      </c>
      <c r="O1067" s="4" t="s">
        <v>44</v>
      </c>
      <c r="P1067" s="4" t="s">
        <v>72</v>
      </c>
    </row>
    <row r="1068" spans="1:16" x14ac:dyDescent="0.3">
      <c r="A1068" s="4">
        <v>2023</v>
      </c>
      <c r="B1068" s="4" t="s">
        <v>49</v>
      </c>
      <c r="C1068" s="4" t="s">
        <v>22</v>
      </c>
      <c r="D1068" s="4" t="s">
        <v>59</v>
      </c>
      <c r="E1068" s="4">
        <v>434</v>
      </c>
      <c r="F1068" s="4">
        <v>435</v>
      </c>
      <c r="G1068" s="4">
        <v>164</v>
      </c>
      <c r="H1068" s="4">
        <v>188.79</v>
      </c>
      <c r="I1068" s="4">
        <v>71.180000000000007</v>
      </c>
      <c r="J1068" s="4">
        <v>117.61</v>
      </c>
      <c r="K1068" s="4">
        <v>-8.99</v>
      </c>
      <c r="L1068" s="4">
        <v>100</v>
      </c>
      <c r="M1068" s="4" t="s">
        <v>28</v>
      </c>
      <c r="N1068" s="4" t="s">
        <v>38</v>
      </c>
      <c r="O1068" s="4" t="s">
        <v>44</v>
      </c>
      <c r="P1068" s="4" t="s">
        <v>71</v>
      </c>
    </row>
    <row r="1069" spans="1:16" x14ac:dyDescent="0.3">
      <c r="A1069" s="4">
        <v>2023</v>
      </c>
      <c r="B1069" s="4" t="s">
        <v>49</v>
      </c>
      <c r="C1069" s="4" t="s">
        <v>33</v>
      </c>
      <c r="D1069" s="4" t="s">
        <v>34</v>
      </c>
      <c r="E1069" s="4">
        <v>324</v>
      </c>
      <c r="F1069" s="4">
        <v>455</v>
      </c>
      <c r="G1069" s="4">
        <v>230</v>
      </c>
      <c r="H1069" s="4">
        <v>147.41999999999999</v>
      </c>
      <c r="I1069" s="4">
        <v>74.52</v>
      </c>
      <c r="J1069" s="4">
        <v>72.900000000000006</v>
      </c>
      <c r="K1069" s="4">
        <v>1.88</v>
      </c>
      <c r="L1069" s="4">
        <v>175</v>
      </c>
      <c r="M1069" s="4" t="s">
        <v>37</v>
      </c>
      <c r="N1069" s="4" t="s">
        <v>24</v>
      </c>
      <c r="O1069" s="4" t="s">
        <v>63</v>
      </c>
      <c r="P1069" s="4" t="s">
        <v>71</v>
      </c>
    </row>
    <row r="1070" spans="1:16" x14ac:dyDescent="0.3">
      <c r="A1070" s="4">
        <v>2023</v>
      </c>
      <c r="B1070" s="4" t="s">
        <v>49</v>
      </c>
      <c r="C1070" s="4" t="s">
        <v>35</v>
      </c>
      <c r="D1070" s="4" t="s">
        <v>36</v>
      </c>
      <c r="E1070" s="4">
        <v>251</v>
      </c>
      <c r="F1070" s="4">
        <v>441</v>
      </c>
      <c r="G1070" s="4">
        <v>355</v>
      </c>
      <c r="H1070" s="4">
        <v>110.69</v>
      </c>
      <c r="I1070" s="4">
        <v>89.11</v>
      </c>
      <c r="J1070" s="4">
        <v>21.59</v>
      </c>
      <c r="K1070" s="4">
        <v>22.55</v>
      </c>
      <c r="L1070" s="4">
        <v>240</v>
      </c>
      <c r="M1070" s="4" t="s">
        <v>18</v>
      </c>
      <c r="N1070" s="4" t="s">
        <v>38</v>
      </c>
      <c r="O1070" s="4" t="s">
        <v>44</v>
      </c>
      <c r="P1070" s="4" t="s">
        <v>76</v>
      </c>
    </row>
    <row r="1071" spans="1:16" x14ac:dyDescent="0.3">
      <c r="A1071" s="4">
        <v>2024</v>
      </c>
      <c r="B1071" s="4" t="s">
        <v>21</v>
      </c>
      <c r="C1071" s="4" t="s">
        <v>16</v>
      </c>
      <c r="D1071" s="4" t="s">
        <v>17</v>
      </c>
      <c r="E1071" s="4">
        <v>188</v>
      </c>
      <c r="F1071" s="4">
        <v>497</v>
      </c>
      <c r="G1071" s="4">
        <v>427</v>
      </c>
      <c r="H1071" s="4">
        <v>93.44</v>
      </c>
      <c r="I1071" s="4">
        <v>80.28</v>
      </c>
      <c r="J1071" s="4">
        <v>13.16</v>
      </c>
      <c r="K1071" s="4">
        <v>-7.35</v>
      </c>
      <c r="L1071" s="4">
        <v>87</v>
      </c>
      <c r="M1071" s="4" t="s">
        <v>37</v>
      </c>
      <c r="N1071" s="4" t="s">
        <v>38</v>
      </c>
      <c r="O1071" s="4" t="s">
        <v>44</v>
      </c>
      <c r="P1071" s="4" t="s">
        <v>71</v>
      </c>
    </row>
    <row r="1072" spans="1:16" x14ac:dyDescent="0.3">
      <c r="A1072" s="4">
        <v>2025</v>
      </c>
      <c r="B1072" s="4" t="s">
        <v>41</v>
      </c>
      <c r="C1072" s="4" t="s">
        <v>35</v>
      </c>
      <c r="D1072" s="4" t="s">
        <v>36</v>
      </c>
      <c r="E1072" s="4">
        <v>466</v>
      </c>
      <c r="F1072" s="4">
        <v>78</v>
      </c>
      <c r="G1072" s="4">
        <v>47</v>
      </c>
      <c r="H1072" s="4">
        <v>36.35</v>
      </c>
      <c r="I1072" s="4">
        <v>21.9</v>
      </c>
      <c r="J1072" s="4">
        <v>14.45</v>
      </c>
      <c r="K1072" s="4">
        <v>13.48</v>
      </c>
      <c r="L1072" s="4">
        <v>175</v>
      </c>
      <c r="M1072" s="4" t="s">
        <v>37</v>
      </c>
      <c r="N1072" s="4" t="s">
        <v>19</v>
      </c>
      <c r="O1072" s="4" t="s">
        <v>62</v>
      </c>
      <c r="P1072" s="4" t="s">
        <v>72</v>
      </c>
    </row>
    <row r="1073" spans="1:16" x14ac:dyDescent="0.3">
      <c r="A1073" s="4">
        <v>2023</v>
      </c>
      <c r="B1073" s="4" t="s">
        <v>29</v>
      </c>
      <c r="C1073" s="4" t="s">
        <v>16</v>
      </c>
      <c r="D1073" s="4" t="s">
        <v>17</v>
      </c>
      <c r="E1073" s="4">
        <v>81</v>
      </c>
      <c r="F1073" s="4">
        <v>54</v>
      </c>
      <c r="G1073" s="4">
        <v>33</v>
      </c>
      <c r="H1073" s="4">
        <v>4.37</v>
      </c>
      <c r="I1073" s="4">
        <v>2.67</v>
      </c>
      <c r="J1073" s="4">
        <v>1.7</v>
      </c>
      <c r="K1073" s="4">
        <v>-7.51</v>
      </c>
      <c r="L1073" s="4">
        <v>258</v>
      </c>
      <c r="M1073" s="4" t="s">
        <v>37</v>
      </c>
      <c r="N1073" s="4" t="s">
        <v>38</v>
      </c>
      <c r="O1073" s="4" t="s">
        <v>44</v>
      </c>
      <c r="P1073" s="4" t="s">
        <v>72</v>
      </c>
    </row>
    <row r="1074" spans="1:16" x14ac:dyDescent="0.3">
      <c r="A1074" s="4">
        <v>2023</v>
      </c>
      <c r="B1074" s="4" t="s">
        <v>32</v>
      </c>
      <c r="C1074" s="4" t="s">
        <v>33</v>
      </c>
      <c r="D1074" s="4" t="s">
        <v>48</v>
      </c>
      <c r="E1074" s="4">
        <v>190</v>
      </c>
      <c r="F1074" s="4">
        <v>301</v>
      </c>
      <c r="G1074" s="4">
        <v>199</v>
      </c>
      <c r="H1074" s="4">
        <v>57.19</v>
      </c>
      <c r="I1074" s="4">
        <v>37.81</v>
      </c>
      <c r="J1074" s="4">
        <v>19.38</v>
      </c>
      <c r="K1074" s="4">
        <v>10.41</v>
      </c>
      <c r="L1074" s="4">
        <v>224</v>
      </c>
      <c r="M1074" s="4" t="s">
        <v>18</v>
      </c>
      <c r="N1074" s="4" t="s">
        <v>19</v>
      </c>
      <c r="O1074" s="4" t="s">
        <v>62</v>
      </c>
      <c r="P1074" s="4" t="s">
        <v>71</v>
      </c>
    </row>
    <row r="1075" spans="1:16" x14ac:dyDescent="0.3">
      <c r="A1075" s="4">
        <v>2023</v>
      </c>
      <c r="B1075" s="4" t="s">
        <v>39</v>
      </c>
      <c r="C1075" s="4" t="s">
        <v>22</v>
      </c>
      <c r="D1075" s="4" t="s">
        <v>55</v>
      </c>
      <c r="E1075" s="4">
        <v>356</v>
      </c>
      <c r="F1075" s="4">
        <v>247</v>
      </c>
      <c r="G1075" s="4">
        <v>137</v>
      </c>
      <c r="H1075" s="4">
        <v>87.93</v>
      </c>
      <c r="I1075" s="4">
        <v>48.77</v>
      </c>
      <c r="J1075" s="4">
        <v>39.159999999999997</v>
      </c>
      <c r="K1075" s="4">
        <v>-6.93</v>
      </c>
      <c r="L1075" s="4">
        <v>214</v>
      </c>
      <c r="M1075" s="4" t="s">
        <v>18</v>
      </c>
      <c r="N1075" s="4" t="s">
        <v>24</v>
      </c>
      <c r="O1075" s="4" t="s">
        <v>63</v>
      </c>
      <c r="P1075" s="4" t="s">
        <v>75</v>
      </c>
    </row>
    <row r="1076" spans="1:16" x14ac:dyDescent="0.3">
      <c r="A1076" s="4">
        <v>2025</v>
      </c>
      <c r="B1076" s="4" t="s">
        <v>21</v>
      </c>
      <c r="C1076" s="4" t="s">
        <v>22</v>
      </c>
      <c r="D1076" s="4" t="s">
        <v>59</v>
      </c>
      <c r="E1076" s="4">
        <v>386</v>
      </c>
      <c r="F1076" s="4">
        <v>98</v>
      </c>
      <c r="G1076" s="4">
        <v>73</v>
      </c>
      <c r="H1076" s="4">
        <v>37.83</v>
      </c>
      <c r="I1076" s="4">
        <v>28.18</v>
      </c>
      <c r="J1076" s="4">
        <v>9.65</v>
      </c>
      <c r="K1076" s="4">
        <v>-3.22</v>
      </c>
      <c r="L1076" s="4">
        <v>263</v>
      </c>
      <c r="M1076" s="4" t="s">
        <v>28</v>
      </c>
      <c r="N1076" s="4" t="s">
        <v>31</v>
      </c>
      <c r="O1076" s="4" t="s">
        <v>42</v>
      </c>
      <c r="P1076" s="4" t="s">
        <v>75</v>
      </c>
    </row>
    <row r="1077" spans="1:16" x14ac:dyDescent="0.3">
      <c r="A1077" s="4">
        <v>2023</v>
      </c>
      <c r="B1077" s="4" t="s">
        <v>41</v>
      </c>
      <c r="C1077" s="4" t="s">
        <v>22</v>
      </c>
      <c r="D1077" s="4" t="s">
        <v>55</v>
      </c>
      <c r="E1077" s="4">
        <v>205</v>
      </c>
      <c r="F1077" s="4">
        <v>390</v>
      </c>
      <c r="G1077" s="4">
        <v>90</v>
      </c>
      <c r="H1077" s="4">
        <v>79.95</v>
      </c>
      <c r="I1077" s="4">
        <v>18.45</v>
      </c>
      <c r="J1077" s="4">
        <v>61.5</v>
      </c>
      <c r="K1077" s="4">
        <v>12.27</v>
      </c>
      <c r="L1077" s="4">
        <v>51</v>
      </c>
      <c r="M1077" s="4" t="s">
        <v>18</v>
      </c>
      <c r="N1077" s="4" t="s">
        <v>24</v>
      </c>
      <c r="O1077" s="4" t="s">
        <v>63</v>
      </c>
      <c r="P1077" s="4" t="s">
        <v>71</v>
      </c>
    </row>
    <row r="1078" spans="1:16" x14ac:dyDescent="0.3">
      <c r="A1078" s="4">
        <v>2025</v>
      </c>
      <c r="B1078" s="4" t="s">
        <v>32</v>
      </c>
      <c r="C1078" s="4" t="s">
        <v>16</v>
      </c>
      <c r="D1078" s="4" t="s">
        <v>56</v>
      </c>
      <c r="E1078" s="4">
        <v>466</v>
      </c>
      <c r="F1078" s="4">
        <v>88</v>
      </c>
      <c r="G1078" s="4">
        <v>38</v>
      </c>
      <c r="H1078" s="4">
        <v>41.01</v>
      </c>
      <c r="I1078" s="4">
        <v>17.71</v>
      </c>
      <c r="J1078" s="4">
        <v>23.3</v>
      </c>
      <c r="K1078" s="4">
        <v>12.14</v>
      </c>
      <c r="L1078" s="4">
        <v>300</v>
      </c>
      <c r="M1078" s="4" t="s">
        <v>18</v>
      </c>
      <c r="N1078" s="4" t="s">
        <v>31</v>
      </c>
      <c r="O1078" s="4" t="s">
        <v>42</v>
      </c>
      <c r="P1078" s="4" t="s">
        <v>74</v>
      </c>
    </row>
    <row r="1079" spans="1:16" x14ac:dyDescent="0.3">
      <c r="A1079" s="4">
        <v>2024</v>
      </c>
      <c r="B1079" s="4" t="s">
        <v>46</v>
      </c>
      <c r="C1079" s="4" t="s">
        <v>22</v>
      </c>
      <c r="D1079" s="4" t="s">
        <v>55</v>
      </c>
      <c r="E1079" s="4">
        <v>311</v>
      </c>
      <c r="F1079" s="4">
        <v>409</v>
      </c>
      <c r="G1079" s="4">
        <v>397</v>
      </c>
      <c r="H1079" s="4">
        <v>127.2</v>
      </c>
      <c r="I1079" s="4">
        <v>123.47</v>
      </c>
      <c r="J1079" s="4">
        <v>3.73</v>
      </c>
      <c r="K1079" s="4">
        <v>-4.6399999999999997</v>
      </c>
      <c r="L1079" s="4">
        <v>169</v>
      </c>
      <c r="M1079" s="4" t="s">
        <v>18</v>
      </c>
      <c r="N1079" s="4" t="s">
        <v>38</v>
      </c>
      <c r="O1079" s="4" t="s">
        <v>44</v>
      </c>
      <c r="P1079" s="4" t="s">
        <v>74</v>
      </c>
    </row>
    <row r="1080" spans="1:16" x14ac:dyDescent="0.3">
      <c r="A1080" s="4">
        <v>2023</v>
      </c>
      <c r="B1080" s="4" t="s">
        <v>29</v>
      </c>
      <c r="C1080" s="4" t="s">
        <v>33</v>
      </c>
      <c r="D1080" s="4" t="s">
        <v>48</v>
      </c>
      <c r="E1080" s="4">
        <v>496</v>
      </c>
      <c r="F1080" s="4">
        <v>301</v>
      </c>
      <c r="G1080" s="4">
        <v>35</v>
      </c>
      <c r="H1080" s="4">
        <v>149.30000000000001</v>
      </c>
      <c r="I1080" s="4">
        <v>17.36</v>
      </c>
      <c r="J1080" s="4">
        <v>131.94</v>
      </c>
      <c r="K1080" s="4">
        <v>4.51</v>
      </c>
      <c r="L1080" s="4">
        <v>218</v>
      </c>
      <c r="M1080" s="4" t="s">
        <v>28</v>
      </c>
      <c r="N1080" s="4" t="s">
        <v>38</v>
      </c>
      <c r="O1080" s="4" t="s">
        <v>44</v>
      </c>
      <c r="P1080" s="4" t="s">
        <v>75</v>
      </c>
    </row>
    <row r="1081" spans="1:16" x14ac:dyDescent="0.3">
      <c r="A1081" s="4">
        <v>2025</v>
      </c>
      <c r="B1081" s="4" t="s">
        <v>51</v>
      </c>
      <c r="C1081" s="4" t="s">
        <v>16</v>
      </c>
      <c r="D1081" s="4" t="s">
        <v>17</v>
      </c>
      <c r="E1081" s="4">
        <v>341</v>
      </c>
      <c r="F1081" s="4">
        <v>367</v>
      </c>
      <c r="G1081" s="4">
        <v>105</v>
      </c>
      <c r="H1081" s="4">
        <v>125.15</v>
      </c>
      <c r="I1081" s="4">
        <v>35.799999999999997</v>
      </c>
      <c r="J1081" s="4">
        <v>89.34</v>
      </c>
      <c r="K1081" s="4">
        <v>5.78</v>
      </c>
      <c r="L1081" s="4">
        <v>245</v>
      </c>
      <c r="M1081" s="4" t="s">
        <v>18</v>
      </c>
      <c r="N1081" s="4" t="s">
        <v>24</v>
      </c>
      <c r="O1081" s="4" t="s">
        <v>63</v>
      </c>
      <c r="P1081" s="4" t="s">
        <v>75</v>
      </c>
    </row>
    <row r="1082" spans="1:16" x14ac:dyDescent="0.3">
      <c r="A1082" s="4">
        <v>2023</v>
      </c>
      <c r="B1082" s="4" t="s">
        <v>21</v>
      </c>
      <c r="C1082" s="4" t="s">
        <v>16</v>
      </c>
      <c r="D1082" s="4" t="s">
        <v>17</v>
      </c>
      <c r="E1082" s="4">
        <v>497</v>
      </c>
      <c r="F1082" s="4">
        <v>110</v>
      </c>
      <c r="G1082" s="4">
        <v>50</v>
      </c>
      <c r="H1082" s="4">
        <v>54.67</v>
      </c>
      <c r="I1082" s="4">
        <v>24.85</v>
      </c>
      <c r="J1082" s="4">
        <v>29.82</v>
      </c>
      <c r="K1082" s="4">
        <v>5.2</v>
      </c>
      <c r="L1082" s="4">
        <v>201</v>
      </c>
      <c r="M1082" s="4" t="s">
        <v>18</v>
      </c>
      <c r="N1082" s="4" t="s">
        <v>31</v>
      </c>
      <c r="O1082" s="4" t="s">
        <v>42</v>
      </c>
      <c r="P1082" s="4" t="s">
        <v>73</v>
      </c>
    </row>
    <row r="1083" spans="1:16" x14ac:dyDescent="0.3">
      <c r="A1083" s="4">
        <v>2025</v>
      </c>
      <c r="B1083" s="4" t="s">
        <v>21</v>
      </c>
      <c r="C1083" s="4" t="s">
        <v>33</v>
      </c>
      <c r="D1083" s="4" t="s">
        <v>50</v>
      </c>
      <c r="E1083" s="4">
        <v>145</v>
      </c>
      <c r="F1083" s="4">
        <v>201</v>
      </c>
      <c r="G1083" s="4">
        <v>147</v>
      </c>
      <c r="H1083" s="4">
        <v>29.14</v>
      </c>
      <c r="I1083" s="4">
        <v>21.32</v>
      </c>
      <c r="J1083" s="4">
        <v>7.83</v>
      </c>
      <c r="K1083" s="4">
        <v>3.52</v>
      </c>
      <c r="L1083" s="4">
        <v>265</v>
      </c>
      <c r="M1083" s="4" t="s">
        <v>18</v>
      </c>
      <c r="N1083" s="4" t="s">
        <v>31</v>
      </c>
      <c r="O1083" s="4" t="s">
        <v>42</v>
      </c>
      <c r="P1083" s="4" t="s">
        <v>72</v>
      </c>
    </row>
    <row r="1084" spans="1:16" x14ac:dyDescent="0.3">
      <c r="A1084" s="4">
        <v>2023</v>
      </c>
      <c r="B1084" s="4" t="s">
        <v>29</v>
      </c>
      <c r="C1084" s="4" t="s">
        <v>22</v>
      </c>
      <c r="D1084" s="4" t="s">
        <v>55</v>
      </c>
      <c r="E1084" s="4">
        <v>304</v>
      </c>
      <c r="F1084" s="4">
        <v>282</v>
      </c>
      <c r="G1084" s="4">
        <v>41</v>
      </c>
      <c r="H1084" s="4">
        <v>85.73</v>
      </c>
      <c r="I1084" s="4">
        <v>12.46</v>
      </c>
      <c r="J1084" s="4">
        <v>73.260000000000005</v>
      </c>
      <c r="K1084" s="4">
        <v>0.27</v>
      </c>
      <c r="L1084" s="4">
        <v>129</v>
      </c>
      <c r="M1084" s="4" t="s">
        <v>37</v>
      </c>
      <c r="N1084" s="4" t="s">
        <v>24</v>
      </c>
      <c r="O1084" s="4" t="s">
        <v>63</v>
      </c>
      <c r="P1084" s="4" t="s">
        <v>72</v>
      </c>
    </row>
    <row r="1085" spans="1:16" x14ac:dyDescent="0.3">
      <c r="A1085" s="4">
        <v>2025</v>
      </c>
      <c r="B1085" s="4" t="s">
        <v>41</v>
      </c>
      <c r="C1085" s="4" t="s">
        <v>22</v>
      </c>
      <c r="D1085" s="4" t="s">
        <v>53</v>
      </c>
      <c r="E1085" s="4">
        <v>316</v>
      </c>
      <c r="F1085" s="4">
        <v>80</v>
      </c>
      <c r="G1085" s="4">
        <v>58</v>
      </c>
      <c r="H1085" s="4">
        <v>25.28</v>
      </c>
      <c r="I1085" s="4">
        <v>18.329999999999998</v>
      </c>
      <c r="J1085" s="4">
        <v>6.95</v>
      </c>
      <c r="K1085" s="4">
        <v>5.74</v>
      </c>
      <c r="L1085" s="4">
        <v>163</v>
      </c>
      <c r="M1085" s="4" t="s">
        <v>37</v>
      </c>
      <c r="N1085" s="4" t="s">
        <v>31</v>
      </c>
      <c r="O1085" s="4" t="s">
        <v>42</v>
      </c>
      <c r="P1085" s="4" t="s">
        <v>74</v>
      </c>
    </row>
    <row r="1086" spans="1:16" x14ac:dyDescent="0.3">
      <c r="A1086" s="4">
        <v>2023</v>
      </c>
      <c r="B1086" s="4" t="s">
        <v>39</v>
      </c>
      <c r="C1086" s="4" t="s">
        <v>16</v>
      </c>
      <c r="D1086" s="4" t="s">
        <v>30</v>
      </c>
      <c r="E1086" s="4">
        <v>376</v>
      </c>
      <c r="F1086" s="4">
        <v>469</v>
      </c>
      <c r="G1086" s="4">
        <v>329</v>
      </c>
      <c r="H1086" s="4">
        <v>176.34</v>
      </c>
      <c r="I1086" s="4">
        <v>123.7</v>
      </c>
      <c r="J1086" s="4">
        <v>52.64</v>
      </c>
      <c r="K1086" s="4">
        <v>0.73</v>
      </c>
      <c r="L1086" s="4">
        <v>122</v>
      </c>
      <c r="M1086" s="4" t="s">
        <v>28</v>
      </c>
      <c r="N1086" s="4" t="s">
        <v>19</v>
      </c>
      <c r="O1086" s="4" t="s">
        <v>62</v>
      </c>
      <c r="P1086" s="4" t="s">
        <v>74</v>
      </c>
    </row>
    <row r="1087" spans="1:16" x14ac:dyDescent="0.3">
      <c r="A1087" s="4">
        <v>2024</v>
      </c>
      <c r="B1087" s="4" t="s">
        <v>41</v>
      </c>
      <c r="C1087" s="4" t="s">
        <v>26</v>
      </c>
      <c r="D1087" s="4" t="s">
        <v>52</v>
      </c>
      <c r="E1087" s="4">
        <v>381</v>
      </c>
      <c r="F1087" s="4">
        <v>494</v>
      </c>
      <c r="G1087" s="4">
        <v>105</v>
      </c>
      <c r="H1087" s="4">
        <v>188.21</v>
      </c>
      <c r="I1087" s="4">
        <v>40.01</v>
      </c>
      <c r="J1087" s="4">
        <v>148.21</v>
      </c>
      <c r="K1087" s="4">
        <v>0</v>
      </c>
      <c r="L1087" s="4">
        <v>245</v>
      </c>
      <c r="M1087" s="4" t="s">
        <v>37</v>
      </c>
      <c r="N1087" s="4" t="s">
        <v>31</v>
      </c>
      <c r="O1087" s="4" t="s">
        <v>42</v>
      </c>
      <c r="P1087" s="4" t="s">
        <v>72</v>
      </c>
    </row>
    <row r="1088" spans="1:16" x14ac:dyDescent="0.3">
      <c r="A1088" s="4">
        <v>2024</v>
      </c>
      <c r="B1088" s="4" t="s">
        <v>29</v>
      </c>
      <c r="C1088" s="4" t="s">
        <v>16</v>
      </c>
      <c r="D1088" s="4" t="s">
        <v>17</v>
      </c>
      <c r="E1088" s="4">
        <v>251</v>
      </c>
      <c r="F1088" s="4">
        <v>377</v>
      </c>
      <c r="G1088" s="4">
        <v>189</v>
      </c>
      <c r="H1088" s="4">
        <v>94.63</v>
      </c>
      <c r="I1088" s="4">
        <v>47.44</v>
      </c>
      <c r="J1088" s="4">
        <v>47.19</v>
      </c>
      <c r="K1088" s="4">
        <v>24.13</v>
      </c>
      <c r="L1088" s="4">
        <v>287</v>
      </c>
      <c r="M1088" s="4" t="s">
        <v>37</v>
      </c>
      <c r="N1088" s="4" t="s">
        <v>19</v>
      </c>
      <c r="O1088" s="4" t="s">
        <v>62</v>
      </c>
      <c r="P1088" s="4" t="s">
        <v>71</v>
      </c>
    </row>
    <row r="1089" spans="1:16" x14ac:dyDescent="0.3">
      <c r="A1089" s="4">
        <v>2025</v>
      </c>
      <c r="B1089" s="4" t="s">
        <v>47</v>
      </c>
      <c r="C1089" s="4" t="s">
        <v>16</v>
      </c>
      <c r="D1089" s="4" t="s">
        <v>30</v>
      </c>
      <c r="E1089" s="4">
        <v>348</v>
      </c>
      <c r="F1089" s="4">
        <v>124</v>
      </c>
      <c r="G1089" s="4">
        <v>95</v>
      </c>
      <c r="H1089" s="4">
        <v>43.15</v>
      </c>
      <c r="I1089" s="4">
        <v>33.06</v>
      </c>
      <c r="J1089" s="4">
        <v>10.09</v>
      </c>
      <c r="K1089" s="4">
        <v>4.41</v>
      </c>
      <c r="L1089" s="4">
        <v>247</v>
      </c>
      <c r="M1089" s="4" t="s">
        <v>28</v>
      </c>
      <c r="N1089" s="4" t="s">
        <v>19</v>
      </c>
      <c r="O1089" s="4" t="s">
        <v>62</v>
      </c>
      <c r="P1089" s="4" t="s">
        <v>71</v>
      </c>
    </row>
    <row r="1090" spans="1:16" x14ac:dyDescent="0.3">
      <c r="A1090" s="4">
        <v>2025</v>
      </c>
      <c r="B1090" s="4" t="s">
        <v>15</v>
      </c>
      <c r="C1090" s="4" t="s">
        <v>35</v>
      </c>
      <c r="D1090" s="4" t="s">
        <v>40</v>
      </c>
      <c r="E1090" s="4">
        <v>299</v>
      </c>
      <c r="F1090" s="4">
        <v>439</v>
      </c>
      <c r="G1090" s="4">
        <v>315</v>
      </c>
      <c r="H1090" s="4">
        <v>131.26</v>
      </c>
      <c r="I1090" s="4">
        <v>94.19</v>
      </c>
      <c r="J1090" s="4">
        <v>37.08</v>
      </c>
      <c r="K1090" s="4">
        <v>21.26</v>
      </c>
      <c r="L1090" s="4">
        <v>278</v>
      </c>
      <c r="M1090" s="4" t="s">
        <v>18</v>
      </c>
      <c r="N1090" s="4" t="s">
        <v>24</v>
      </c>
      <c r="O1090" s="4" t="s">
        <v>63</v>
      </c>
      <c r="P1090" s="4" t="s">
        <v>74</v>
      </c>
    </row>
    <row r="1091" spans="1:16" x14ac:dyDescent="0.3">
      <c r="A1091" s="4">
        <v>2024</v>
      </c>
      <c r="B1091" s="4" t="s">
        <v>41</v>
      </c>
      <c r="C1091" s="4" t="s">
        <v>35</v>
      </c>
      <c r="D1091" s="4" t="s">
        <v>40</v>
      </c>
      <c r="E1091" s="4">
        <v>81</v>
      </c>
      <c r="F1091" s="4">
        <v>74</v>
      </c>
      <c r="G1091" s="4">
        <v>64</v>
      </c>
      <c r="H1091" s="4">
        <v>5.99</v>
      </c>
      <c r="I1091" s="4">
        <v>5.18</v>
      </c>
      <c r="J1091" s="4">
        <v>0.81</v>
      </c>
      <c r="K1091" s="4">
        <v>9.41</v>
      </c>
      <c r="L1091" s="4">
        <v>43</v>
      </c>
      <c r="M1091" s="4" t="s">
        <v>28</v>
      </c>
      <c r="N1091" s="4" t="s">
        <v>19</v>
      </c>
      <c r="O1091" s="4" t="s">
        <v>62</v>
      </c>
      <c r="P1091" s="4" t="s">
        <v>74</v>
      </c>
    </row>
    <row r="1092" spans="1:16" x14ac:dyDescent="0.3">
      <c r="A1092" s="4">
        <v>2025</v>
      </c>
      <c r="B1092" s="4" t="s">
        <v>51</v>
      </c>
      <c r="C1092" s="4" t="s">
        <v>35</v>
      </c>
      <c r="D1092" s="4" t="s">
        <v>40</v>
      </c>
      <c r="E1092" s="4">
        <v>490</v>
      </c>
      <c r="F1092" s="4">
        <v>82</v>
      </c>
      <c r="G1092" s="4">
        <v>59</v>
      </c>
      <c r="H1092" s="4">
        <v>40.18</v>
      </c>
      <c r="I1092" s="4">
        <v>28.91</v>
      </c>
      <c r="J1092" s="4">
        <v>11.27</v>
      </c>
      <c r="K1092" s="4">
        <v>0.41</v>
      </c>
      <c r="L1092" s="4">
        <v>66</v>
      </c>
      <c r="M1092" s="4" t="s">
        <v>37</v>
      </c>
      <c r="N1092" s="4" t="s">
        <v>19</v>
      </c>
      <c r="O1092" s="4" t="s">
        <v>62</v>
      </c>
      <c r="P1092" s="4" t="s">
        <v>74</v>
      </c>
    </row>
    <row r="1093" spans="1:16" x14ac:dyDescent="0.3">
      <c r="A1093" s="4">
        <v>2023</v>
      </c>
      <c r="B1093" s="4" t="s">
        <v>21</v>
      </c>
      <c r="C1093" s="4" t="s">
        <v>22</v>
      </c>
      <c r="D1093" s="4" t="s">
        <v>55</v>
      </c>
      <c r="E1093" s="4">
        <v>369</v>
      </c>
      <c r="F1093" s="4">
        <v>209</v>
      </c>
      <c r="G1093" s="4">
        <v>65</v>
      </c>
      <c r="H1093" s="4">
        <v>77.12</v>
      </c>
      <c r="I1093" s="4">
        <v>23.98</v>
      </c>
      <c r="J1093" s="4">
        <v>53.14</v>
      </c>
      <c r="K1093" s="4">
        <v>18.18</v>
      </c>
      <c r="L1093" s="4">
        <v>250</v>
      </c>
      <c r="M1093" s="4" t="s">
        <v>37</v>
      </c>
      <c r="N1093" s="4" t="s">
        <v>24</v>
      </c>
      <c r="O1093" s="4" t="s">
        <v>63</v>
      </c>
      <c r="P1093" s="4" t="s">
        <v>73</v>
      </c>
    </row>
    <row r="1094" spans="1:16" x14ac:dyDescent="0.3">
      <c r="A1094" s="4">
        <v>2025</v>
      </c>
      <c r="B1094" s="4" t="s">
        <v>21</v>
      </c>
      <c r="C1094" s="4" t="s">
        <v>26</v>
      </c>
      <c r="D1094" s="4" t="s">
        <v>27</v>
      </c>
      <c r="E1094" s="4">
        <v>434</v>
      </c>
      <c r="F1094" s="4">
        <v>308</v>
      </c>
      <c r="G1094" s="4">
        <v>225</v>
      </c>
      <c r="H1094" s="4">
        <v>133.66999999999999</v>
      </c>
      <c r="I1094" s="4">
        <v>97.65</v>
      </c>
      <c r="J1094" s="4">
        <v>36.020000000000003</v>
      </c>
      <c r="K1094" s="4">
        <v>0.38</v>
      </c>
      <c r="L1094" s="4">
        <v>191</v>
      </c>
      <c r="M1094" s="4" t="s">
        <v>18</v>
      </c>
      <c r="N1094" s="4" t="s">
        <v>38</v>
      </c>
      <c r="O1094" s="4" t="s">
        <v>44</v>
      </c>
      <c r="P1094" s="4" t="s">
        <v>75</v>
      </c>
    </row>
    <row r="1095" spans="1:16" x14ac:dyDescent="0.3">
      <c r="A1095" s="4">
        <v>2024</v>
      </c>
      <c r="B1095" s="4" t="s">
        <v>15</v>
      </c>
      <c r="C1095" s="4" t="s">
        <v>35</v>
      </c>
      <c r="D1095" s="4" t="s">
        <v>40</v>
      </c>
      <c r="E1095" s="4">
        <v>343</v>
      </c>
      <c r="F1095" s="4">
        <v>488</v>
      </c>
      <c r="G1095" s="4">
        <v>198</v>
      </c>
      <c r="H1095" s="4">
        <v>167.38</v>
      </c>
      <c r="I1095" s="4">
        <v>67.91</v>
      </c>
      <c r="J1095" s="4">
        <v>99.47</v>
      </c>
      <c r="K1095" s="4">
        <v>12.05</v>
      </c>
      <c r="L1095" s="4">
        <v>167</v>
      </c>
      <c r="M1095" s="4" t="s">
        <v>18</v>
      </c>
      <c r="N1095" s="4" t="s">
        <v>19</v>
      </c>
      <c r="O1095" s="4" t="s">
        <v>62</v>
      </c>
      <c r="P1095" s="4" t="s">
        <v>71</v>
      </c>
    </row>
    <row r="1096" spans="1:16" x14ac:dyDescent="0.3">
      <c r="A1096" s="4">
        <v>2023</v>
      </c>
      <c r="B1096" s="4" t="s">
        <v>46</v>
      </c>
      <c r="C1096" s="4" t="s">
        <v>26</v>
      </c>
      <c r="D1096" s="4" t="s">
        <v>27</v>
      </c>
      <c r="E1096" s="4">
        <v>78</v>
      </c>
      <c r="F1096" s="4">
        <v>69</v>
      </c>
      <c r="G1096" s="4">
        <v>49</v>
      </c>
      <c r="H1096" s="4">
        <v>5.38</v>
      </c>
      <c r="I1096" s="4">
        <v>3.82</v>
      </c>
      <c r="J1096" s="4">
        <v>1.56</v>
      </c>
      <c r="K1096" s="4">
        <v>23.81</v>
      </c>
      <c r="L1096" s="4">
        <v>243</v>
      </c>
      <c r="M1096" s="4" t="s">
        <v>18</v>
      </c>
      <c r="N1096" s="4" t="s">
        <v>19</v>
      </c>
      <c r="O1096" s="4" t="s">
        <v>62</v>
      </c>
      <c r="P1096" s="4" t="s">
        <v>74</v>
      </c>
    </row>
    <row r="1097" spans="1:16" x14ac:dyDescent="0.3">
      <c r="A1097" s="4">
        <v>2023</v>
      </c>
      <c r="B1097" s="4" t="s">
        <v>49</v>
      </c>
      <c r="C1097" s="4" t="s">
        <v>35</v>
      </c>
      <c r="D1097" s="4" t="s">
        <v>40</v>
      </c>
      <c r="E1097" s="4">
        <v>301</v>
      </c>
      <c r="F1097" s="4">
        <v>149</v>
      </c>
      <c r="G1097" s="4">
        <v>39</v>
      </c>
      <c r="H1097" s="4">
        <v>44.85</v>
      </c>
      <c r="I1097" s="4">
        <v>11.74</v>
      </c>
      <c r="J1097" s="4">
        <v>33.11</v>
      </c>
      <c r="K1097" s="4">
        <v>-5.55</v>
      </c>
      <c r="L1097" s="4">
        <v>125</v>
      </c>
      <c r="M1097" s="4" t="s">
        <v>28</v>
      </c>
      <c r="N1097" s="4" t="s">
        <v>24</v>
      </c>
      <c r="O1097" s="4" t="s">
        <v>63</v>
      </c>
      <c r="P1097" s="4" t="s">
        <v>74</v>
      </c>
    </row>
    <row r="1098" spans="1:16" x14ac:dyDescent="0.3">
      <c r="A1098" s="4">
        <v>2025</v>
      </c>
      <c r="B1098" s="4" t="s">
        <v>47</v>
      </c>
      <c r="C1098" s="4" t="s">
        <v>35</v>
      </c>
      <c r="D1098" s="4" t="s">
        <v>43</v>
      </c>
      <c r="E1098" s="4">
        <v>117</v>
      </c>
      <c r="F1098" s="4">
        <v>409</v>
      </c>
      <c r="G1098" s="4">
        <v>157</v>
      </c>
      <c r="H1098" s="4">
        <v>47.85</v>
      </c>
      <c r="I1098" s="4">
        <v>18.37</v>
      </c>
      <c r="J1098" s="4">
        <v>29.48</v>
      </c>
      <c r="K1098" s="4">
        <v>4</v>
      </c>
      <c r="L1098" s="4">
        <v>235</v>
      </c>
      <c r="M1098" s="4" t="s">
        <v>18</v>
      </c>
      <c r="N1098" s="4" t="s">
        <v>31</v>
      </c>
      <c r="O1098" s="4" t="s">
        <v>42</v>
      </c>
      <c r="P1098" s="4" t="s">
        <v>72</v>
      </c>
    </row>
    <row r="1099" spans="1:16" x14ac:dyDescent="0.3">
      <c r="A1099" s="4">
        <v>2023</v>
      </c>
      <c r="B1099" s="4" t="s">
        <v>15</v>
      </c>
      <c r="C1099" s="4" t="s">
        <v>26</v>
      </c>
      <c r="D1099" s="4" t="s">
        <v>27</v>
      </c>
      <c r="E1099" s="4">
        <v>130</v>
      </c>
      <c r="F1099" s="4">
        <v>190</v>
      </c>
      <c r="G1099" s="4">
        <v>157</v>
      </c>
      <c r="H1099" s="4">
        <v>24.7</v>
      </c>
      <c r="I1099" s="4">
        <v>20.41</v>
      </c>
      <c r="J1099" s="4">
        <v>4.29</v>
      </c>
      <c r="K1099" s="4">
        <v>6.87</v>
      </c>
      <c r="L1099" s="4">
        <v>110</v>
      </c>
      <c r="M1099" s="4" t="s">
        <v>18</v>
      </c>
      <c r="N1099" s="4" t="s">
        <v>24</v>
      </c>
      <c r="O1099" s="4" t="s">
        <v>63</v>
      </c>
      <c r="P1099" s="4" t="s">
        <v>76</v>
      </c>
    </row>
    <row r="1100" spans="1:16" x14ac:dyDescent="0.3">
      <c r="A1100" s="4">
        <v>2023</v>
      </c>
      <c r="B1100" s="4" t="s">
        <v>46</v>
      </c>
      <c r="C1100" s="4" t="s">
        <v>22</v>
      </c>
      <c r="D1100" s="4" t="s">
        <v>55</v>
      </c>
      <c r="E1100" s="4">
        <v>192</v>
      </c>
      <c r="F1100" s="4">
        <v>71</v>
      </c>
      <c r="G1100" s="4">
        <v>58</v>
      </c>
      <c r="H1100" s="4">
        <v>13.63</v>
      </c>
      <c r="I1100" s="4">
        <v>11.14</v>
      </c>
      <c r="J1100" s="4">
        <v>2.5</v>
      </c>
      <c r="K1100" s="4">
        <v>10.28</v>
      </c>
      <c r="L1100" s="4">
        <v>141</v>
      </c>
      <c r="M1100" s="4" t="s">
        <v>37</v>
      </c>
      <c r="N1100" s="4" t="s">
        <v>19</v>
      </c>
      <c r="O1100" s="4" t="s">
        <v>62</v>
      </c>
      <c r="P1100" s="4" t="s">
        <v>73</v>
      </c>
    </row>
    <row r="1101" spans="1:16" x14ac:dyDescent="0.3">
      <c r="A1101" s="4">
        <v>2024</v>
      </c>
      <c r="B1101" s="4" t="s">
        <v>47</v>
      </c>
      <c r="C1101" s="4" t="s">
        <v>35</v>
      </c>
      <c r="D1101" s="4" t="s">
        <v>36</v>
      </c>
      <c r="E1101" s="4">
        <v>167</v>
      </c>
      <c r="F1101" s="4">
        <v>360</v>
      </c>
      <c r="G1101" s="4">
        <v>67</v>
      </c>
      <c r="H1101" s="4">
        <v>60.12</v>
      </c>
      <c r="I1101" s="4">
        <v>11.19</v>
      </c>
      <c r="J1101" s="4">
        <v>48.93</v>
      </c>
      <c r="K1101" s="4">
        <v>14.04</v>
      </c>
      <c r="L1101" s="4">
        <v>267</v>
      </c>
      <c r="M1101" s="4" t="s">
        <v>18</v>
      </c>
      <c r="N1101" s="4" t="s">
        <v>31</v>
      </c>
      <c r="O1101" s="4" t="s">
        <v>42</v>
      </c>
      <c r="P1101" s="4" t="s">
        <v>73</v>
      </c>
    </row>
    <row r="1102" spans="1:16" x14ac:dyDescent="0.3">
      <c r="A1102" s="4">
        <v>2025</v>
      </c>
      <c r="B1102" s="4" t="s">
        <v>39</v>
      </c>
      <c r="C1102" s="4" t="s">
        <v>26</v>
      </c>
      <c r="D1102" s="4" t="s">
        <v>27</v>
      </c>
      <c r="E1102" s="4">
        <v>266</v>
      </c>
      <c r="F1102" s="4">
        <v>160</v>
      </c>
      <c r="G1102" s="4">
        <v>66</v>
      </c>
      <c r="H1102" s="4">
        <v>42.56</v>
      </c>
      <c r="I1102" s="4">
        <v>17.559999999999999</v>
      </c>
      <c r="J1102" s="4">
        <v>25</v>
      </c>
      <c r="K1102" s="4">
        <v>-5.3</v>
      </c>
      <c r="L1102" s="4">
        <v>47</v>
      </c>
      <c r="M1102" s="4" t="s">
        <v>37</v>
      </c>
      <c r="N1102" s="4" t="s">
        <v>31</v>
      </c>
      <c r="O1102" s="4" t="s">
        <v>42</v>
      </c>
      <c r="P1102" s="4" t="s">
        <v>72</v>
      </c>
    </row>
    <row r="1103" spans="1:16" x14ac:dyDescent="0.3">
      <c r="A1103" s="4">
        <v>2023</v>
      </c>
      <c r="B1103" s="4" t="s">
        <v>32</v>
      </c>
      <c r="C1103" s="4" t="s">
        <v>35</v>
      </c>
      <c r="D1103" s="4" t="s">
        <v>40</v>
      </c>
      <c r="E1103" s="4">
        <v>341</v>
      </c>
      <c r="F1103" s="4">
        <v>56</v>
      </c>
      <c r="G1103" s="4">
        <v>32</v>
      </c>
      <c r="H1103" s="4">
        <v>19.100000000000001</v>
      </c>
      <c r="I1103" s="4">
        <v>10.91</v>
      </c>
      <c r="J1103" s="4">
        <v>8.18</v>
      </c>
      <c r="K1103" s="4">
        <v>22.81</v>
      </c>
      <c r="L1103" s="4">
        <v>274</v>
      </c>
      <c r="M1103" s="4" t="s">
        <v>28</v>
      </c>
      <c r="N1103" s="4" t="s">
        <v>24</v>
      </c>
      <c r="O1103" s="4" t="s">
        <v>63</v>
      </c>
      <c r="P1103" s="4" t="s">
        <v>76</v>
      </c>
    </row>
    <row r="1104" spans="1:16" x14ac:dyDescent="0.3">
      <c r="A1104" s="4">
        <v>2024</v>
      </c>
      <c r="B1104" s="4" t="s">
        <v>41</v>
      </c>
      <c r="C1104" s="4" t="s">
        <v>26</v>
      </c>
      <c r="D1104" s="4" t="s">
        <v>58</v>
      </c>
      <c r="E1104" s="4">
        <v>232</v>
      </c>
      <c r="F1104" s="4">
        <v>459</v>
      </c>
      <c r="G1104" s="4">
        <v>430</v>
      </c>
      <c r="H1104" s="4">
        <v>106.49</v>
      </c>
      <c r="I1104" s="4">
        <v>99.76</v>
      </c>
      <c r="J1104" s="4">
        <v>6.73</v>
      </c>
      <c r="K1104" s="4">
        <v>-0.18</v>
      </c>
      <c r="L1104" s="4">
        <v>63</v>
      </c>
      <c r="M1104" s="4" t="s">
        <v>28</v>
      </c>
      <c r="N1104" s="4" t="s">
        <v>24</v>
      </c>
      <c r="O1104" s="4" t="s">
        <v>63</v>
      </c>
      <c r="P1104" s="4" t="s">
        <v>73</v>
      </c>
    </row>
    <row r="1105" spans="1:16" x14ac:dyDescent="0.3">
      <c r="A1105" s="4">
        <v>2025</v>
      </c>
      <c r="B1105" s="4" t="s">
        <v>45</v>
      </c>
      <c r="C1105" s="4" t="s">
        <v>16</v>
      </c>
      <c r="D1105" s="4" t="s">
        <v>30</v>
      </c>
      <c r="E1105" s="4">
        <v>60</v>
      </c>
      <c r="F1105" s="4">
        <v>257</v>
      </c>
      <c r="G1105" s="4">
        <v>128</v>
      </c>
      <c r="H1105" s="4">
        <v>15.42</v>
      </c>
      <c r="I1105" s="4">
        <v>7.68</v>
      </c>
      <c r="J1105" s="4">
        <v>7.74</v>
      </c>
      <c r="K1105" s="4">
        <v>22.77</v>
      </c>
      <c r="L1105" s="4">
        <v>289</v>
      </c>
      <c r="M1105" s="4" t="s">
        <v>37</v>
      </c>
      <c r="N1105" s="4" t="s">
        <v>19</v>
      </c>
      <c r="O1105" s="4" t="s">
        <v>62</v>
      </c>
      <c r="P1105" s="4" t="s">
        <v>71</v>
      </c>
    </row>
    <row r="1106" spans="1:16" x14ac:dyDescent="0.3">
      <c r="A1106" s="4">
        <v>2025</v>
      </c>
      <c r="B1106" s="4" t="s">
        <v>51</v>
      </c>
      <c r="C1106" s="4" t="s">
        <v>16</v>
      </c>
      <c r="D1106" s="4" t="s">
        <v>30</v>
      </c>
      <c r="E1106" s="4">
        <v>172</v>
      </c>
      <c r="F1106" s="4">
        <v>308</v>
      </c>
      <c r="G1106" s="4">
        <v>259</v>
      </c>
      <c r="H1106" s="4">
        <v>52.98</v>
      </c>
      <c r="I1106" s="4">
        <v>44.55</v>
      </c>
      <c r="J1106" s="4">
        <v>8.43</v>
      </c>
      <c r="K1106" s="4">
        <v>-6.85</v>
      </c>
      <c r="L1106" s="4">
        <v>97</v>
      </c>
      <c r="M1106" s="4" t="s">
        <v>37</v>
      </c>
      <c r="N1106" s="4" t="s">
        <v>31</v>
      </c>
      <c r="O1106" s="4" t="s">
        <v>42</v>
      </c>
      <c r="P1106" s="4" t="s">
        <v>76</v>
      </c>
    </row>
    <row r="1107" spans="1:16" x14ac:dyDescent="0.3">
      <c r="A1107" s="4">
        <v>2025</v>
      </c>
      <c r="B1107" s="4" t="s">
        <v>49</v>
      </c>
      <c r="C1107" s="4" t="s">
        <v>33</v>
      </c>
      <c r="D1107" s="4" t="s">
        <v>48</v>
      </c>
      <c r="E1107" s="4">
        <v>450</v>
      </c>
      <c r="F1107" s="4">
        <v>273</v>
      </c>
      <c r="G1107" s="4">
        <v>142</v>
      </c>
      <c r="H1107" s="4">
        <v>122.85</v>
      </c>
      <c r="I1107" s="4">
        <v>63.9</v>
      </c>
      <c r="J1107" s="4">
        <v>58.95</v>
      </c>
      <c r="K1107" s="4">
        <v>-9.23</v>
      </c>
      <c r="L1107" s="4">
        <v>42</v>
      </c>
      <c r="M1107" s="4" t="s">
        <v>18</v>
      </c>
      <c r="N1107" s="4" t="s">
        <v>31</v>
      </c>
      <c r="O1107" s="4" t="s">
        <v>42</v>
      </c>
      <c r="P1107" s="4" t="s">
        <v>75</v>
      </c>
    </row>
    <row r="1108" spans="1:16" x14ac:dyDescent="0.3">
      <c r="A1108" s="4">
        <v>2025</v>
      </c>
      <c r="B1108" s="4" t="s">
        <v>51</v>
      </c>
      <c r="C1108" s="4" t="s">
        <v>16</v>
      </c>
      <c r="D1108" s="4" t="s">
        <v>17</v>
      </c>
      <c r="E1108" s="4">
        <v>247</v>
      </c>
      <c r="F1108" s="4">
        <v>160</v>
      </c>
      <c r="G1108" s="4">
        <v>127</v>
      </c>
      <c r="H1108" s="4">
        <v>39.520000000000003</v>
      </c>
      <c r="I1108" s="4">
        <v>31.37</v>
      </c>
      <c r="J1108" s="4">
        <v>8.15</v>
      </c>
      <c r="K1108" s="4">
        <v>19.63</v>
      </c>
      <c r="L1108" s="4">
        <v>199</v>
      </c>
      <c r="M1108" s="4" t="s">
        <v>37</v>
      </c>
      <c r="N1108" s="4" t="s">
        <v>38</v>
      </c>
      <c r="O1108" s="4" t="s">
        <v>44</v>
      </c>
      <c r="P1108" s="4" t="s">
        <v>75</v>
      </c>
    </row>
    <row r="1109" spans="1:16" x14ac:dyDescent="0.3">
      <c r="A1109" s="4">
        <v>2024</v>
      </c>
      <c r="B1109" s="4" t="s">
        <v>41</v>
      </c>
      <c r="C1109" s="4" t="s">
        <v>33</v>
      </c>
      <c r="D1109" s="4" t="s">
        <v>48</v>
      </c>
      <c r="E1109" s="4">
        <v>456</v>
      </c>
      <c r="F1109" s="4">
        <v>408</v>
      </c>
      <c r="G1109" s="4">
        <v>331</v>
      </c>
      <c r="H1109" s="4">
        <v>186.05</v>
      </c>
      <c r="I1109" s="4">
        <v>150.94</v>
      </c>
      <c r="J1109" s="4">
        <v>35.11</v>
      </c>
      <c r="K1109" s="4">
        <v>7.1</v>
      </c>
      <c r="L1109" s="4">
        <v>214</v>
      </c>
      <c r="M1109" s="4" t="s">
        <v>37</v>
      </c>
      <c r="N1109" s="4" t="s">
        <v>19</v>
      </c>
      <c r="O1109" s="4" t="s">
        <v>62</v>
      </c>
      <c r="P1109" s="4" t="s">
        <v>72</v>
      </c>
    </row>
    <row r="1110" spans="1:16" x14ac:dyDescent="0.3">
      <c r="A1110" s="4">
        <v>2024</v>
      </c>
      <c r="B1110" s="4" t="s">
        <v>57</v>
      </c>
      <c r="C1110" s="4" t="s">
        <v>16</v>
      </c>
      <c r="D1110" s="4" t="s">
        <v>17</v>
      </c>
      <c r="E1110" s="4">
        <v>160</v>
      </c>
      <c r="F1110" s="4">
        <v>467</v>
      </c>
      <c r="G1110" s="4">
        <v>154</v>
      </c>
      <c r="H1110" s="4">
        <v>74.72</v>
      </c>
      <c r="I1110" s="4">
        <v>24.64</v>
      </c>
      <c r="J1110" s="4">
        <v>50.08</v>
      </c>
      <c r="K1110" s="4">
        <v>-7.8</v>
      </c>
      <c r="L1110" s="4">
        <v>133</v>
      </c>
      <c r="M1110" s="4" t="s">
        <v>28</v>
      </c>
      <c r="N1110" s="4" t="s">
        <v>31</v>
      </c>
      <c r="O1110" s="4" t="s">
        <v>42</v>
      </c>
      <c r="P1110" s="4" t="s">
        <v>75</v>
      </c>
    </row>
    <row r="1111" spans="1:16" x14ac:dyDescent="0.3">
      <c r="A1111" s="4">
        <v>2025</v>
      </c>
      <c r="B1111" s="4" t="s">
        <v>21</v>
      </c>
      <c r="C1111" s="4" t="s">
        <v>26</v>
      </c>
      <c r="D1111" s="4" t="s">
        <v>27</v>
      </c>
      <c r="E1111" s="4">
        <v>230</v>
      </c>
      <c r="F1111" s="4">
        <v>121</v>
      </c>
      <c r="G1111" s="4">
        <v>54</v>
      </c>
      <c r="H1111" s="4">
        <v>27.83</v>
      </c>
      <c r="I1111" s="4">
        <v>12.42</v>
      </c>
      <c r="J1111" s="4">
        <v>15.41</v>
      </c>
      <c r="K1111" s="4">
        <v>17.93</v>
      </c>
      <c r="L1111" s="4">
        <v>157</v>
      </c>
      <c r="M1111" s="4" t="s">
        <v>18</v>
      </c>
      <c r="N1111" s="4" t="s">
        <v>31</v>
      </c>
      <c r="O1111" s="4" t="s">
        <v>42</v>
      </c>
      <c r="P1111" s="4" t="s">
        <v>76</v>
      </c>
    </row>
    <row r="1112" spans="1:16" x14ac:dyDescent="0.3">
      <c r="A1112" s="4">
        <v>2024</v>
      </c>
      <c r="B1112" s="4" t="s">
        <v>49</v>
      </c>
      <c r="C1112" s="4" t="s">
        <v>22</v>
      </c>
      <c r="D1112" s="4" t="s">
        <v>55</v>
      </c>
      <c r="E1112" s="4">
        <v>290</v>
      </c>
      <c r="F1112" s="4">
        <v>227</v>
      </c>
      <c r="G1112" s="4">
        <v>57</v>
      </c>
      <c r="H1112" s="4">
        <v>65.83</v>
      </c>
      <c r="I1112" s="4">
        <v>16.53</v>
      </c>
      <c r="J1112" s="4">
        <v>49.3</v>
      </c>
      <c r="K1112" s="4">
        <v>10.46</v>
      </c>
      <c r="L1112" s="4">
        <v>203</v>
      </c>
      <c r="M1112" s="4" t="s">
        <v>28</v>
      </c>
      <c r="N1112" s="4" t="s">
        <v>38</v>
      </c>
      <c r="O1112" s="4" t="s">
        <v>44</v>
      </c>
      <c r="P1112" s="4" t="s">
        <v>74</v>
      </c>
    </row>
    <row r="1113" spans="1:16" x14ac:dyDescent="0.3">
      <c r="A1113" s="4">
        <v>2023</v>
      </c>
      <c r="B1113" s="4" t="s">
        <v>49</v>
      </c>
      <c r="C1113" s="4" t="s">
        <v>33</v>
      </c>
      <c r="D1113" s="4" t="s">
        <v>50</v>
      </c>
      <c r="E1113" s="4">
        <v>494</v>
      </c>
      <c r="F1113" s="4">
        <v>349</v>
      </c>
      <c r="G1113" s="4">
        <v>170</v>
      </c>
      <c r="H1113" s="4">
        <v>172.41</v>
      </c>
      <c r="I1113" s="4">
        <v>83.98</v>
      </c>
      <c r="J1113" s="4">
        <v>88.43</v>
      </c>
      <c r="K1113" s="4">
        <v>-3.58</v>
      </c>
      <c r="L1113" s="4">
        <v>237</v>
      </c>
      <c r="M1113" s="4" t="s">
        <v>18</v>
      </c>
      <c r="N1113" s="4" t="s">
        <v>38</v>
      </c>
      <c r="O1113" s="4" t="s">
        <v>44</v>
      </c>
      <c r="P1113" s="4" t="s">
        <v>76</v>
      </c>
    </row>
    <row r="1114" spans="1:16" x14ac:dyDescent="0.3">
      <c r="A1114" s="4">
        <v>2024</v>
      </c>
      <c r="B1114" s="4" t="s">
        <v>32</v>
      </c>
      <c r="C1114" s="4" t="s">
        <v>33</v>
      </c>
      <c r="D1114" s="4" t="s">
        <v>34</v>
      </c>
      <c r="E1114" s="4">
        <v>286</v>
      </c>
      <c r="F1114" s="4">
        <v>247</v>
      </c>
      <c r="G1114" s="4">
        <v>44</v>
      </c>
      <c r="H1114" s="4">
        <v>70.64</v>
      </c>
      <c r="I1114" s="4">
        <v>12.58</v>
      </c>
      <c r="J1114" s="4">
        <v>58.06</v>
      </c>
      <c r="K1114" s="4">
        <v>19.690000000000001</v>
      </c>
      <c r="L1114" s="4">
        <v>200</v>
      </c>
      <c r="M1114" s="4" t="s">
        <v>28</v>
      </c>
      <c r="N1114" s="4" t="s">
        <v>38</v>
      </c>
      <c r="O1114" s="4" t="s">
        <v>44</v>
      </c>
      <c r="P1114" s="4" t="s">
        <v>74</v>
      </c>
    </row>
    <row r="1115" spans="1:16" x14ac:dyDescent="0.3">
      <c r="A1115" s="4">
        <v>2024</v>
      </c>
      <c r="B1115" s="4" t="s">
        <v>41</v>
      </c>
      <c r="C1115" s="4" t="s">
        <v>33</v>
      </c>
      <c r="D1115" s="4" t="s">
        <v>48</v>
      </c>
      <c r="E1115" s="4">
        <v>85</v>
      </c>
      <c r="F1115" s="4">
        <v>53</v>
      </c>
      <c r="G1115" s="4">
        <v>42</v>
      </c>
      <c r="H1115" s="4">
        <v>4.5</v>
      </c>
      <c r="I1115" s="4">
        <v>3.57</v>
      </c>
      <c r="J1115" s="4">
        <v>0.94</v>
      </c>
      <c r="K1115" s="4">
        <v>24.04</v>
      </c>
      <c r="L1115" s="4">
        <v>107</v>
      </c>
      <c r="M1115" s="4" t="s">
        <v>37</v>
      </c>
      <c r="N1115" s="4" t="s">
        <v>38</v>
      </c>
      <c r="O1115" s="4" t="s">
        <v>44</v>
      </c>
      <c r="P1115" s="4" t="s">
        <v>72</v>
      </c>
    </row>
    <row r="1116" spans="1:16" x14ac:dyDescent="0.3">
      <c r="A1116" s="4">
        <v>2024</v>
      </c>
      <c r="B1116" s="4" t="s">
        <v>57</v>
      </c>
      <c r="C1116" s="4" t="s">
        <v>16</v>
      </c>
      <c r="D1116" s="4" t="s">
        <v>56</v>
      </c>
      <c r="E1116" s="4">
        <v>250</v>
      </c>
      <c r="F1116" s="4">
        <v>206</v>
      </c>
      <c r="G1116" s="4">
        <v>151</v>
      </c>
      <c r="H1116" s="4">
        <v>51.5</v>
      </c>
      <c r="I1116" s="4">
        <v>37.75</v>
      </c>
      <c r="J1116" s="4">
        <v>13.75</v>
      </c>
      <c r="K1116" s="4">
        <v>-8.0299999999999994</v>
      </c>
      <c r="L1116" s="4">
        <v>146</v>
      </c>
      <c r="M1116" s="4" t="s">
        <v>28</v>
      </c>
      <c r="N1116" s="4" t="s">
        <v>19</v>
      </c>
      <c r="O1116" s="4" t="s">
        <v>62</v>
      </c>
      <c r="P1116" s="4" t="s">
        <v>76</v>
      </c>
    </row>
    <row r="1117" spans="1:16" x14ac:dyDescent="0.3">
      <c r="A1117" s="4">
        <v>2024</v>
      </c>
      <c r="B1117" s="4" t="s">
        <v>21</v>
      </c>
      <c r="C1117" s="4" t="s">
        <v>16</v>
      </c>
      <c r="D1117" s="4" t="s">
        <v>17</v>
      </c>
      <c r="E1117" s="4">
        <v>450</v>
      </c>
      <c r="F1117" s="4">
        <v>169</v>
      </c>
      <c r="G1117" s="4">
        <v>139</v>
      </c>
      <c r="H1117" s="4">
        <v>76.05</v>
      </c>
      <c r="I1117" s="4">
        <v>62.55</v>
      </c>
      <c r="J1117" s="4">
        <v>13.5</v>
      </c>
      <c r="K1117" s="4">
        <v>1.9</v>
      </c>
      <c r="L1117" s="4">
        <v>49</v>
      </c>
      <c r="M1117" s="4" t="s">
        <v>37</v>
      </c>
      <c r="N1117" s="4" t="s">
        <v>19</v>
      </c>
      <c r="O1117" s="4" t="s">
        <v>62</v>
      </c>
      <c r="P1117" s="4" t="s">
        <v>71</v>
      </c>
    </row>
    <row r="1118" spans="1:16" x14ac:dyDescent="0.3">
      <c r="A1118" s="4">
        <v>2024</v>
      </c>
      <c r="B1118" s="4" t="s">
        <v>45</v>
      </c>
      <c r="C1118" s="4" t="s">
        <v>26</v>
      </c>
      <c r="D1118" s="4" t="s">
        <v>58</v>
      </c>
      <c r="E1118" s="4">
        <v>95</v>
      </c>
      <c r="F1118" s="4">
        <v>122</v>
      </c>
      <c r="G1118" s="4">
        <v>77</v>
      </c>
      <c r="H1118" s="4">
        <v>11.59</v>
      </c>
      <c r="I1118" s="4">
        <v>7.32</v>
      </c>
      <c r="J1118" s="4">
        <v>4.2699999999999996</v>
      </c>
      <c r="K1118" s="4">
        <v>18.63</v>
      </c>
      <c r="L1118" s="4">
        <v>278</v>
      </c>
      <c r="M1118" s="4" t="s">
        <v>18</v>
      </c>
      <c r="N1118" s="4" t="s">
        <v>38</v>
      </c>
      <c r="O1118" s="4" t="s">
        <v>44</v>
      </c>
      <c r="P1118" s="4" t="s">
        <v>76</v>
      </c>
    </row>
    <row r="1119" spans="1:16" x14ac:dyDescent="0.3">
      <c r="A1119" s="4">
        <v>2025</v>
      </c>
      <c r="B1119" s="4" t="s">
        <v>49</v>
      </c>
      <c r="C1119" s="4" t="s">
        <v>26</v>
      </c>
      <c r="D1119" s="4" t="s">
        <v>58</v>
      </c>
      <c r="E1119" s="4">
        <v>340</v>
      </c>
      <c r="F1119" s="4">
        <v>168</v>
      </c>
      <c r="G1119" s="4">
        <v>65</v>
      </c>
      <c r="H1119" s="4">
        <v>57.12</v>
      </c>
      <c r="I1119" s="4">
        <v>22.1</v>
      </c>
      <c r="J1119" s="4">
        <v>35.020000000000003</v>
      </c>
      <c r="K1119" s="4">
        <v>17.38</v>
      </c>
      <c r="L1119" s="4">
        <v>78</v>
      </c>
      <c r="M1119" s="4" t="s">
        <v>18</v>
      </c>
      <c r="N1119" s="4" t="s">
        <v>24</v>
      </c>
      <c r="O1119" s="4" t="s">
        <v>63</v>
      </c>
      <c r="P1119" s="4" t="s">
        <v>72</v>
      </c>
    </row>
    <row r="1120" spans="1:16" x14ac:dyDescent="0.3">
      <c r="A1120" s="4">
        <v>2024</v>
      </c>
      <c r="B1120" s="4" t="s">
        <v>45</v>
      </c>
      <c r="C1120" s="4" t="s">
        <v>22</v>
      </c>
      <c r="D1120" s="4" t="s">
        <v>59</v>
      </c>
      <c r="E1120" s="4">
        <v>137</v>
      </c>
      <c r="F1120" s="4">
        <v>415</v>
      </c>
      <c r="G1120" s="4">
        <v>129</v>
      </c>
      <c r="H1120" s="4">
        <v>56.85</v>
      </c>
      <c r="I1120" s="4">
        <v>17.670000000000002</v>
      </c>
      <c r="J1120" s="4">
        <v>39.18</v>
      </c>
      <c r="K1120" s="4">
        <v>24.11</v>
      </c>
      <c r="L1120" s="4">
        <v>80</v>
      </c>
      <c r="M1120" s="4" t="s">
        <v>37</v>
      </c>
      <c r="N1120" s="4" t="s">
        <v>19</v>
      </c>
      <c r="O1120" s="4" t="s">
        <v>62</v>
      </c>
      <c r="P1120" s="4" t="s">
        <v>71</v>
      </c>
    </row>
    <row r="1121" spans="1:16" x14ac:dyDescent="0.3">
      <c r="A1121" s="4">
        <v>2024</v>
      </c>
      <c r="B1121" s="4" t="s">
        <v>46</v>
      </c>
      <c r="C1121" s="4" t="s">
        <v>26</v>
      </c>
      <c r="D1121" s="4" t="s">
        <v>58</v>
      </c>
      <c r="E1121" s="4">
        <v>53</v>
      </c>
      <c r="F1121" s="4">
        <v>50</v>
      </c>
      <c r="G1121" s="4">
        <v>33</v>
      </c>
      <c r="H1121" s="4">
        <v>2.65</v>
      </c>
      <c r="I1121" s="4">
        <v>1.75</v>
      </c>
      <c r="J1121" s="4">
        <v>0.9</v>
      </c>
      <c r="K1121" s="4">
        <v>-1.66</v>
      </c>
      <c r="L1121" s="4">
        <v>254</v>
      </c>
      <c r="M1121" s="4" t="s">
        <v>28</v>
      </c>
      <c r="N1121" s="4" t="s">
        <v>31</v>
      </c>
      <c r="O1121" s="4" t="s">
        <v>42</v>
      </c>
      <c r="P1121" s="4" t="s">
        <v>71</v>
      </c>
    </row>
    <row r="1122" spans="1:16" x14ac:dyDescent="0.3">
      <c r="A1122" s="4">
        <v>2024</v>
      </c>
      <c r="B1122" s="4" t="s">
        <v>39</v>
      </c>
      <c r="C1122" s="4" t="s">
        <v>22</v>
      </c>
      <c r="D1122" s="4" t="s">
        <v>53</v>
      </c>
      <c r="E1122" s="4">
        <v>425</v>
      </c>
      <c r="F1122" s="4">
        <v>185</v>
      </c>
      <c r="G1122" s="4">
        <v>113</v>
      </c>
      <c r="H1122" s="4">
        <v>78.62</v>
      </c>
      <c r="I1122" s="4">
        <v>48.02</v>
      </c>
      <c r="J1122" s="4">
        <v>30.6</v>
      </c>
      <c r="K1122" s="4">
        <v>14.06</v>
      </c>
      <c r="L1122" s="4">
        <v>123</v>
      </c>
      <c r="M1122" s="4" t="s">
        <v>37</v>
      </c>
      <c r="N1122" s="4" t="s">
        <v>31</v>
      </c>
      <c r="O1122" s="4" t="s">
        <v>42</v>
      </c>
      <c r="P1122" s="4" t="s">
        <v>75</v>
      </c>
    </row>
    <row r="1123" spans="1:16" x14ac:dyDescent="0.3">
      <c r="A1123" s="4">
        <v>2024</v>
      </c>
      <c r="B1123" s="4" t="s">
        <v>49</v>
      </c>
      <c r="C1123" s="4" t="s">
        <v>35</v>
      </c>
      <c r="D1123" s="4" t="s">
        <v>40</v>
      </c>
      <c r="E1123" s="4">
        <v>470</v>
      </c>
      <c r="F1123" s="4">
        <v>280</v>
      </c>
      <c r="G1123" s="4">
        <v>161</v>
      </c>
      <c r="H1123" s="4">
        <v>131.6</v>
      </c>
      <c r="I1123" s="4">
        <v>75.67</v>
      </c>
      <c r="J1123" s="4">
        <v>55.93</v>
      </c>
      <c r="K1123" s="4">
        <v>1.93</v>
      </c>
      <c r="L1123" s="4">
        <v>150</v>
      </c>
      <c r="M1123" s="4" t="s">
        <v>37</v>
      </c>
      <c r="N1123" s="4" t="s">
        <v>24</v>
      </c>
      <c r="O1123" s="4" t="s">
        <v>63</v>
      </c>
      <c r="P1123" s="4" t="s">
        <v>73</v>
      </c>
    </row>
    <row r="1124" spans="1:16" x14ac:dyDescent="0.3">
      <c r="A1124" s="4">
        <v>2024</v>
      </c>
      <c r="B1124" s="4" t="s">
        <v>46</v>
      </c>
      <c r="C1124" s="4" t="s">
        <v>22</v>
      </c>
      <c r="D1124" s="4" t="s">
        <v>53</v>
      </c>
      <c r="E1124" s="4">
        <v>50</v>
      </c>
      <c r="F1124" s="4">
        <v>195</v>
      </c>
      <c r="G1124" s="4">
        <v>104</v>
      </c>
      <c r="H1124" s="4">
        <v>9.75</v>
      </c>
      <c r="I1124" s="4">
        <v>5.2</v>
      </c>
      <c r="J1124" s="4">
        <v>4.55</v>
      </c>
      <c r="K1124" s="4">
        <v>14.06</v>
      </c>
      <c r="L1124" s="4">
        <v>213</v>
      </c>
      <c r="M1124" s="4" t="s">
        <v>28</v>
      </c>
      <c r="N1124" s="4" t="s">
        <v>19</v>
      </c>
      <c r="O1124" s="4" t="s">
        <v>62</v>
      </c>
      <c r="P1124" s="4" t="s">
        <v>71</v>
      </c>
    </row>
    <row r="1125" spans="1:16" x14ac:dyDescent="0.3">
      <c r="A1125" s="4">
        <v>2024</v>
      </c>
      <c r="B1125" s="4" t="s">
        <v>29</v>
      </c>
      <c r="C1125" s="4" t="s">
        <v>35</v>
      </c>
      <c r="D1125" s="4" t="s">
        <v>36</v>
      </c>
      <c r="E1125" s="4">
        <v>100</v>
      </c>
      <c r="F1125" s="4">
        <v>397</v>
      </c>
      <c r="G1125" s="4">
        <v>185</v>
      </c>
      <c r="H1125" s="4">
        <v>39.700000000000003</v>
      </c>
      <c r="I1125" s="4">
        <v>18.5</v>
      </c>
      <c r="J1125" s="4">
        <v>21.2</v>
      </c>
      <c r="K1125" s="4">
        <v>21.3</v>
      </c>
      <c r="L1125" s="4">
        <v>154</v>
      </c>
      <c r="M1125" s="4" t="s">
        <v>37</v>
      </c>
      <c r="N1125" s="4" t="s">
        <v>24</v>
      </c>
      <c r="O1125" s="4" t="s">
        <v>63</v>
      </c>
      <c r="P1125" s="4" t="s">
        <v>76</v>
      </c>
    </row>
    <row r="1126" spans="1:16" x14ac:dyDescent="0.3">
      <c r="A1126" s="4">
        <v>2023</v>
      </c>
      <c r="B1126" s="4" t="s">
        <v>29</v>
      </c>
      <c r="C1126" s="4" t="s">
        <v>26</v>
      </c>
      <c r="D1126" s="4" t="s">
        <v>52</v>
      </c>
      <c r="E1126" s="4">
        <v>500</v>
      </c>
      <c r="F1126" s="4">
        <v>212</v>
      </c>
      <c r="G1126" s="4">
        <v>134</v>
      </c>
      <c r="H1126" s="4">
        <v>106</v>
      </c>
      <c r="I1126" s="4">
        <v>67</v>
      </c>
      <c r="J1126" s="4">
        <v>39</v>
      </c>
      <c r="K1126" s="4">
        <v>4.99</v>
      </c>
      <c r="L1126" s="4">
        <v>299</v>
      </c>
      <c r="M1126" s="4" t="s">
        <v>28</v>
      </c>
      <c r="N1126" s="4" t="s">
        <v>38</v>
      </c>
      <c r="O1126" s="4" t="s">
        <v>44</v>
      </c>
      <c r="P1126" s="4" t="s">
        <v>74</v>
      </c>
    </row>
    <row r="1127" spans="1:16" x14ac:dyDescent="0.3">
      <c r="A1127" s="4">
        <v>2023</v>
      </c>
      <c r="B1127" s="4" t="s">
        <v>29</v>
      </c>
      <c r="C1127" s="4" t="s">
        <v>26</v>
      </c>
      <c r="D1127" s="4" t="s">
        <v>52</v>
      </c>
      <c r="E1127" s="4">
        <v>494</v>
      </c>
      <c r="F1127" s="4">
        <v>246</v>
      </c>
      <c r="G1127" s="4">
        <v>74</v>
      </c>
      <c r="H1127" s="4">
        <v>121.52</v>
      </c>
      <c r="I1127" s="4">
        <v>36.56</v>
      </c>
      <c r="J1127" s="4">
        <v>84.97</v>
      </c>
      <c r="K1127" s="4">
        <v>3</v>
      </c>
      <c r="L1127" s="4">
        <v>24</v>
      </c>
      <c r="M1127" s="4" t="s">
        <v>28</v>
      </c>
      <c r="N1127" s="4" t="s">
        <v>31</v>
      </c>
      <c r="O1127" s="4" t="s">
        <v>42</v>
      </c>
      <c r="P1127" s="4" t="s">
        <v>76</v>
      </c>
    </row>
    <row r="1128" spans="1:16" x14ac:dyDescent="0.3">
      <c r="A1128" s="4">
        <v>2024</v>
      </c>
      <c r="B1128" s="4" t="s">
        <v>29</v>
      </c>
      <c r="C1128" s="4" t="s">
        <v>22</v>
      </c>
      <c r="D1128" s="4" t="s">
        <v>59</v>
      </c>
      <c r="E1128" s="4">
        <v>251</v>
      </c>
      <c r="F1128" s="4">
        <v>111</v>
      </c>
      <c r="G1128" s="4">
        <v>82</v>
      </c>
      <c r="H1128" s="4">
        <v>27.86</v>
      </c>
      <c r="I1128" s="4">
        <v>20.58</v>
      </c>
      <c r="J1128" s="4">
        <v>7.28</v>
      </c>
      <c r="K1128" s="4">
        <v>7.27</v>
      </c>
      <c r="L1128" s="4">
        <v>43</v>
      </c>
      <c r="M1128" s="4" t="s">
        <v>28</v>
      </c>
      <c r="N1128" s="4" t="s">
        <v>19</v>
      </c>
      <c r="O1128" s="4" t="s">
        <v>62</v>
      </c>
      <c r="P1128" s="4" t="s">
        <v>73</v>
      </c>
    </row>
    <row r="1129" spans="1:16" x14ac:dyDescent="0.3">
      <c r="A1129" s="4">
        <v>2024</v>
      </c>
      <c r="B1129" s="4" t="s">
        <v>15</v>
      </c>
      <c r="C1129" s="4" t="s">
        <v>26</v>
      </c>
      <c r="D1129" s="4" t="s">
        <v>27</v>
      </c>
      <c r="E1129" s="4">
        <v>228</v>
      </c>
      <c r="F1129" s="4">
        <v>275</v>
      </c>
      <c r="G1129" s="4">
        <v>265</v>
      </c>
      <c r="H1129" s="4">
        <v>62.7</v>
      </c>
      <c r="I1129" s="4">
        <v>60.42</v>
      </c>
      <c r="J1129" s="4">
        <v>2.2799999999999998</v>
      </c>
      <c r="K1129" s="4">
        <v>9.51</v>
      </c>
      <c r="L1129" s="4">
        <v>158</v>
      </c>
      <c r="M1129" s="4" t="s">
        <v>37</v>
      </c>
      <c r="N1129" s="4" t="s">
        <v>38</v>
      </c>
      <c r="O1129" s="4" t="s">
        <v>44</v>
      </c>
      <c r="P1129" s="4" t="s">
        <v>74</v>
      </c>
    </row>
    <row r="1130" spans="1:16" x14ac:dyDescent="0.3">
      <c r="A1130" s="4">
        <v>2024</v>
      </c>
      <c r="B1130" s="4" t="s">
        <v>29</v>
      </c>
      <c r="C1130" s="4" t="s">
        <v>35</v>
      </c>
      <c r="D1130" s="4" t="s">
        <v>40</v>
      </c>
      <c r="E1130" s="4">
        <v>222</v>
      </c>
      <c r="F1130" s="4">
        <v>55</v>
      </c>
      <c r="G1130" s="4">
        <v>44</v>
      </c>
      <c r="H1130" s="4">
        <v>12.21</v>
      </c>
      <c r="I1130" s="4">
        <v>9.77</v>
      </c>
      <c r="J1130" s="4">
        <v>2.44</v>
      </c>
      <c r="K1130" s="4">
        <v>18.79</v>
      </c>
      <c r="L1130" s="4">
        <v>245</v>
      </c>
      <c r="M1130" s="4" t="s">
        <v>18</v>
      </c>
      <c r="N1130" s="4" t="s">
        <v>38</v>
      </c>
      <c r="O1130" s="4" t="s">
        <v>44</v>
      </c>
      <c r="P1130" s="4" t="s">
        <v>72</v>
      </c>
    </row>
    <row r="1131" spans="1:16" x14ac:dyDescent="0.3">
      <c r="A1131" s="4">
        <v>2023</v>
      </c>
      <c r="B1131" s="4" t="s">
        <v>46</v>
      </c>
      <c r="C1131" s="4" t="s">
        <v>16</v>
      </c>
      <c r="D1131" s="4" t="s">
        <v>56</v>
      </c>
      <c r="E1131" s="4">
        <v>134</v>
      </c>
      <c r="F1131" s="4">
        <v>304</v>
      </c>
      <c r="G1131" s="4">
        <v>264</v>
      </c>
      <c r="H1131" s="4">
        <v>40.74</v>
      </c>
      <c r="I1131" s="4">
        <v>35.380000000000003</v>
      </c>
      <c r="J1131" s="4">
        <v>5.36</v>
      </c>
      <c r="K1131" s="4">
        <v>21.69</v>
      </c>
      <c r="L1131" s="4">
        <v>213</v>
      </c>
      <c r="M1131" s="4" t="s">
        <v>37</v>
      </c>
      <c r="N1131" s="4" t="s">
        <v>38</v>
      </c>
      <c r="O1131" s="4" t="s">
        <v>44</v>
      </c>
      <c r="P1131" s="4" t="s">
        <v>71</v>
      </c>
    </row>
    <row r="1132" spans="1:16" x14ac:dyDescent="0.3">
      <c r="A1132" s="4">
        <v>2023</v>
      </c>
      <c r="B1132" s="4" t="s">
        <v>57</v>
      </c>
      <c r="C1132" s="4" t="s">
        <v>35</v>
      </c>
      <c r="D1132" s="4" t="s">
        <v>36</v>
      </c>
      <c r="E1132" s="4">
        <v>295</v>
      </c>
      <c r="F1132" s="4">
        <v>56</v>
      </c>
      <c r="G1132" s="4">
        <v>36</v>
      </c>
      <c r="H1132" s="4">
        <v>16.52</v>
      </c>
      <c r="I1132" s="4">
        <v>10.62</v>
      </c>
      <c r="J1132" s="4">
        <v>5.9</v>
      </c>
      <c r="K1132" s="4">
        <v>-4</v>
      </c>
      <c r="L1132" s="4">
        <v>46</v>
      </c>
      <c r="M1132" s="4" t="s">
        <v>37</v>
      </c>
      <c r="N1132" s="4" t="s">
        <v>38</v>
      </c>
      <c r="O1132" s="4" t="s">
        <v>44</v>
      </c>
      <c r="P1132" s="4" t="s">
        <v>76</v>
      </c>
    </row>
    <row r="1133" spans="1:16" x14ac:dyDescent="0.3">
      <c r="A1133" s="4">
        <v>2025</v>
      </c>
      <c r="B1133" s="4" t="s">
        <v>45</v>
      </c>
      <c r="C1133" s="4" t="s">
        <v>22</v>
      </c>
      <c r="D1133" s="4" t="s">
        <v>23</v>
      </c>
      <c r="E1133" s="4">
        <v>100</v>
      </c>
      <c r="F1133" s="4">
        <v>79</v>
      </c>
      <c r="G1133" s="4">
        <v>50</v>
      </c>
      <c r="H1133" s="4">
        <v>7.9</v>
      </c>
      <c r="I1133" s="4">
        <v>5</v>
      </c>
      <c r="J1133" s="4">
        <v>2.9</v>
      </c>
      <c r="K1133" s="4">
        <v>14.8</v>
      </c>
      <c r="L1133" s="4">
        <v>179</v>
      </c>
      <c r="M1133" s="4" t="s">
        <v>18</v>
      </c>
      <c r="N1133" s="4" t="s">
        <v>19</v>
      </c>
      <c r="O1133" s="4" t="s">
        <v>62</v>
      </c>
      <c r="P1133" s="4" t="s">
        <v>75</v>
      </c>
    </row>
    <row r="1134" spans="1:16" x14ac:dyDescent="0.3">
      <c r="A1134" s="4">
        <v>2023</v>
      </c>
      <c r="B1134" s="4" t="s">
        <v>29</v>
      </c>
      <c r="C1134" s="4" t="s">
        <v>16</v>
      </c>
      <c r="D1134" s="4" t="s">
        <v>56</v>
      </c>
      <c r="E1134" s="4">
        <v>328</v>
      </c>
      <c r="F1134" s="4">
        <v>476</v>
      </c>
      <c r="G1134" s="4">
        <v>204</v>
      </c>
      <c r="H1134" s="4">
        <v>156.13</v>
      </c>
      <c r="I1134" s="4">
        <v>66.91</v>
      </c>
      <c r="J1134" s="4">
        <v>89.22</v>
      </c>
      <c r="K1134" s="4">
        <v>24.47</v>
      </c>
      <c r="L1134" s="4">
        <v>218</v>
      </c>
      <c r="M1134" s="4" t="s">
        <v>18</v>
      </c>
      <c r="N1134" s="4" t="s">
        <v>24</v>
      </c>
      <c r="O1134" s="4" t="s">
        <v>63</v>
      </c>
      <c r="P1134" s="4" t="s">
        <v>71</v>
      </c>
    </row>
    <row r="1135" spans="1:16" x14ac:dyDescent="0.3">
      <c r="A1135" s="4">
        <v>2023</v>
      </c>
      <c r="B1135" s="4" t="s">
        <v>57</v>
      </c>
      <c r="C1135" s="4" t="s">
        <v>22</v>
      </c>
      <c r="D1135" s="4" t="s">
        <v>23</v>
      </c>
      <c r="E1135" s="4">
        <v>264</v>
      </c>
      <c r="F1135" s="4">
        <v>215</v>
      </c>
      <c r="G1135" s="4">
        <v>85</v>
      </c>
      <c r="H1135" s="4">
        <v>56.76</v>
      </c>
      <c r="I1135" s="4">
        <v>22.44</v>
      </c>
      <c r="J1135" s="4">
        <v>34.32</v>
      </c>
      <c r="K1135" s="4">
        <v>13.7</v>
      </c>
      <c r="L1135" s="4">
        <v>237</v>
      </c>
      <c r="M1135" s="4" t="s">
        <v>18</v>
      </c>
      <c r="N1135" s="4" t="s">
        <v>24</v>
      </c>
      <c r="O1135" s="4" t="s">
        <v>63</v>
      </c>
      <c r="P1135" s="4" t="s">
        <v>72</v>
      </c>
    </row>
    <row r="1136" spans="1:16" x14ac:dyDescent="0.3">
      <c r="A1136" s="4">
        <v>2023</v>
      </c>
      <c r="B1136" s="4" t="s">
        <v>47</v>
      </c>
      <c r="C1136" s="4" t="s">
        <v>16</v>
      </c>
      <c r="D1136" s="4" t="s">
        <v>17</v>
      </c>
      <c r="E1136" s="4">
        <v>459</v>
      </c>
      <c r="F1136" s="4">
        <v>433</v>
      </c>
      <c r="G1136" s="4">
        <v>77</v>
      </c>
      <c r="H1136" s="4">
        <v>198.75</v>
      </c>
      <c r="I1136" s="4">
        <v>35.340000000000003</v>
      </c>
      <c r="J1136" s="4">
        <v>163.4</v>
      </c>
      <c r="K1136" s="4">
        <v>24.79</v>
      </c>
      <c r="L1136" s="4">
        <v>278</v>
      </c>
      <c r="M1136" s="4" t="s">
        <v>37</v>
      </c>
      <c r="N1136" s="4" t="s">
        <v>19</v>
      </c>
      <c r="O1136" s="4" t="s">
        <v>62</v>
      </c>
      <c r="P1136" s="4" t="s">
        <v>76</v>
      </c>
    </row>
    <row r="1137" spans="1:16" x14ac:dyDescent="0.3">
      <c r="A1137" s="4">
        <v>2025</v>
      </c>
      <c r="B1137" s="4" t="s">
        <v>41</v>
      </c>
      <c r="C1137" s="4" t="s">
        <v>35</v>
      </c>
      <c r="D1137" s="4" t="s">
        <v>40</v>
      </c>
      <c r="E1137" s="4">
        <v>481</v>
      </c>
      <c r="F1137" s="4">
        <v>478</v>
      </c>
      <c r="G1137" s="4">
        <v>91</v>
      </c>
      <c r="H1137" s="4">
        <v>229.92</v>
      </c>
      <c r="I1137" s="4">
        <v>43.77</v>
      </c>
      <c r="J1137" s="4">
        <v>186.15</v>
      </c>
      <c r="K1137" s="4">
        <v>-4.8600000000000003</v>
      </c>
      <c r="L1137" s="4">
        <v>108</v>
      </c>
      <c r="M1137" s="4" t="s">
        <v>28</v>
      </c>
      <c r="N1137" s="4" t="s">
        <v>24</v>
      </c>
      <c r="O1137" s="4" t="s">
        <v>63</v>
      </c>
      <c r="P1137" s="4" t="s">
        <v>76</v>
      </c>
    </row>
    <row r="1138" spans="1:16" x14ac:dyDescent="0.3">
      <c r="A1138" s="4">
        <v>2025</v>
      </c>
      <c r="B1138" s="4" t="s">
        <v>45</v>
      </c>
      <c r="C1138" s="4" t="s">
        <v>26</v>
      </c>
      <c r="D1138" s="4" t="s">
        <v>52</v>
      </c>
      <c r="E1138" s="4">
        <v>133</v>
      </c>
      <c r="F1138" s="4">
        <v>103</v>
      </c>
      <c r="G1138" s="4">
        <v>30</v>
      </c>
      <c r="H1138" s="4">
        <v>13.7</v>
      </c>
      <c r="I1138" s="4">
        <v>3.99</v>
      </c>
      <c r="J1138" s="4">
        <v>9.7100000000000009</v>
      </c>
      <c r="K1138" s="4">
        <v>21.28</v>
      </c>
      <c r="L1138" s="4">
        <v>277</v>
      </c>
      <c r="M1138" s="4" t="s">
        <v>37</v>
      </c>
      <c r="N1138" s="4" t="s">
        <v>31</v>
      </c>
      <c r="O1138" s="4" t="s">
        <v>42</v>
      </c>
      <c r="P1138" s="4" t="s">
        <v>76</v>
      </c>
    </row>
    <row r="1139" spans="1:16" x14ac:dyDescent="0.3">
      <c r="A1139" s="4">
        <v>2023</v>
      </c>
      <c r="B1139" s="4" t="s">
        <v>21</v>
      </c>
      <c r="C1139" s="4" t="s">
        <v>35</v>
      </c>
      <c r="D1139" s="4" t="s">
        <v>43</v>
      </c>
      <c r="E1139" s="4">
        <v>245</v>
      </c>
      <c r="F1139" s="4">
        <v>422</v>
      </c>
      <c r="G1139" s="4">
        <v>229</v>
      </c>
      <c r="H1139" s="4">
        <v>103.39</v>
      </c>
      <c r="I1139" s="4">
        <v>56.1</v>
      </c>
      <c r="J1139" s="4">
        <v>47.29</v>
      </c>
      <c r="K1139" s="4">
        <v>-0.68</v>
      </c>
      <c r="L1139" s="4">
        <v>293</v>
      </c>
      <c r="M1139" s="4" t="s">
        <v>28</v>
      </c>
      <c r="N1139" s="4" t="s">
        <v>38</v>
      </c>
      <c r="O1139" s="4" t="s">
        <v>44</v>
      </c>
      <c r="P1139" s="4" t="s">
        <v>71</v>
      </c>
    </row>
    <row r="1140" spans="1:16" x14ac:dyDescent="0.3">
      <c r="A1140" s="4">
        <v>2025</v>
      </c>
      <c r="B1140" s="4" t="s">
        <v>46</v>
      </c>
      <c r="C1140" s="4" t="s">
        <v>22</v>
      </c>
      <c r="D1140" s="4" t="s">
        <v>59</v>
      </c>
      <c r="E1140" s="4">
        <v>140</v>
      </c>
      <c r="F1140" s="4">
        <v>316</v>
      </c>
      <c r="G1140" s="4">
        <v>94</v>
      </c>
      <c r="H1140" s="4">
        <v>44.24</v>
      </c>
      <c r="I1140" s="4">
        <v>13.16</v>
      </c>
      <c r="J1140" s="4">
        <v>31.08</v>
      </c>
      <c r="K1140" s="4">
        <v>11.23</v>
      </c>
      <c r="L1140" s="4">
        <v>52</v>
      </c>
      <c r="M1140" s="4" t="s">
        <v>28</v>
      </c>
      <c r="N1140" s="4" t="s">
        <v>38</v>
      </c>
      <c r="O1140" s="4" t="s">
        <v>44</v>
      </c>
      <c r="P1140" s="4" t="s">
        <v>71</v>
      </c>
    </row>
    <row r="1141" spans="1:16" x14ac:dyDescent="0.3">
      <c r="A1141" s="4">
        <v>2024</v>
      </c>
      <c r="B1141" s="4" t="s">
        <v>57</v>
      </c>
      <c r="C1141" s="4" t="s">
        <v>26</v>
      </c>
      <c r="D1141" s="4" t="s">
        <v>27</v>
      </c>
      <c r="E1141" s="4">
        <v>221</v>
      </c>
      <c r="F1141" s="4">
        <v>200</v>
      </c>
      <c r="G1141" s="4">
        <v>187</v>
      </c>
      <c r="H1141" s="4">
        <v>44.2</v>
      </c>
      <c r="I1141" s="4">
        <v>41.33</v>
      </c>
      <c r="J1141" s="4">
        <v>2.87</v>
      </c>
      <c r="K1141" s="4">
        <v>-7.91</v>
      </c>
      <c r="L1141" s="4">
        <v>273</v>
      </c>
      <c r="M1141" s="4" t="s">
        <v>37</v>
      </c>
      <c r="N1141" s="4" t="s">
        <v>38</v>
      </c>
      <c r="O1141" s="4" t="s">
        <v>44</v>
      </c>
      <c r="P1141" s="4" t="s">
        <v>74</v>
      </c>
    </row>
    <row r="1142" spans="1:16" x14ac:dyDescent="0.3">
      <c r="A1142" s="4">
        <v>2025</v>
      </c>
      <c r="B1142" s="4" t="s">
        <v>57</v>
      </c>
      <c r="C1142" s="4" t="s">
        <v>33</v>
      </c>
      <c r="D1142" s="4" t="s">
        <v>34</v>
      </c>
      <c r="E1142" s="4">
        <v>327</v>
      </c>
      <c r="F1142" s="4">
        <v>401</v>
      </c>
      <c r="G1142" s="4">
        <v>265</v>
      </c>
      <c r="H1142" s="4">
        <v>131.13</v>
      </c>
      <c r="I1142" s="4">
        <v>86.66</v>
      </c>
      <c r="J1142" s="4">
        <v>44.47</v>
      </c>
      <c r="K1142" s="4">
        <v>-4.93</v>
      </c>
      <c r="L1142" s="4">
        <v>220</v>
      </c>
      <c r="M1142" s="4" t="s">
        <v>37</v>
      </c>
      <c r="N1142" s="4" t="s">
        <v>19</v>
      </c>
      <c r="O1142" s="4" t="s">
        <v>62</v>
      </c>
      <c r="P1142" s="4" t="s">
        <v>75</v>
      </c>
    </row>
    <row r="1143" spans="1:16" x14ac:dyDescent="0.3">
      <c r="A1143" s="4">
        <v>2024</v>
      </c>
      <c r="B1143" s="4" t="s">
        <v>41</v>
      </c>
      <c r="C1143" s="4" t="s">
        <v>35</v>
      </c>
      <c r="D1143" s="4" t="s">
        <v>40</v>
      </c>
      <c r="E1143" s="4">
        <v>287</v>
      </c>
      <c r="F1143" s="4">
        <v>204</v>
      </c>
      <c r="G1143" s="4">
        <v>167</v>
      </c>
      <c r="H1143" s="4">
        <v>58.55</v>
      </c>
      <c r="I1143" s="4">
        <v>47.93</v>
      </c>
      <c r="J1143" s="4">
        <v>10.62</v>
      </c>
      <c r="K1143" s="4">
        <v>19.27</v>
      </c>
      <c r="L1143" s="4">
        <v>293</v>
      </c>
      <c r="M1143" s="4" t="s">
        <v>18</v>
      </c>
      <c r="N1143" s="4" t="s">
        <v>38</v>
      </c>
      <c r="O1143" s="4" t="s">
        <v>44</v>
      </c>
      <c r="P1143" s="4" t="s">
        <v>71</v>
      </c>
    </row>
    <row r="1144" spans="1:16" x14ac:dyDescent="0.3">
      <c r="A1144" s="4">
        <v>2023</v>
      </c>
      <c r="B1144" s="4" t="s">
        <v>57</v>
      </c>
      <c r="C1144" s="4" t="s">
        <v>16</v>
      </c>
      <c r="D1144" s="4" t="s">
        <v>30</v>
      </c>
      <c r="E1144" s="4">
        <v>341</v>
      </c>
      <c r="F1144" s="4">
        <v>344</v>
      </c>
      <c r="G1144" s="4">
        <v>311</v>
      </c>
      <c r="H1144" s="4">
        <v>117.3</v>
      </c>
      <c r="I1144" s="4">
        <v>106.05</v>
      </c>
      <c r="J1144" s="4">
        <v>11.25</v>
      </c>
      <c r="K1144" s="4">
        <v>13.91</v>
      </c>
      <c r="L1144" s="4">
        <v>206</v>
      </c>
      <c r="M1144" s="4" t="s">
        <v>28</v>
      </c>
      <c r="N1144" s="4" t="s">
        <v>24</v>
      </c>
      <c r="O1144" s="4" t="s">
        <v>63</v>
      </c>
      <c r="P1144" s="4" t="s">
        <v>75</v>
      </c>
    </row>
    <row r="1145" spans="1:16" x14ac:dyDescent="0.3">
      <c r="A1145" s="4">
        <v>2024</v>
      </c>
      <c r="B1145" s="4" t="s">
        <v>41</v>
      </c>
      <c r="C1145" s="4" t="s">
        <v>22</v>
      </c>
      <c r="D1145" s="4" t="s">
        <v>59</v>
      </c>
      <c r="E1145" s="4">
        <v>230</v>
      </c>
      <c r="F1145" s="4">
        <v>261</v>
      </c>
      <c r="G1145" s="4">
        <v>80</v>
      </c>
      <c r="H1145" s="4">
        <v>60.03</v>
      </c>
      <c r="I1145" s="4">
        <v>18.399999999999999</v>
      </c>
      <c r="J1145" s="4">
        <v>41.63</v>
      </c>
      <c r="K1145" s="4">
        <v>10.09</v>
      </c>
      <c r="L1145" s="4">
        <v>80</v>
      </c>
      <c r="M1145" s="4" t="s">
        <v>28</v>
      </c>
      <c r="N1145" s="4" t="s">
        <v>19</v>
      </c>
      <c r="O1145" s="4" t="s">
        <v>62</v>
      </c>
      <c r="P1145" s="4" t="s">
        <v>72</v>
      </c>
    </row>
    <row r="1146" spans="1:16" x14ac:dyDescent="0.3">
      <c r="A1146" s="4">
        <v>2025</v>
      </c>
      <c r="B1146" s="4" t="s">
        <v>51</v>
      </c>
      <c r="C1146" s="4" t="s">
        <v>16</v>
      </c>
      <c r="D1146" s="4" t="s">
        <v>30</v>
      </c>
      <c r="E1146" s="4">
        <v>187</v>
      </c>
      <c r="F1146" s="4">
        <v>450</v>
      </c>
      <c r="G1146" s="4">
        <v>50</v>
      </c>
      <c r="H1146" s="4">
        <v>84.15</v>
      </c>
      <c r="I1146" s="4">
        <v>9.35</v>
      </c>
      <c r="J1146" s="4">
        <v>74.8</v>
      </c>
      <c r="K1146" s="4">
        <v>-1.81</v>
      </c>
      <c r="L1146" s="4">
        <v>115</v>
      </c>
      <c r="M1146" s="4" t="s">
        <v>37</v>
      </c>
      <c r="N1146" s="4" t="s">
        <v>31</v>
      </c>
      <c r="O1146" s="4" t="s">
        <v>42</v>
      </c>
      <c r="P1146" s="4" t="s">
        <v>76</v>
      </c>
    </row>
    <row r="1147" spans="1:16" x14ac:dyDescent="0.3">
      <c r="A1147" s="4">
        <v>2025</v>
      </c>
      <c r="B1147" s="4" t="s">
        <v>39</v>
      </c>
      <c r="C1147" s="4" t="s">
        <v>26</v>
      </c>
      <c r="D1147" s="4" t="s">
        <v>58</v>
      </c>
      <c r="E1147" s="4">
        <v>424</v>
      </c>
      <c r="F1147" s="4">
        <v>410</v>
      </c>
      <c r="G1147" s="4">
        <v>318</v>
      </c>
      <c r="H1147" s="4">
        <v>173.84</v>
      </c>
      <c r="I1147" s="4">
        <v>134.83000000000001</v>
      </c>
      <c r="J1147" s="4">
        <v>39.01</v>
      </c>
      <c r="K1147" s="4">
        <v>15.02</v>
      </c>
      <c r="L1147" s="4">
        <v>81</v>
      </c>
      <c r="M1147" s="4" t="s">
        <v>18</v>
      </c>
      <c r="N1147" s="4" t="s">
        <v>31</v>
      </c>
      <c r="O1147" s="4" t="s">
        <v>42</v>
      </c>
      <c r="P1147" s="4" t="s">
        <v>73</v>
      </c>
    </row>
    <row r="1148" spans="1:16" x14ac:dyDescent="0.3">
      <c r="A1148" s="4">
        <v>2025</v>
      </c>
      <c r="B1148" s="4" t="s">
        <v>45</v>
      </c>
      <c r="C1148" s="4" t="s">
        <v>26</v>
      </c>
      <c r="D1148" s="4" t="s">
        <v>52</v>
      </c>
      <c r="E1148" s="4">
        <v>450</v>
      </c>
      <c r="F1148" s="4">
        <v>423</v>
      </c>
      <c r="G1148" s="4">
        <v>364</v>
      </c>
      <c r="H1148" s="4">
        <v>190.35</v>
      </c>
      <c r="I1148" s="4">
        <v>163.80000000000001</v>
      </c>
      <c r="J1148" s="4">
        <v>26.55</v>
      </c>
      <c r="K1148" s="4">
        <v>21.32</v>
      </c>
      <c r="L1148" s="4">
        <v>263</v>
      </c>
      <c r="M1148" s="4" t="s">
        <v>18</v>
      </c>
      <c r="N1148" s="4" t="s">
        <v>38</v>
      </c>
      <c r="O1148" s="4" t="s">
        <v>44</v>
      </c>
      <c r="P1148" s="4" t="s">
        <v>72</v>
      </c>
    </row>
    <row r="1149" spans="1:16" x14ac:dyDescent="0.3">
      <c r="A1149" s="4">
        <v>2023</v>
      </c>
      <c r="B1149" s="4" t="s">
        <v>51</v>
      </c>
      <c r="C1149" s="4" t="s">
        <v>22</v>
      </c>
      <c r="D1149" s="4" t="s">
        <v>53</v>
      </c>
      <c r="E1149" s="4">
        <v>79</v>
      </c>
      <c r="F1149" s="4">
        <v>406</v>
      </c>
      <c r="G1149" s="4">
        <v>288</v>
      </c>
      <c r="H1149" s="4">
        <v>32.07</v>
      </c>
      <c r="I1149" s="4">
        <v>22.75</v>
      </c>
      <c r="J1149" s="4">
        <v>9.32</v>
      </c>
      <c r="K1149" s="4">
        <v>10.55</v>
      </c>
      <c r="L1149" s="4">
        <v>107</v>
      </c>
      <c r="M1149" s="4" t="s">
        <v>37</v>
      </c>
      <c r="N1149" s="4" t="s">
        <v>38</v>
      </c>
      <c r="O1149" s="4" t="s">
        <v>44</v>
      </c>
      <c r="P1149" s="4" t="s">
        <v>74</v>
      </c>
    </row>
    <row r="1150" spans="1:16" x14ac:dyDescent="0.3">
      <c r="A1150" s="4">
        <v>2023</v>
      </c>
      <c r="B1150" s="4" t="s">
        <v>46</v>
      </c>
      <c r="C1150" s="4" t="s">
        <v>26</v>
      </c>
      <c r="D1150" s="4" t="s">
        <v>27</v>
      </c>
      <c r="E1150" s="4">
        <v>107</v>
      </c>
      <c r="F1150" s="4">
        <v>454</v>
      </c>
      <c r="G1150" s="4">
        <v>160</v>
      </c>
      <c r="H1150" s="4">
        <v>48.58</v>
      </c>
      <c r="I1150" s="4">
        <v>17.12</v>
      </c>
      <c r="J1150" s="4">
        <v>31.46</v>
      </c>
      <c r="K1150" s="4">
        <v>7.91</v>
      </c>
      <c r="L1150" s="4">
        <v>109</v>
      </c>
      <c r="M1150" s="4" t="s">
        <v>28</v>
      </c>
      <c r="N1150" s="4" t="s">
        <v>31</v>
      </c>
      <c r="O1150" s="4" t="s">
        <v>42</v>
      </c>
      <c r="P1150" s="4" t="s">
        <v>71</v>
      </c>
    </row>
    <row r="1151" spans="1:16" x14ac:dyDescent="0.3">
      <c r="A1151" s="4">
        <v>2023</v>
      </c>
      <c r="B1151" s="4" t="s">
        <v>57</v>
      </c>
      <c r="C1151" s="4" t="s">
        <v>22</v>
      </c>
      <c r="D1151" s="4" t="s">
        <v>53</v>
      </c>
      <c r="E1151" s="4">
        <v>107</v>
      </c>
      <c r="F1151" s="4">
        <v>450</v>
      </c>
      <c r="G1151" s="4">
        <v>157</v>
      </c>
      <c r="H1151" s="4">
        <v>48.15</v>
      </c>
      <c r="I1151" s="4">
        <v>16.8</v>
      </c>
      <c r="J1151" s="4">
        <v>31.35</v>
      </c>
      <c r="K1151" s="4">
        <v>24.01</v>
      </c>
      <c r="L1151" s="4">
        <v>138</v>
      </c>
      <c r="M1151" s="4" t="s">
        <v>18</v>
      </c>
      <c r="N1151" s="4" t="s">
        <v>38</v>
      </c>
      <c r="O1151" s="4" t="s">
        <v>44</v>
      </c>
      <c r="P1151" s="4" t="s">
        <v>72</v>
      </c>
    </row>
    <row r="1152" spans="1:16" x14ac:dyDescent="0.3">
      <c r="A1152" s="4">
        <v>2023</v>
      </c>
      <c r="B1152" s="4" t="s">
        <v>21</v>
      </c>
      <c r="C1152" s="4" t="s">
        <v>22</v>
      </c>
      <c r="D1152" s="4" t="s">
        <v>53</v>
      </c>
      <c r="E1152" s="4">
        <v>292</v>
      </c>
      <c r="F1152" s="4">
        <v>474</v>
      </c>
      <c r="G1152" s="4">
        <v>360</v>
      </c>
      <c r="H1152" s="4">
        <v>138.41</v>
      </c>
      <c r="I1152" s="4">
        <v>105.12</v>
      </c>
      <c r="J1152" s="4">
        <v>33.29</v>
      </c>
      <c r="K1152" s="4">
        <v>-4.22</v>
      </c>
      <c r="L1152" s="4">
        <v>144</v>
      </c>
      <c r="M1152" s="4" t="s">
        <v>28</v>
      </c>
      <c r="N1152" s="4" t="s">
        <v>38</v>
      </c>
      <c r="O1152" s="4" t="s">
        <v>44</v>
      </c>
      <c r="P1152" s="4" t="s">
        <v>76</v>
      </c>
    </row>
    <row r="1153" spans="1:16" x14ac:dyDescent="0.3">
      <c r="A1153" s="4">
        <v>2023</v>
      </c>
      <c r="B1153" s="4" t="s">
        <v>29</v>
      </c>
      <c r="C1153" s="4" t="s">
        <v>22</v>
      </c>
      <c r="D1153" s="4" t="s">
        <v>59</v>
      </c>
      <c r="E1153" s="4">
        <v>332</v>
      </c>
      <c r="F1153" s="4">
        <v>284</v>
      </c>
      <c r="G1153" s="4">
        <v>141</v>
      </c>
      <c r="H1153" s="4">
        <v>94.29</v>
      </c>
      <c r="I1153" s="4">
        <v>46.81</v>
      </c>
      <c r="J1153" s="4">
        <v>47.48</v>
      </c>
      <c r="K1153" s="4">
        <v>-6.52</v>
      </c>
      <c r="L1153" s="4">
        <v>45</v>
      </c>
      <c r="M1153" s="4" t="s">
        <v>28</v>
      </c>
      <c r="N1153" s="4" t="s">
        <v>19</v>
      </c>
      <c r="O1153" s="4" t="s">
        <v>62</v>
      </c>
      <c r="P1153" s="4" t="s">
        <v>75</v>
      </c>
    </row>
    <row r="1154" spans="1:16" x14ac:dyDescent="0.3">
      <c r="A1154" s="4">
        <v>2024</v>
      </c>
      <c r="B1154" s="4" t="s">
        <v>21</v>
      </c>
      <c r="C1154" s="4" t="s">
        <v>22</v>
      </c>
      <c r="D1154" s="4" t="s">
        <v>53</v>
      </c>
      <c r="E1154" s="4">
        <v>325</v>
      </c>
      <c r="F1154" s="4">
        <v>417</v>
      </c>
      <c r="G1154" s="4">
        <v>59</v>
      </c>
      <c r="H1154" s="4">
        <v>135.53</v>
      </c>
      <c r="I1154" s="4">
        <v>19.18</v>
      </c>
      <c r="J1154" s="4">
        <v>116.35</v>
      </c>
      <c r="K1154" s="4">
        <v>22.36</v>
      </c>
      <c r="L1154" s="4">
        <v>199</v>
      </c>
      <c r="M1154" s="4" t="s">
        <v>28</v>
      </c>
      <c r="N1154" s="4" t="s">
        <v>31</v>
      </c>
      <c r="O1154" s="4" t="s">
        <v>42</v>
      </c>
      <c r="P1154" s="4" t="s">
        <v>76</v>
      </c>
    </row>
    <row r="1155" spans="1:16" x14ac:dyDescent="0.3">
      <c r="A1155" s="4">
        <v>2025</v>
      </c>
      <c r="B1155" s="4" t="s">
        <v>29</v>
      </c>
      <c r="C1155" s="4" t="s">
        <v>35</v>
      </c>
      <c r="D1155" s="4" t="s">
        <v>40</v>
      </c>
      <c r="E1155" s="4">
        <v>286</v>
      </c>
      <c r="F1155" s="4">
        <v>271</v>
      </c>
      <c r="G1155" s="4">
        <v>152</v>
      </c>
      <c r="H1155" s="4">
        <v>77.510000000000005</v>
      </c>
      <c r="I1155" s="4">
        <v>43.47</v>
      </c>
      <c r="J1155" s="4">
        <v>34.03</v>
      </c>
      <c r="K1155" s="4">
        <v>9.33</v>
      </c>
      <c r="L1155" s="4">
        <v>25</v>
      </c>
      <c r="M1155" s="4" t="s">
        <v>18</v>
      </c>
      <c r="N1155" s="4" t="s">
        <v>24</v>
      </c>
      <c r="O1155" s="4" t="s">
        <v>63</v>
      </c>
      <c r="P1155" s="4" t="s">
        <v>76</v>
      </c>
    </row>
    <row r="1156" spans="1:16" x14ac:dyDescent="0.3">
      <c r="A1156" s="4">
        <v>2023</v>
      </c>
      <c r="B1156" s="4" t="s">
        <v>51</v>
      </c>
      <c r="C1156" s="4" t="s">
        <v>22</v>
      </c>
      <c r="D1156" s="4" t="s">
        <v>23</v>
      </c>
      <c r="E1156" s="4">
        <v>403</v>
      </c>
      <c r="F1156" s="4">
        <v>353</v>
      </c>
      <c r="G1156" s="4">
        <v>306</v>
      </c>
      <c r="H1156" s="4">
        <v>142.26</v>
      </c>
      <c r="I1156" s="4">
        <v>123.32</v>
      </c>
      <c r="J1156" s="4">
        <v>18.940000000000001</v>
      </c>
      <c r="K1156" s="4">
        <v>14.91</v>
      </c>
      <c r="L1156" s="4">
        <v>127</v>
      </c>
      <c r="M1156" s="4" t="s">
        <v>28</v>
      </c>
      <c r="N1156" s="4" t="s">
        <v>38</v>
      </c>
      <c r="O1156" s="4" t="s">
        <v>44</v>
      </c>
      <c r="P1156" s="4" t="s">
        <v>75</v>
      </c>
    </row>
    <row r="1157" spans="1:16" x14ac:dyDescent="0.3">
      <c r="A1157" s="4">
        <v>2025</v>
      </c>
      <c r="B1157" s="4" t="s">
        <v>45</v>
      </c>
      <c r="C1157" s="4" t="s">
        <v>16</v>
      </c>
      <c r="D1157" s="4" t="s">
        <v>17</v>
      </c>
      <c r="E1157" s="4">
        <v>306</v>
      </c>
      <c r="F1157" s="4">
        <v>183</v>
      </c>
      <c r="G1157" s="4">
        <v>69</v>
      </c>
      <c r="H1157" s="4">
        <v>56</v>
      </c>
      <c r="I1157" s="4">
        <v>21.11</v>
      </c>
      <c r="J1157" s="4">
        <v>34.880000000000003</v>
      </c>
      <c r="K1157" s="4">
        <v>-2.68</v>
      </c>
      <c r="L1157" s="4">
        <v>226</v>
      </c>
      <c r="M1157" s="4" t="s">
        <v>37</v>
      </c>
      <c r="N1157" s="4" t="s">
        <v>24</v>
      </c>
      <c r="O1157" s="4" t="s">
        <v>63</v>
      </c>
      <c r="P1157" s="4" t="s">
        <v>75</v>
      </c>
    </row>
    <row r="1158" spans="1:16" x14ac:dyDescent="0.3">
      <c r="A1158" s="4">
        <v>2023</v>
      </c>
      <c r="B1158" s="4" t="s">
        <v>39</v>
      </c>
      <c r="C1158" s="4" t="s">
        <v>16</v>
      </c>
      <c r="D1158" s="4" t="s">
        <v>17</v>
      </c>
      <c r="E1158" s="4">
        <v>340</v>
      </c>
      <c r="F1158" s="4">
        <v>171</v>
      </c>
      <c r="G1158" s="4">
        <v>49</v>
      </c>
      <c r="H1158" s="4">
        <v>58.14</v>
      </c>
      <c r="I1158" s="4">
        <v>16.66</v>
      </c>
      <c r="J1158" s="4">
        <v>41.48</v>
      </c>
      <c r="K1158" s="4">
        <v>19.899999999999999</v>
      </c>
      <c r="L1158" s="4">
        <v>44</v>
      </c>
      <c r="M1158" s="4" t="s">
        <v>18</v>
      </c>
      <c r="N1158" s="4" t="s">
        <v>24</v>
      </c>
      <c r="O1158" s="4" t="s">
        <v>63</v>
      </c>
      <c r="P1158" s="4" t="s">
        <v>71</v>
      </c>
    </row>
    <row r="1159" spans="1:16" x14ac:dyDescent="0.3">
      <c r="A1159" s="4">
        <v>2023</v>
      </c>
      <c r="B1159" s="4" t="s">
        <v>29</v>
      </c>
      <c r="C1159" s="4" t="s">
        <v>16</v>
      </c>
      <c r="D1159" s="4" t="s">
        <v>30</v>
      </c>
      <c r="E1159" s="4">
        <v>328</v>
      </c>
      <c r="F1159" s="4">
        <v>215</v>
      </c>
      <c r="G1159" s="4">
        <v>180</v>
      </c>
      <c r="H1159" s="4">
        <v>70.52</v>
      </c>
      <c r="I1159" s="4">
        <v>59.04</v>
      </c>
      <c r="J1159" s="4">
        <v>11.48</v>
      </c>
      <c r="K1159" s="4">
        <v>2.0499999999999998</v>
      </c>
      <c r="L1159" s="4">
        <v>212</v>
      </c>
      <c r="M1159" s="4" t="s">
        <v>37</v>
      </c>
      <c r="N1159" s="4" t="s">
        <v>38</v>
      </c>
      <c r="O1159" s="4" t="s">
        <v>44</v>
      </c>
      <c r="P1159" s="4" t="s">
        <v>73</v>
      </c>
    </row>
    <row r="1160" spans="1:16" x14ac:dyDescent="0.3">
      <c r="A1160" s="4">
        <v>2025</v>
      </c>
      <c r="B1160" s="4" t="s">
        <v>41</v>
      </c>
      <c r="C1160" s="4" t="s">
        <v>16</v>
      </c>
      <c r="D1160" s="4" t="s">
        <v>56</v>
      </c>
      <c r="E1160" s="4">
        <v>241</v>
      </c>
      <c r="F1160" s="4">
        <v>353</v>
      </c>
      <c r="G1160" s="4">
        <v>274</v>
      </c>
      <c r="H1160" s="4">
        <v>85.07</v>
      </c>
      <c r="I1160" s="4">
        <v>66.03</v>
      </c>
      <c r="J1160" s="4">
        <v>19.04</v>
      </c>
      <c r="K1160" s="4">
        <v>15.34</v>
      </c>
      <c r="L1160" s="4">
        <v>299</v>
      </c>
      <c r="M1160" s="4" t="s">
        <v>18</v>
      </c>
      <c r="N1160" s="4" t="s">
        <v>19</v>
      </c>
      <c r="O1160" s="4" t="s">
        <v>62</v>
      </c>
      <c r="P1160" s="4" t="s">
        <v>76</v>
      </c>
    </row>
    <row r="1161" spans="1:16" x14ac:dyDescent="0.3">
      <c r="A1161" s="4">
        <v>2025</v>
      </c>
      <c r="B1161" s="4" t="s">
        <v>29</v>
      </c>
      <c r="C1161" s="4" t="s">
        <v>33</v>
      </c>
      <c r="D1161" s="4" t="s">
        <v>54</v>
      </c>
      <c r="E1161" s="4">
        <v>257</v>
      </c>
      <c r="F1161" s="4">
        <v>206</v>
      </c>
      <c r="G1161" s="4">
        <v>146</v>
      </c>
      <c r="H1161" s="4">
        <v>52.94</v>
      </c>
      <c r="I1161" s="4">
        <v>37.520000000000003</v>
      </c>
      <c r="J1161" s="4">
        <v>15.42</v>
      </c>
      <c r="K1161" s="4">
        <v>17.77</v>
      </c>
      <c r="L1161" s="4">
        <v>234</v>
      </c>
      <c r="M1161" s="4" t="s">
        <v>37</v>
      </c>
      <c r="N1161" s="4" t="s">
        <v>38</v>
      </c>
      <c r="O1161" s="4" t="s">
        <v>44</v>
      </c>
      <c r="P1161" s="4" t="s">
        <v>75</v>
      </c>
    </row>
    <row r="1162" spans="1:16" x14ac:dyDescent="0.3">
      <c r="A1162" s="4">
        <v>2025</v>
      </c>
      <c r="B1162" s="4" t="s">
        <v>57</v>
      </c>
      <c r="C1162" s="4" t="s">
        <v>33</v>
      </c>
      <c r="D1162" s="4" t="s">
        <v>50</v>
      </c>
      <c r="E1162" s="4">
        <v>337</v>
      </c>
      <c r="F1162" s="4">
        <v>317</v>
      </c>
      <c r="G1162" s="4">
        <v>273</v>
      </c>
      <c r="H1162" s="4">
        <v>106.83</v>
      </c>
      <c r="I1162" s="4">
        <v>92</v>
      </c>
      <c r="J1162" s="4">
        <v>14.83</v>
      </c>
      <c r="K1162" s="4">
        <v>17.47</v>
      </c>
      <c r="L1162" s="4">
        <v>189</v>
      </c>
      <c r="M1162" s="4" t="s">
        <v>18</v>
      </c>
      <c r="N1162" s="4" t="s">
        <v>19</v>
      </c>
      <c r="O1162" s="4" t="s">
        <v>62</v>
      </c>
      <c r="P1162" s="4" t="s">
        <v>71</v>
      </c>
    </row>
    <row r="1163" spans="1:16" x14ac:dyDescent="0.3">
      <c r="A1163" s="4">
        <v>2025</v>
      </c>
      <c r="B1163" s="4" t="s">
        <v>57</v>
      </c>
      <c r="C1163" s="4" t="s">
        <v>35</v>
      </c>
      <c r="D1163" s="4" t="s">
        <v>40</v>
      </c>
      <c r="E1163" s="4">
        <v>317</v>
      </c>
      <c r="F1163" s="4">
        <v>455</v>
      </c>
      <c r="G1163" s="4">
        <v>290</v>
      </c>
      <c r="H1163" s="4">
        <v>144.24</v>
      </c>
      <c r="I1163" s="4">
        <v>91.93</v>
      </c>
      <c r="J1163" s="4">
        <v>52.31</v>
      </c>
      <c r="K1163" s="4">
        <v>23.27</v>
      </c>
      <c r="L1163" s="4">
        <v>33</v>
      </c>
      <c r="M1163" s="4" t="s">
        <v>18</v>
      </c>
      <c r="N1163" s="4" t="s">
        <v>31</v>
      </c>
      <c r="O1163" s="4" t="s">
        <v>42</v>
      </c>
      <c r="P1163" s="4" t="s">
        <v>71</v>
      </c>
    </row>
    <row r="1164" spans="1:16" x14ac:dyDescent="0.3">
      <c r="A1164" s="4">
        <v>2024</v>
      </c>
      <c r="B1164" s="4" t="s">
        <v>51</v>
      </c>
      <c r="C1164" s="4" t="s">
        <v>33</v>
      </c>
      <c r="D1164" s="4" t="s">
        <v>54</v>
      </c>
      <c r="E1164" s="4">
        <v>473</v>
      </c>
      <c r="F1164" s="4">
        <v>312</v>
      </c>
      <c r="G1164" s="4">
        <v>99</v>
      </c>
      <c r="H1164" s="4">
        <v>147.58000000000001</v>
      </c>
      <c r="I1164" s="4">
        <v>46.83</v>
      </c>
      <c r="J1164" s="4">
        <v>100.75</v>
      </c>
      <c r="K1164" s="4">
        <v>10.15</v>
      </c>
      <c r="L1164" s="4">
        <v>204</v>
      </c>
      <c r="M1164" s="4" t="s">
        <v>37</v>
      </c>
      <c r="N1164" s="4" t="s">
        <v>19</v>
      </c>
      <c r="O1164" s="4" t="s">
        <v>62</v>
      </c>
      <c r="P1164" s="4" t="s">
        <v>71</v>
      </c>
    </row>
    <row r="1165" spans="1:16" x14ac:dyDescent="0.3">
      <c r="A1165" s="4">
        <v>2024</v>
      </c>
      <c r="B1165" s="4" t="s">
        <v>47</v>
      </c>
      <c r="C1165" s="4" t="s">
        <v>33</v>
      </c>
      <c r="D1165" s="4" t="s">
        <v>54</v>
      </c>
      <c r="E1165" s="4">
        <v>392</v>
      </c>
      <c r="F1165" s="4">
        <v>215</v>
      </c>
      <c r="G1165" s="4">
        <v>179</v>
      </c>
      <c r="H1165" s="4">
        <v>84.28</v>
      </c>
      <c r="I1165" s="4">
        <v>70.17</v>
      </c>
      <c r="J1165" s="4">
        <v>14.11</v>
      </c>
      <c r="K1165" s="4">
        <v>15.74</v>
      </c>
      <c r="L1165" s="4">
        <v>102</v>
      </c>
      <c r="M1165" s="4" t="s">
        <v>28</v>
      </c>
      <c r="N1165" s="4" t="s">
        <v>38</v>
      </c>
      <c r="O1165" s="4" t="s">
        <v>44</v>
      </c>
      <c r="P1165" s="4" t="s">
        <v>73</v>
      </c>
    </row>
    <row r="1166" spans="1:16" x14ac:dyDescent="0.3">
      <c r="A1166" s="4">
        <v>2024</v>
      </c>
      <c r="B1166" s="4" t="s">
        <v>29</v>
      </c>
      <c r="C1166" s="4" t="s">
        <v>33</v>
      </c>
      <c r="D1166" s="4" t="s">
        <v>54</v>
      </c>
      <c r="E1166" s="4">
        <v>381</v>
      </c>
      <c r="F1166" s="4">
        <v>140</v>
      </c>
      <c r="G1166" s="4">
        <v>49</v>
      </c>
      <c r="H1166" s="4">
        <v>53.34</v>
      </c>
      <c r="I1166" s="4">
        <v>18.670000000000002</v>
      </c>
      <c r="J1166" s="4">
        <v>34.67</v>
      </c>
      <c r="K1166" s="4">
        <v>16.88</v>
      </c>
      <c r="L1166" s="4">
        <v>158</v>
      </c>
      <c r="M1166" s="4" t="s">
        <v>37</v>
      </c>
      <c r="N1166" s="4" t="s">
        <v>19</v>
      </c>
      <c r="O1166" s="4" t="s">
        <v>62</v>
      </c>
      <c r="P1166" s="4" t="s">
        <v>74</v>
      </c>
    </row>
    <row r="1167" spans="1:16" x14ac:dyDescent="0.3">
      <c r="A1167" s="4">
        <v>2025</v>
      </c>
      <c r="B1167" s="4" t="s">
        <v>49</v>
      </c>
      <c r="C1167" s="4" t="s">
        <v>33</v>
      </c>
      <c r="D1167" s="4" t="s">
        <v>54</v>
      </c>
      <c r="E1167" s="4">
        <v>475</v>
      </c>
      <c r="F1167" s="4">
        <v>276</v>
      </c>
      <c r="G1167" s="4">
        <v>116</v>
      </c>
      <c r="H1167" s="4">
        <v>131.1</v>
      </c>
      <c r="I1167" s="4">
        <v>55.1</v>
      </c>
      <c r="J1167" s="4">
        <v>76</v>
      </c>
      <c r="K1167" s="4">
        <v>7.31</v>
      </c>
      <c r="L1167" s="4">
        <v>163</v>
      </c>
      <c r="M1167" s="4" t="s">
        <v>28</v>
      </c>
      <c r="N1167" s="4" t="s">
        <v>38</v>
      </c>
      <c r="O1167" s="4" t="s">
        <v>44</v>
      </c>
      <c r="P1167" s="4" t="s">
        <v>73</v>
      </c>
    </row>
    <row r="1168" spans="1:16" x14ac:dyDescent="0.3">
      <c r="A1168" s="4">
        <v>2024</v>
      </c>
      <c r="B1168" s="4" t="s">
        <v>32</v>
      </c>
      <c r="C1168" s="4" t="s">
        <v>35</v>
      </c>
      <c r="D1168" s="4" t="s">
        <v>36</v>
      </c>
      <c r="E1168" s="4">
        <v>325</v>
      </c>
      <c r="F1168" s="4">
        <v>491</v>
      </c>
      <c r="G1168" s="4">
        <v>446</v>
      </c>
      <c r="H1168" s="4">
        <v>159.57</v>
      </c>
      <c r="I1168" s="4">
        <v>144.94999999999999</v>
      </c>
      <c r="J1168" s="4">
        <v>14.62</v>
      </c>
      <c r="K1168" s="4">
        <v>5.1100000000000003</v>
      </c>
      <c r="L1168" s="4">
        <v>50</v>
      </c>
      <c r="M1168" s="4" t="s">
        <v>18</v>
      </c>
      <c r="N1168" s="4" t="s">
        <v>24</v>
      </c>
      <c r="O1168" s="4" t="s">
        <v>63</v>
      </c>
      <c r="P1168" s="4" t="s">
        <v>74</v>
      </c>
    </row>
    <row r="1169" spans="1:16" x14ac:dyDescent="0.3">
      <c r="A1169" s="4">
        <v>2024</v>
      </c>
      <c r="B1169" s="4" t="s">
        <v>57</v>
      </c>
      <c r="C1169" s="4" t="s">
        <v>26</v>
      </c>
      <c r="D1169" s="4" t="s">
        <v>27</v>
      </c>
      <c r="E1169" s="4">
        <v>61</v>
      </c>
      <c r="F1169" s="4">
        <v>151</v>
      </c>
      <c r="G1169" s="4">
        <v>69</v>
      </c>
      <c r="H1169" s="4">
        <v>9.2100000000000009</v>
      </c>
      <c r="I1169" s="4">
        <v>4.21</v>
      </c>
      <c r="J1169" s="4">
        <v>5</v>
      </c>
      <c r="K1169" s="4">
        <v>-7.01</v>
      </c>
      <c r="L1169" s="4">
        <v>286</v>
      </c>
      <c r="M1169" s="4" t="s">
        <v>37</v>
      </c>
      <c r="N1169" s="4" t="s">
        <v>31</v>
      </c>
      <c r="O1169" s="4" t="s">
        <v>42</v>
      </c>
      <c r="P1169" s="4" t="s">
        <v>74</v>
      </c>
    </row>
    <row r="1170" spans="1:16" x14ac:dyDescent="0.3">
      <c r="A1170" s="4">
        <v>2024</v>
      </c>
      <c r="B1170" s="4" t="s">
        <v>21</v>
      </c>
      <c r="C1170" s="4" t="s">
        <v>16</v>
      </c>
      <c r="D1170" s="4" t="s">
        <v>56</v>
      </c>
      <c r="E1170" s="4">
        <v>331</v>
      </c>
      <c r="F1170" s="4">
        <v>456</v>
      </c>
      <c r="G1170" s="4">
        <v>237</v>
      </c>
      <c r="H1170" s="4">
        <v>150.94</v>
      </c>
      <c r="I1170" s="4">
        <v>78.45</v>
      </c>
      <c r="J1170" s="4">
        <v>72.489999999999995</v>
      </c>
      <c r="K1170" s="4">
        <v>11.65</v>
      </c>
      <c r="L1170" s="4">
        <v>88</v>
      </c>
      <c r="M1170" s="4" t="s">
        <v>28</v>
      </c>
      <c r="N1170" s="4" t="s">
        <v>38</v>
      </c>
      <c r="O1170" s="4" t="s">
        <v>44</v>
      </c>
      <c r="P1170" s="4" t="s">
        <v>75</v>
      </c>
    </row>
    <row r="1171" spans="1:16" x14ac:dyDescent="0.3">
      <c r="A1171" s="4">
        <v>2023</v>
      </c>
      <c r="B1171" s="4" t="s">
        <v>15</v>
      </c>
      <c r="C1171" s="4" t="s">
        <v>22</v>
      </c>
      <c r="D1171" s="4" t="s">
        <v>53</v>
      </c>
      <c r="E1171" s="4">
        <v>417</v>
      </c>
      <c r="F1171" s="4">
        <v>215</v>
      </c>
      <c r="G1171" s="4">
        <v>187</v>
      </c>
      <c r="H1171" s="4">
        <v>89.66</v>
      </c>
      <c r="I1171" s="4">
        <v>77.98</v>
      </c>
      <c r="J1171" s="4">
        <v>11.68</v>
      </c>
      <c r="K1171" s="4">
        <v>4.74</v>
      </c>
      <c r="L1171" s="4">
        <v>96</v>
      </c>
      <c r="M1171" s="4" t="s">
        <v>28</v>
      </c>
      <c r="N1171" s="4" t="s">
        <v>38</v>
      </c>
      <c r="O1171" s="4" t="s">
        <v>44</v>
      </c>
      <c r="P1171" s="4" t="s">
        <v>75</v>
      </c>
    </row>
    <row r="1172" spans="1:16" x14ac:dyDescent="0.3">
      <c r="A1172" s="4">
        <v>2024</v>
      </c>
      <c r="B1172" s="4" t="s">
        <v>32</v>
      </c>
      <c r="C1172" s="4" t="s">
        <v>33</v>
      </c>
      <c r="D1172" s="4" t="s">
        <v>50</v>
      </c>
      <c r="E1172" s="4">
        <v>83</v>
      </c>
      <c r="F1172" s="4">
        <v>396</v>
      </c>
      <c r="G1172" s="4">
        <v>203</v>
      </c>
      <c r="H1172" s="4">
        <v>32.869999999999997</v>
      </c>
      <c r="I1172" s="4">
        <v>16.850000000000001</v>
      </c>
      <c r="J1172" s="4">
        <v>16.02</v>
      </c>
      <c r="K1172" s="4">
        <v>-0.23</v>
      </c>
      <c r="L1172" s="4">
        <v>101</v>
      </c>
      <c r="M1172" s="4" t="s">
        <v>28</v>
      </c>
      <c r="N1172" s="4" t="s">
        <v>24</v>
      </c>
      <c r="O1172" s="4" t="s">
        <v>63</v>
      </c>
      <c r="P1172" s="4" t="s">
        <v>73</v>
      </c>
    </row>
    <row r="1173" spans="1:16" x14ac:dyDescent="0.3">
      <c r="A1173" s="4">
        <v>2023</v>
      </c>
      <c r="B1173" s="4" t="s">
        <v>39</v>
      </c>
      <c r="C1173" s="4" t="s">
        <v>33</v>
      </c>
      <c r="D1173" s="4" t="s">
        <v>34</v>
      </c>
      <c r="E1173" s="4">
        <v>358</v>
      </c>
      <c r="F1173" s="4">
        <v>278</v>
      </c>
      <c r="G1173" s="4">
        <v>132</v>
      </c>
      <c r="H1173" s="4">
        <v>99.52</v>
      </c>
      <c r="I1173" s="4">
        <v>47.26</v>
      </c>
      <c r="J1173" s="4">
        <v>52.27</v>
      </c>
      <c r="K1173" s="4">
        <v>0.6</v>
      </c>
      <c r="L1173" s="4">
        <v>186</v>
      </c>
      <c r="M1173" s="4" t="s">
        <v>28</v>
      </c>
      <c r="N1173" s="4" t="s">
        <v>19</v>
      </c>
      <c r="O1173" s="4" t="s">
        <v>62</v>
      </c>
      <c r="P1173" s="4" t="s">
        <v>74</v>
      </c>
    </row>
    <row r="1174" spans="1:16" x14ac:dyDescent="0.3">
      <c r="A1174" s="4">
        <v>2025</v>
      </c>
      <c r="B1174" s="4" t="s">
        <v>15</v>
      </c>
      <c r="C1174" s="4" t="s">
        <v>35</v>
      </c>
      <c r="D1174" s="4" t="s">
        <v>40</v>
      </c>
      <c r="E1174" s="4">
        <v>483</v>
      </c>
      <c r="F1174" s="4">
        <v>371</v>
      </c>
      <c r="G1174" s="4">
        <v>204</v>
      </c>
      <c r="H1174" s="4">
        <v>179.19</v>
      </c>
      <c r="I1174" s="4">
        <v>98.53</v>
      </c>
      <c r="J1174" s="4">
        <v>80.66</v>
      </c>
      <c r="K1174" s="4">
        <v>7.0000000000000007E-2</v>
      </c>
      <c r="L1174" s="4">
        <v>32</v>
      </c>
      <c r="M1174" s="4" t="s">
        <v>37</v>
      </c>
      <c r="N1174" s="4" t="s">
        <v>19</v>
      </c>
      <c r="O1174" s="4" t="s">
        <v>62</v>
      </c>
      <c r="P1174" s="4" t="s">
        <v>72</v>
      </c>
    </row>
    <row r="1175" spans="1:16" x14ac:dyDescent="0.3">
      <c r="A1175" s="4">
        <v>2023</v>
      </c>
      <c r="B1175" s="4" t="s">
        <v>29</v>
      </c>
      <c r="C1175" s="4" t="s">
        <v>22</v>
      </c>
      <c r="D1175" s="4" t="s">
        <v>59</v>
      </c>
      <c r="E1175" s="4">
        <v>130</v>
      </c>
      <c r="F1175" s="4">
        <v>452</v>
      </c>
      <c r="G1175" s="4">
        <v>220</v>
      </c>
      <c r="H1175" s="4">
        <v>58.76</v>
      </c>
      <c r="I1175" s="4">
        <v>28.6</v>
      </c>
      <c r="J1175" s="4">
        <v>30.16</v>
      </c>
      <c r="K1175" s="4">
        <v>12.97</v>
      </c>
      <c r="L1175" s="4">
        <v>213</v>
      </c>
      <c r="M1175" s="4" t="s">
        <v>18</v>
      </c>
      <c r="N1175" s="4" t="s">
        <v>19</v>
      </c>
      <c r="O1175" s="4" t="s">
        <v>62</v>
      </c>
      <c r="P1175" s="4" t="s">
        <v>75</v>
      </c>
    </row>
    <row r="1176" spans="1:16" x14ac:dyDescent="0.3">
      <c r="A1176" s="4">
        <v>2025</v>
      </c>
      <c r="B1176" s="4" t="s">
        <v>49</v>
      </c>
      <c r="C1176" s="4" t="s">
        <v>26</v>
      </c>
      <c r="D1176" s="4" t="s">
        <v>52</v>
      </c>
      <c r="E1176" s="4">
        <v>444</v>
      </c>
      <c r="F1176" s="4">
        <v>153</v>
      </c>
      <c r="G1176" s="4">
        <v>114</v>
      </c>
      <c r="H1176" s="4">
        <v>67.930000000000007</v>
      </c>
      <c r="I1176" s="4">
        <v>50.62</v>
      </c>
      <c r="J1176" s="4">
        <v>17.32</v>
      </c>
      <c r="K1176" s="4">
        <v>5.4</v>
      </c>
      <c r="L1176" s="4">
        <v>280</v>
      </c>
      <c r="M1176" s="4" t="s">
        <v>37</v>
      </c>
      <c r="N1176" s="4" t="s">
        <v>19</v>
      </c>
      <c r="O1176" s="4" t="s">
        <v>62</v>
      </c>
      <c r="P1176" s="4" t="s">
        <v>75</v>
      </c>
    </row>
    <row r="1177" spans="1:16" x14ac:dyDescent="0.3">
      <c r="A1177" s="4">
        <v>2023</v>
      </c>
      <c r="B1177" s="4" t="s">
        <v>51</v>
      </c>
      <c r="C1177" s="4" t="s">
        <v>16</v>
      </c>
      <c r="D1177" s="4" t="s">
        <v>56</v>
      </c>
      <c r="E1177" s="4">
        <v>251</v>
      </c>
      <c r="F1177" s="4">
        <v>169</v>
      </c>
      <c r="G1177" s="4">
        <v>47</v>
      </c>
      <c r="H1177" s="4">
        <v>42.42</v>
      </c>
      <c r="I1177" s="4">
        <v>11.8</v>
      </c>
      <c r="J1177" s="4">
        <v>30.62</v>
      </c>
      <c r="K1177" s="4">
        <v>-9.09</v>
      </c>
      <c r="L1177" s="4">
        <v>150</v>
      </c>
      <c r="M1177" s="4" t="s">
        <v>28</v>
      </c>
      <c r="N1177" s="4" t="s">
        <v>24</v>
      </c>
      <c r="O1177" s="4" t="s">
        <v>63</v>
      </c>
      <c r="P1177" s="4" t="s">
        <v>75</v>
      </c>
    </row>
    <row r="1178" spans="1:16" x14ac:dyDescent="0.3">
      <c r="A1178" s="4">
        <v>2024</v>
      </c>
      <c r="B1178" s="4" t="s">
        <v>39</v>
      </c>
      <c r="C1178" s="4" t="s">
        <v>26</v>
      </c>
      <c r="D1178" s="4" t="s">
        <v>27</v>
      </c>
      <c r="E1178" s="4">
        <v>413</v>
      </c>
      <c r="F1178" s="4">
        <v>390</v>
      </c>
      <c r="G1178" s="4">
        <v>221</v>
      </c>
      <c r="H1178" s="4">
        <v>161.07</v>
      </c>
      <c r="I1178" s="4">
        <v>91.27</v>
      </c>
      <c r="J1178" s="4">
        <v>69.8</v>
      </c>
      <c r="K1178" s="4">
        <v>-8.76</v>
      </c>
      <c r="L1178" s="4">
        <v>117</v>
      </c>
      <c r="M1178" s="4" t="s">
        <v>37</v>
      </c>
      <c r="N1178" s="4" t="s">
        <v>24</v>
      </c>
      <c r="O1178" s="4" t="s">
        <v>63</v>
      </c>
      <c r="P1178" s="4" t="s">
        <v>72</v>
      </c>
    </row>
    <row r="1179" spans="1:16" x14ac:dyDescent="0.3">
      <c r="A1179" s="4">
        <v>2023</v>
      </c>
      <c r="B1179" s="4" t="s">
        <v>32</v>
      </c>
      <c r="C1179" s="4" t="s">
        <v>16</v>
      </c>
      <c r="D1179" s="4" t="s">
        <v>17</v>
      </c>
      <c r="E1179" s="4">
        <v>403</v>
      </c>
      <c r="F1179" s="4">
        <v>109</v>
      </c>
      <c r="G1179" s="4">
        <v>80</v>
      </c>
      <c r="H1179" s="4">
        <v>43.93</v>
      </c>
      <c r="I1179" s="4">
        <v>32.24</v>
      </c>
      <c r="J1179" s="4">
        <v>11.69</v>
      </c>
      <c r="K1179" s="4">
        <v>11.38</v>
      </c>
      <c r="L1179" s="4">
        <v>295</v>
      </c>
      <c r="M1179" s="4" t="s">
        <v>28</v>
      </c>
      <c r="N1179" s="4" t="s">
        <v>31</v>
      </c>
      <c r="O1179" s="4" t="s">
        <v>42</v>
      </c>
      <c r="P1179" s="4" t="s">
        <v>71</v>
      </c>
    </row>
    <row r="1180" spans="1:16" x14ac:dyDescent="0.3">
      <c r="A1180" s="4">
        <v>2023</v>
      </c>
      <c r="B1180" s="4" t="s">
        <v>41</v>
      </c>
      <c r="C1180" s="4" t="s">
        <v>26</v>
      </c>
      <c r="D1180" s="4" t="s">
        <v>27</v>
      </c>
      <c r="E1180" s="4">
        <v>484</v>
      </c>
      <c r="F1180" s="4">
        <v>362</v>
      </c>
      <c r="G1180" s="4">
        <v>39</v>
      </c>
      <c r="H1180" s="4">
        <v>175.21</v>
      </c>
      <c r="I1180" s="4">
        <v>18.88</v>
      </c>
      <c r="J1180" s="4">
        <v>156.33000000000001</v>
      </c>
      <c r="K1180" s="4">
        <v>16.11</v>
      </c>
      <c r="L1180" s="4">
        <v>79</v>
      </c>
      <c r="M1180" s="4" t="s">
        <v>37</v>
      </c>
      <c r="N1180" s="4" t="s">
        <v>31</v>
      </c>
      <c r="O1180" s="4" t="s">
        <v>42</v>
      </c>
      <c r="P1180" s="4" t="s">
        <v>73</v>
      </c>
    </row>
    <row r="1181" spans="1:16" x14ac:dyDescent="0.3">
      <c r="A1181" s="4">
        <v>2025</v>
      </c>
      <c r="B1181" s="4" t="s">
        <v>47</v>
      </c>
      <c r="C1181" s="4" t="s">
        <v>33</v>
      </c>
      <c r="D1181" s="4" t="s">
        <v>54</v>
      </c>
      <c r="E1181" s="4">
        <v>79</v>
      </c>
      <c r="F1181" s="4">
        <v>270</v>
      </c>
      <c r="G1181" s="4">
        <v>138</v>
      </c>
      <c r="H1181" s="4">
        <v>21.33</v>
      </c>
      <c r="I1181" s="4">
        <v>10.9</v>
      </c>
      <c r="J1181" s="4">
        <v>10.43</v>
      </c>
      <c r="K1181" s="4">
        <v>13.71</v>
      </c>
      <c r="L1181" s="4">
        <v>96</v>
      </c>
      <c r="M1181" s="4" t="s">
        <v>28</v>
      </c>
      <c r="N1181" s="4" t="s">
        <v>19</v>
      </c>
      <c r="O1181" s="4" t="s">
        <v>62</v>
      </c>
      <c r="P1181" s="4" t="s">
        <v>71</v>
      </c>
    </row>
    <row r="1182" spans="1:16" x14ac:dyDescent="0.3">
      <c r="A1182" s="4">
        <v>2024</v>
      </c>
      <c r="B1182" s="4" t="s">
        <v>39</v>
      </c>
      <c r="C1182" s="4" t="s">
        <v>16</v>
      </c>
      <c r="D1182" s="4" t="s">
        <v>56</v>
      </c>
      <c r="E1182" s="4">
        <v>304</v>
      </c>
      <c r="F1182" s="4">
        <v>206</v>
      </c>
      <c r="G1182" s="4">
        <v>177</v>
      </c>
      <c r="H1182" s="4">
        <v>62.62</v>
      </c>
      <c r="I1182" s="4">
        <v>53.81</v>
      </c>
      <c r="J1182" s="4">
        <v>8.82</v>
      </c>
      <c r="K1182" s="4">
        <v>15.33</v>
      </c>
      <c r="L1182" s="4">
        <v>136</v>
      </c>
      <c r="M1182" s="4" t="s">
        <v>37</v>
      </c>
      <c r="N1182" s="4" t="s">
        <v>38</v>
      </c>
      <c r="O1182" s="4" t="s">
        <v>44</v>
      </c>
      <c r="P1182" s="4" t="s">
        <v>71</v>
      </c>
    </row>
    <row r="1183" spans="1:16" x14ac:dyDescent="0.3">
      <c r="A1183" s="4">
        <v>2025</v>
      </c>
      <c r="B1183" s="4" t="s">
        <v>57</v>
      </c>
      <c r="C1183" s="4" t="s">
        <v>16</v>
      </c>
      <c r="D1183" s="4" t="s">
        <v>56</v>
      </c>
      <c r="E1183" s="4">
        <v>288</v>
      </c>
      <c r="F1183" s="4">
        <v>472</v>
      </c>
      <c r="G1183" s="4">
        <v>291</v>
      </c>
      <c r="H1183" s="4">
        <v>135.94</v>
      </c>
      <c r="I1183" s="4">
        <v>83.81</v>
      </c>
      <c r="J1183" s="4">
        <v>52.13</v>
      </c>
      <c r="K1183" s="4">
        <v>-2.93</v>
      </c>
      <c r="L1183" s="4">
        <v>56</v>
      </c>
      <c r="M1183" s="4" t="s">
        <v>37</v>
      </c>
      <c r="N1183" s="4" t="s">
        <v>19</v>
      </c>
      <c r="O1183" s="4" t="s">
        <v>62</v>
      </c>
      <c r="P1183" s="4" t="s">
        <v>71</v>
      </c>
    </row>
    <row r="1184" spans="1:16" x14ac:dyDescent="0.3">
      <c r="A1184" s="4">
        <v>2024</v>
      </c>
      <c r="B1184" s="4" t="s">
        <v>47</v>
      </c>
      <c r="C1184" s="4" t="s">
        <v>33</v>
      </c>
      <c r="D1184" s="4" t="s">
        <v>50</v>
      </c>
      <c r="E1184" s="4">
        <v>449</v>
      </c>
      <c r="F1184" s="4">
        <v>276</v>
      </c>
      <c r="G1184" s="4">
        <v>157</v>
      </c>
      <c r="H1184" s="4">
        <v>123.92</v>
      </c>
      <c r="I1184" s="4">
        <v>70.489999999999995</v>
      </c>
      <c r="J1184" s="4">
        <v>53.43</v>
      </c>
      <c r="K1184" s="4">
        <v>17.09</v>
      </c>
      <c r="L1184" s="4">
        <v>275</v>
      </c>
      <c r="M1184" s="4" t="s">
        <v>18</v>
      </c>
      <c r="N1184" s="4" t="s">
        <v>31</v>
      </c>
      <c r="O1184" s="4" t="s">
        <v>42</v>
      </c>
      <c r="P1184" s="4" t="s">
        <v>75</v>
      </c>
    </row>
    <row r="1185" spans="1:16" x14ac:dyDescent="0.3">
      <c r="A1185" s="4">
        <v>2023</v>
      </c>
      <c r="B1185" s="4" t="s">
        <v>32</v>
      </c>
      <c r="C1185" s="4" t="s">
        <v>16</v>
      </c>
      <c r="D1185" s="4" t="s">
        <v>30</v>
      </c>
      <c r="E1185" s="4">
        <v>225</v>
      </c>
      <c r="F1185" s="4">
        <v>227</v>
      </c>
      <c r="G1185" s="4">
        <v>198</v>
      </c>
      <c r="H1185" s="4">
        <v>51.08</v>
      </c>
      <c r="I1185" s="4">
        <v>44.55</v>
      </c>
      <c r="J1185" s="4">
        <v>6.53</v>
      </c>
      <c r="K1185" s="4">
        <v>23.44</v>
      </c>
      <c r="L1185" s="4">
        <v>31</v>
      </c>
      <c r="M1185" s="4" t="s">
        <v>18</v>
      </c>
      <c r="N1185" s="4" t="s">
        <v>31</v>
      </c>
      <c r="O1185" s="4" t="s">
        <v>42</v>
      </c>
      <c r="P1185" s="4" t="s">
        <v>74</v>
      </c>
    </row>
    <row r="1186" spans="1:16" x14ac:dyDescent="0.3">
      <c r="A1186" s="4">
        <v>2025</v>
      </c>
      <c r="B1186" s="4" t="s">
        <v>21</v>
      </c>
      <c r="C1186" s="4" t="s">
        <v>22</v>
      </c>
      <c r="D1186" s="4" t="s">
        <v>59</v>
      </c>
      <c r="E1186" s="4">
        <v>255</v>
      </c>
      <c r="F1186" s="4">
        <v>332</v>
      </c>
      <c r="G1186" s="4">
        <v>126</v>
      </c>
      <c r="H1186" s="4">
        <v>84.66</v>
      </c>
      <c r="I1186" s="4">
        <v>32.130000000000003</v>
      </c>
      <c r="J1186" s="4">
        <v>52.53</v>
      </c>
      <c r="K1186" s="4">
        <v>12.14</v>
      </c>
      <c r="L1186" s="4">
        <v>142</v>
      </c>
      <c r="M1186" s="4" t="s">
        <v>28</v>
      </c>
      <c r="N1186" s="4" t="s">
        <v>19</v>
      </c>
      <c r="O1186" s="4" t="s">
        <v>62</v>
      </c>
      <c r="P1186" s="4" t="s">
        <v>73</v>
      </c>
    </row>
    <row r="1187" spans="1:16" x14ac:dyDescent="0.3">
      <c r="A1187" s="4">
        <v>2025</v>
      </c>
      <c r="B1187" s="4" t="s">
        <v>41</v>
      </c>
      <c r="C1187" s="4" t="s">
        <v>22</v>
      </c>
      <c r="D1187" s="4" t="s">
        <v>55</v>
      </c>
      <c r="E1187" s="4">
        <v>118</v>
      </c>
      <c r="F1187" s="4">
        <v>151</v>
      </c>
      <c r="G1187" s="4">
        <v>117</v>
      </c>
      <c r="H1187" s="4">
        <v>17.82</v>
      </c>
      <c r="I1187" s="4">
        <v>13.81</v>
      </c>
      <c r="J1187" s="4">
        <v>4.01</v>
      </c>
      <c r="K1187" s="4">
        <v>12.09</v>
      </c>
      <c r="L1187" s="4">
        <v>120</v>
      </c>
      <c r="M1187" s="4" t="s">
        <v>28</v>
      </c>
      <c r="N1187" s="4" t="s">
        <v>31</v>
      </c>
      <c r="O1187" s="4" t="s">
        <v>42</v>
      </c>
      <c r="P1187" s="4" t="s">
        <v>71</v>
      </c>
    </row>
    <row r="1188" spans="1:16" x14ac:dyDescent="0.3">
      <c r="A1188" s="4">
        <v>2024</v>
      </c>
      <c r="B1188" s="4" t="s">
        <v>41</v>
      </c>
      <c r="C1188" s="4" t="s">
        <v>16</v>
      </c>
      <c r="D1188" s="4" t="s">
        <v>17</v>
      </c>
      <c r="E1188" s="4">
        <v>461</v>
      </c>
      <c r="F1188" s="4">
        <v>155</v>
      </c>
      <c r="G1188" s="4">
        <v>42</v>
      </c>
      <c r="H1188" s="4">
        <v>71.45</v>
      </c>
      <c r="I1188" s="4">
        <v>19.36</v>
      </c>
      <c r="J1188" s="4">
        <v>52.09</v>
      </c>
      <c r="K1188" s="4">
        <v>8.34</v>
      </c>
      <c r="L1188" s="4">
        <v>56</v>
      </c>
      <c r="M1188" s="4" t="s">
        <v>28</v>
      </c>
      <c r="N1188" s="4" t="s">
        <v>19</v>
      </c>
      <c r="O1188" s="4" t="s">
        <v>62</v>
      </c>
      <c r="P1188" s="4" t="s">
        <v>72</v>
      </c>
    </row>
    <row r="1189" spans="1:16" x14ac:dyDescent="0.3">
      <c r="A1189" s="4">
        <v>2023</v>
      </c>
      <c r="B1189" s="4" t="s">
        <v>49</v>
      </c>
      <c r="C1189" s="4" t="s">
        <v>33</v>
      </c>
      <c r="D1189" s="4" t="s">
        <v>54</v>
      </c>
      <c r="E1189" s="4">
        <v>392</v>
      </c>
      <c r="F1189" s="4">
        <v>493</v>
      </c>
      <c r="G1189" s="4">
        <v>142</v>
      </c>
      <c r="H1189" s="4">
        <v>193.26</v>
      </c>
      <c r="I1189" s="4">
        <v>55.66</v>
      </c>
      <c r="J1189" s="4">
        <v>137.59</v>
      </c>
      <c r="K1189" s="4">
        <v>-6.6</v>
      </c>
      <c r="L1189" s="4">
        <v>232</v>
      </c>
      <c r="M1189" s="4" t="s">
        <v>37</v>
      </c>
      <c r="N1189" s="4" t="s">
        <v>31</v>
      </c>
      <c r="O1189" s="4" t="s">
        <v>42</v>
      </c>
      <c r="P1189" s="4" t="s">
        <v>74</v>
      </c>
    </row>
    <row r="1190" spans="1:16" x14ac:dyDescent="0.3">
      <c r="A1190" s="4">
        <v>2024</v>
      </c>
      <c r="B1190" s="4" t="s">
        <v>51</v>
      </c>
      <c r="C1190" s="4" t="s">
        <v>35</v>
      </c>
      <c r="D1190" s="4" t="s">
        <v>36</v>
      </c>
      <c r="E1190" s="4">
        <v>226</v>
      </c>
      <c r="F1190" s="4">
        <v>218</v>
      </c>
      <c r="G1190" s="4">
        <v>128</v>
      </c>
      <c r="H1190" s="4">
        <v>49.27</v>
      </c>
      <c r="I1190" s="4">
        <v>28.93</v>
      </c>
      <c r="J1190" s="4">
        <v>20.34</v>
      </c>
      <c r="K1190" s="4">
        <v>20.440000000000001</v>
      </c>
      <c r="L1190" s="4">
        <v>36</v>
      </c>
      <c r="M1190" s="4" t="s">
        <v>37</v>
      </c>
      <c r="N1190" s="4" t="s">
        <v>31</v>
      </c>
      <c r="O1190" s="4" t="s">
        <v>42</v>
      </c>
      <c r="P1190" s="4" t="s">
        <v>72</v>
      </c>
    </row>
    <row r="1191" spans="1:16" x14ac:dyDescent="0.3">
      <c r="A1191" s="4">
        <v>2023</v>
      </c>
      <c r="B1191" s="4" t="s">
        <v>15</v>
      </c>
      <c r="C1191" s="4" t="s">
        <v>35</v>
      </c>
      <c r="D1191" s="4" t="s">
        <v>40</v>
      </c>
      <c r="E1191" s="4">
        <v>230</v>
      </c>
      <c r="F1191" s="4">
        <v>229</v>
      </c>
      <c r="G1191" s="4">
        <v>113</v>
      </c>
      <c r="H1191" s="4">
        <v>52.67</v>
      </c>
      <c r="I1191" s="4">
        <v>25.99</v>
      </c>
      <c r="J1191" s="4">
        <v>26.68</v>
      </c>
      <c r="K1191" s="4">
        <v>-9.5500000000000007</v>
      </c>
      <c r="L1191" s="4">
        <v>251</v>
      </c>
      <c r="M1191" s="4" t="s">
        <v>28</v>
      </c>
      <c r="N1191" s="4" t="s">
        <v>31</v>
      </c>
      <c r="O1191" s="4" t="s">
        <v>42</v>
      </c>
      <c r="P1191" s="4" t="s">
        <v>73</v>
      </c>
    </row>
    <row r="1192" spans="1:16" x14ac:dyDescent="0.3">
      <c r="A1192" s="4">
        <v>2023</v>
      </c>
      <c r="B1192" s="4" t="s">
        <v>45</v>
      </c>
      <c r="C1192" s="4" t="s">
        <v>16</v>
      </c>
      <c r="D1192" s="4" t="s">
        <v>17</v>
      </c>
      <c r="E1192" s="4">
        <v>57</v>
      </c>
      <c r="F1192" s="4">
        <v>285</v>
      </c>
      <c r="G1192" s="4">
        <v>49</v>
      </c>
      <c r="H1192" s="4">
        <v>16.25</v>
      </c>
      <c r="I1192" s="4">
        <v>2.79</v>
      </c>
      <c r="J1192" s="4">
        <v>13.45</v>
      </c>
      <c r="K1192" s="4">
        <v>-5.73</v>
      </c>
      <c r="L1192" s="4">
        <v>161</v>
      </c>
      <c r="M1192" s="4" t="s">
        <v>37</v>
      </c>
      <c r="N1192" s="4" t="s">
        <v>31</v>
      </c>
      <c r="O1192" s="4" t="s">
        <v>42</v>
      </c>
      <c r="P1192" s="4" t="s">
        <v>72</v>
      </c>
    </row>
    <row r="1193" spans="1:16" x14ac:dyDescent="0.3">
      <c r="A1193" s="4">
        <v>2024</v>
      </c>
      <c r="B1193" s="4" t="s">
        <v>46</v>
      </c>
      <c r="C1193" s="4" t="s">
        <v>22</v>
      </c>
      <c r="D1193" s="4" t="s">
        <v>53</v>
      </c>
      <c r="E1193" s="4">
        <v>119</v>
      </c>
      <c r="F1193" s="4">
        <v>398</v>
      </c>
      <c r="G1193" s="4">
        <v>201</v>
      </c>
      <c r="H1193" s="4">
        <v>47.36</v>
      </c>
      <c r="I1193" s="4">
        <v>23.92</v>
      </c>
      <c r="J1193" s="4">
        <v>23.44</v>
      </c>
      <c r="K1193" s="4">
        <v>14.25</v>
      </c>
      <c r="L1193" s="4">
        <v>39</v>
      </c>
      <c r="M1193" s="4" t="s">
        <v>37</v>
      </c>
      <c r="N1193" s="4" t="s">
        <v>19</v>
      </c>
      <c r="O1193" s="4" t="s">
        <v>62</v>
      </c>
      <c r="P1193" s="4" t="s">
        <v>74</v>
      </c>
    </row>
    <row r="1194" spans="1:16" x14ac:dyDescent="0.3">
      <c r="A1194" s="4">
        <v>2024</v>
      </c>
      <c r="B1194" s="4" t="s">
        <v>47</v>
      </c>
      <c r="C1194" s="4" t="s">
        <v>35</v>
      </c>
      <c r="D1194" s="4" t="s">
        <v>36</v>
      </c>
      <c r="E1194" s="4">
        <v>323</v>
      </c>
      <c r="F1194" s="4">
        <v>64</v>
      </c>
      <c r="G1194" s="4">
        <v>43</v>
      </c>
      <c r="H1194" s="4">
        <v>20.67</v>
      </c>
      <c r="I1194" s="4">
        <v>13.89</v>
      </c>
      <c r="J1194" s="4">
        <v>6.78</v>
      </c>
      <c r="K1194" s="4">
        <v>7.01</v>
      </c>
      <c r="L1194" s="4">
        <v>278</v>
      </c>
      <c r="M1194" s="4" t="s">
        <v>18</v>
      </c>
      <c r="N1194" s="4" t="s">
        <v>19</v>
      </c>
      <c r="O1194" s="4" t="s">
        <v>62</v>
      </c>
      <c r="P1194" s="4" t="s">
        <v>74</v>
      </c>
    </row>
    <row r="1195" spans="1:16" x14ac:dyDescent="0.3">
      <c r="A1195" s="4">
        <v>2024</v>
      </c>
      <c r="B1195" s="4" t="s">
        <v>39</v>
      </c>
      <c r="C1195" s="4" t="s">
        <v>16</v>
      </c>
      <c r="D1195" s="4" t="s">
        <v>17</v>
      </c>
      <c r="E1195" s="4">
        <v>466</v>
      </c>
      <c r="F1195" s="4">
        <v>119</v>
      </c>
      <c r="G1195" s="4">
        <v>83</v>
      </c>
      <c r="H1195" s="4">
        <v>55.45</v>
      </c>
      <c r="I1195" s="4">
        <v>38.68</v>
      </c>
      <c r="J1195" s="4">
        <v>16.78</v>
      </c>
      <c r="K1195" s="4">
        <v>10.26</v>
      </c>
      <c r="L1195" s="4">
        <v>230</v>
      </c>
      <c r="M1195" s="4" t="s">
        <v>37</v>
      </c>
      <c r="N1195" s="4" t="s">
        <v>31</v>
      </c>
      <c r="O1195" s="4" t="s">
        <v>42</v>
      </c>
      <c r="P1195" s="4" t="s">
        <v>76</v>
      </c>
    </row>
    <row r="1196" spans="1:16" x14ac:dyDescent="0.3">
      <c r="A1196" s="4">
        <v>2025</v>
      </c>
      <c r="B1196" s="4" t="s">
        <v>29</v>
      </c>
      <c r="C1196" s="4" t="s">
        <v>35</v>
      </c>
      <c r="D1196" s="4" t="s">
        <v>43</v>
      </c>
      <c r="E1196" s="4">
        <v>211</v>
      </c>
      <c r="F1196" s="4">
        <v>208</v>
      </c>
      <c r="G1196" s="4">
        <v>88</v>
      </c>
      <c r="H1196" s="4">
        <v>43.89</v>
      </c>
      <c r="I1196" s="4">
        <v>18.57</v>
      </c>
      <c r="J1196" s="4">
        <v>25.32</v>
      </c>
      <c r="K1196" s="4">
        <v>11.57</v>
      </c>
      <c r="L1196" s="4">
        <v>292</v>
      </c>
      <c r="M1196" s="4" t="s">
        <v>28</v>
      </c>
      <c r="N1196" s="4" t="s">
        <v>38</v>
      </c>
      <c r="O1196" s="4" t="s">
        <v>44</v>
      </c>
      <c r="P1196" s="4" t="s">
        <v>71</v>
      </c>
    </row>
    <row r="1197" spans="1:16" x14ac:dyDescent="0.3">
      <c r="A1197" s="4">
        <v>2025</v>
      </c>
      <c r="B1197" s="4" t="s">
        <v>51</v>
      </c>
      <c r="C1197" s="4" t="s">
        <v>33</v>
      </c>
      <c r="D1197" s="4" t="s">
        <v>34</v>
      </c>
      <c r="E1197" s="4">
        <v>328</v>
      </c>
      <c r="F1197" s="4">
        <v>365</v>
      </c>
      <c r="G1197" s="4">
        <v>102</v>
      </c>
      <c r="H1197" s="4">
        <v>119.72</v>
      </c>
      <c r="I1197" s="4">
        <v>33.46</v>
      </c>
      <c r="J1197" s="4">
        <v>86.26</v>
      </c>
      <c r="K1197" s="4">
        <v>-1.54</v>
      </c>
      <c r="L1197" s="4">
        <v>277</v>
      </c>
      <c r="M1197" s="4" t="s">
        <v>37</v>
      </c>
      <c r="N1197" s="4" t="s">
        <v>24</v>
      </c>
      <c r="O1197" s="4" t="s">
        <v>63</v>
      </c>
      <c r="P1197" s="4" t="s">
        <v>71</v>
      </c>
    </row>
    <row r="1198" spans="1:16" x14ac:dyDescent="0.3">
      <c r="A1198" s="4">
        <v>2025</v>
      </c>
      <c r="B1198" s="4" t="s">
        <v>32</v>
      </c>
      <c r="C1198" s="4" t="s">
        <v>16</v>
      </c>
      <c r="D1198" s="4" t="s">
        <v>17</v>
      </c>
      <c r="E1198" s="4">
        <v>275</v>
      </c>
      <c r="F1198" s="4">
        <v>344</v>
      </c>
      <c r="G1198" s="4">
        <v>312</v>
      </c>
      <c r="H1198" s="4">
        <v>94.6</v>
      </c>
      <c r="I1198" s="4">
        <v>85.8</v>
      </c>
      <c r="J1198" s="4">
        <v>8.8000000000000007</v>
      </c>
      <c r="K1198" s="4">
        <v>-4.16</v>
      </c>
      <c r="L1198" s="4">
        <v>294</v>
      </c>
      <c r="M1198" s="4" t="s">
        <v>28</v>
      </c>
      <c r="N1198" s="4" t="s">
        <v>24</v>
      </c>
      <c r="O1198" s="4" t="s">
        <v>63</v>
      </c>
      <c r="P1198" s="4" t="s">
        <v>72</v>
      </c>
    </row>
    <row r="1199" spans="1:16" x14ac:dyDescent="0.3">
      <c r="A1199" s="4">
        <v>2025</v>
      </c>
      <c r="B1199" s="4" t="s">
        <v>32</v>
      </c>
      <c r="C1199" s="4" t="s">
        <v>35</v>
      </c>
      <c r="D1199" s="4" t="s">
        <v>36</v>
      </c>
      <c r="E1199" s="4">
        <v>448</v>
      </c>
      <c r="F1199" s="4">
        <v>216</v>
      </c>
      <c r="G1199" s="4">
        <v>59</v>
      </c>
      <c r="H1199" s="4">
        <v>96.77</v>
      </c>
      <c r="I1199" s="4">
        <v>26.43</v>
      </c>
      <c r="J1199" s="4">
        <v>70.34</v>
      </c>
      <c r="K1199" s="4">
        <v>-0.32</v>
      </c>
      <c r="L1199" s="4">
        <v>47</v>
      </c>
      <c r="M1199" s="4" t="s">
        <v>18</v>
      </c>
      <c r="N1199" s="4" t="s">
        <v>38</v>
      </c>
      <c r="O1199" s="4" t="s">
        <v>44</v>
      </c>
      <c r="P1199" s="4" t="s">
        <v>71</v>
      </c>
    </row>
    <row r="1200" spans="1:16" x14ac:dyDescent="0.3">
      <c r="A1200" s="4">
        <v>2024</v>
      </c>
      <c r="B1200" s="4" t="s">
        <v>29</v>
      </c>
      <c r="C1200" s="4" t="s">
        <v>35</v>
      </c>
      <c r="D1200" s="4" t="s">
        <v>40</v>
      </c>
      <c r="E1200" s="4">
        <v>65</v>
      </c>
      <c r="F1200" s="4">
        <v>295</v>
      </c>
      <c r="G1200" s="4">
        <v>117</v>
      </c>
      <c r="H1200" s="4">
        <v>19.18</v>
      </c>
      <c r="I1200" s="4">
        <v>7.61</v>
      </c>
      <c r="J1200" s="4">
        <v>11.57</v>
      </c>
      <c r="K1200" s="4">
        <v>3.6</v>
      </c>
      <c r="L1200" s="4">
        <v>204</v>
      </c>
      <c r="M1200" s="4" t="s">
        <v>18</v>
      </c>
      <c r="N1200" s="4" t="s">
        <v>24</v>
      </c>
      <c r="O1200" s="4" t="s">
        <v>63</v>
      </c>
      <c r="P1200" s="4" t="s">
        <v>74</v>
      </c>
    </row>
    <row r="1201" spans="1:16" x14ac:dyDescent="0.3">
      <c r="A1201" s="4">
        <v>2023</v>
      </c>
      <c r="B1201" s="4" t="s">
        <v>21</v>
      </c>
      <c r="C1201" s="4" t="s">
        <v>22</v>
      </c>
      <c r="D1201" s="4" t="s">
        <v>59</v>
      </c>
      <c r="E1201" s="4">
        <v>52</v>
      </c>
      <c r="F1201" s="4">
        <v>106</v>
      </c>
      <c r="G1201" s="4">
        <v>63</v>
      </c>
      <c r="H1201" s="4">
        <v>5.51</v>
      </c>
      <c r="I1201" s="4">
        <v>3.28</v>
      </c>
      <c r="J1201" s="4">
        <v>2.2400000000000002</v>
      </c>
      <c r="K1201" s="4">
        <v>2.68</v>
      </c>
      <c r="L1201" s="4">
        <v>202</v>
      </c>
      <c r="M1201" s="4" t="s">
        <v>18</v>
      </c>
      <c r="N1201" s="4" t="s">
        <v>19</v>
      </c>
      <c r="O1201" s="4" t="s">
        <v>62</v>
      </c>
      <c r="P1201" s="4" t="s">
        <v>74</v>
      </c>
    </row>
    <row r="1202" spans="1:16" x14ac:dyDescent="0.3">
      <c r="A1202" s="4">
        <v>2025</v>
      </c>
      <c r="B1202" s="4" t="s">
        <v>15</v>
      </c>
      <c r="C1202" s="4" t="s">
        <v>26</v>
      </c>
      <c r="D1202" s="4" t="s">
        <v>27</v>
      </c>
      <c r="E1202" s="4">
        <v>272</v>
      </c>
      <c r="F1202" s="4">
        <v>283</v>
      </c>
      <c r="G1202" s="4">
        <v>224</v>
      </c>
      <c r="H1202" s="4">
        <v>76.98</v>
      </c>
      <c r="I1202" s="4">
        <v>60.93</v>
      </c>
      <c r="J1202" s="4">
        <v>16.05</v>
      </c>
      <c r="K1202" s="4">
        <v>-8.94</v>
      </c>
      <c r="L1202" s="4">
        <v>175</v>
      </c>
      <c r="M1202" s="4" t="s">
        <v>28</v>
      </c>
      <c r="N1202" s="4" t="s">
        <v>19</v>
      </c>
      <c r="O1202" s="4" t="s">
        <v>62</v>
      </c>
      <c r="P1202" s="4" t="s">
        <v>72</v>
      </c>
    </row>
    <row r="1203" spans="1:16" x14ac:dyDescent="0.3">
      <c r="A1203" s="4">
        <v>2025</v>
      </c>
      <c r="B1203" s="4" t="s">
        <v>15</v>
      </c>
      <c r="C1203" s="4" t="s">
        <v>26</v>
      </c>
      <c r="D1203" s="4" t="s">
        <v>52</v>
      </c>
      <c r="E1203" s="4">
        <v>55</v>
      </c>
      <c r="F1203" s="4">
        <v>264</v>
      </c>
      <c r="G1203" s="4">
        <v>143</v>
      </c>
      <c r="H1203" s="4">
        <v>14.52</v>
      </c>
      <c r="I1203" s="4">
        <v>7.87</v>
      </c>
      <c r="J1203" s="4">
        <v>6.65</v>
      </c>
      <c r="K1203" s="4">
        <v>-9.85</v>
      </c>
      <c r="L1203" s="4">
        <v>151</v>
      </c>
      <c r="M1203" s="4" t="s">
        <v>18</v>
      </c>
      <c r="N1203" s="4" t="s">
        <v>38</v>
      </c>
      <c r="O1203" s="4" t="s">
        <v>44</v>
      </c>
      <c r="P1203" s="4" t="s">
        <v>74</v>
      </c>
    </row>
    <row r="1204" spans="1:16" x14ac:dyDescent="0.3">
      <c r="A1204" s="4">
        <v>2024</v>
      </c>
      <c r="B1204" s="4" t="s">
        <v>41</v>
      </c>
      <c r="C1204" s="4" t="s">
        <v>26</v>
      </c>
      <c r="D1204" s="4" t="s">
        <v>27</v>
      </c>
      <c r="E1204" s="4">
        <v>198</v>
      </c>
      <c r="F1204" s="4">
        <v>286</v>
      </c>
      <c r="G1204" s="4">
        <v>159</v>
      </c>
      <c r="H1204" s="4">
        <v>56.63</v>
      </c>
      <c r="I1204" s="4">
        <v>31.48</v>
      </c>
      <c r="J1204" s="4">
        <v>25.15</v>
      </c>
      <c r="K1204" s="4">
        <v>-0.87</v>
      </c>
      <c r="L1204" s="4">
        <v>180</v>
      </c>
      <c r="M1204" s="4" t="s">
        <v>28</v>
      </c>
      <c r="N1204" s="4" t="s">
        <v>24</v>
      </c>
      <c r="O1204" s="4" t="s">
        <v>63</v>
      </c>
      <c r="P1204" s="4" t="s">
        <v>72</v>
      </c>
    </row>
    <row r="1205" spans="1:16" x14ac:dyDescent="0.3">
      <c r="A1205" s="4">
        <v>2025</v>
      </c>
      <c r="B1205" s="4" t="s">
        <v>57</v>
      </c>
      <c r="C1205" s="4" t="s">
        <v>22</v>
      </c>
      <c r="D1205" s="4" t="s">
        <v>55</v>
      </c>
      <c r="E1205" s="4">
        <v>96</v>
      </c>
      <c r="F1205" s="4">
        <v>128</v>
      </c>
      <c r="G1205" s="4">
        <v>82</v>
      </c>
      <c r="H1205" s="4">
        <v>12.29</v>
      </c>
      <c r="I1205" s="4">
        <v>7.87</v>
      </c>
      <c r="J1205" s="4">
        <v>4.42</v>
      </c>
      <c r="K1205" s="4">
        <v>24.95</v>
      </c>
      <c r="L1205" s="4">
        <v>47</v>
      </c>
      <c r="M1205" s="4" t="s">
        <v>37</v>
      </c>
      <c r="N1205" s="4" t="s">
        <v>31</v>
      </c>
      <c r="O1205" s="4" t="s">
        <v>42</v>
      </c>
      <c r="P1205" s="4" t="s">
        <v>71</v>
      </c>
    </row>
  </sheetData>
  <mergeCells count="1">
    <mergeCell ref="E2:G2"/>
  </mergeCells>
  <pageMargins left="0.75" right="0.75" top="1" bottom="1" header="0.5" footer="0.5"/>
  <pageSetup orientation="portrait"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12337-2B17-4C78-961E-47F0CFB0DD57}">
  <dimension ref="A1:AN1213"/>
  <sheetViews>
    <sheetView topLeftCell="A4" zoomScale="85" zoomScaleNormal="85" workbookViewId="0">
      <selection activeCell="X6" sqref="X6"/>
    </sheetView>
  </sheetViews>
  <sheetFormatPr defaultRowHeight="14.4" x14ac:dyDescent="0.3"/>
  <cols>
    <col min="1" max="1" width="19.33203125" bestFit="1" customWidth="1"/>
    <col min="2" max="2" width="12.5546875" bestFit="1" customWidth="1"/>
    <col min="3" max="3" width="17" bestFit="1" customWidth="1"/>
    <col min="4" max="4" width="13.33203125" bestFit="1" customWidth="1"/>
    <col min="5" max="5" width="15.5546875" bestFit="1" customWidth="1"/>
    <col min="6" max="6" width="13.33203125" bestFit="1" customWidth="1"/>
    <col min="7" max="8" width="15.5546875" bestFit="1" customWidth="1"/>
    <col min="9" max="9" width="11.33203125" bestFit="1" customWidth="1"/>
    <col min="10" max="10" width="7.88671875" bestFit="1" customWidth="1"/>
    <col min="11" max="11" width="11.33203125" bestFit="1" customWidth="1"/>
    <col min="15" max="15" width="12.44140625" bestFit="1" customWidth="1"/>
    <col min="24" max="24" width="13.6640625" bestFit="1" customWidth="1"/>
    <col min="34" max="34" width="13.6640625" bestFit="1" customWidth="1"/>
    <col min="35" max="35" width="17" bestFit="1" customWidth="1"/>
    <col min="36" max="36" width="18.5546875" bestFit="1" customWidth="1"/>
    <col min="37" max="37" width="23.6640625" bestFit="1" customWidth="1"/>
    <col min="38" max="38" width="19.33203125" bestFit="1" customWidth="1"/>
    <col min="39" max="39" width="13.33203125" bestFit="1" customWidth="1"/>
    <col min="40" max="40" width="15.5546875" bestFit="1" customWidth="1"/>
  </cols>
  <sheetData>
    <row r="1" spans="1:40" x14ac:dyDescent="0.3">
      <c r="A1" s="1" t="s">
        <v>60</v>
      </c>
    </row>
    <row r="2" spans="1:40" x14ac:dyDescent="0.3">
      <c r="A2" s="2" t="s">
        <v>33</v>
      </c>
      <c r="AM2" s="1" t="s">
        <v>60</v>
      </c>
      <c r="AN2" t="s">
        <v>68</v>
      </c>
    </row>
    <row r="3" spans="1:40" x14ac:dyDescent="0.3">
      <c r="A3" s="2" t="s">
        <v>22</v>
      </c>
      <c r="D3" s="1" t="s">
        <v>60</v>
      </c>
      <c r="E3" t="s">
        <v>65</v>
      </c>
      <c r="F3" t="s">
        <v>67</v>
      </c>
      <c r="AM3" s="2" t="s">
        <v>15</v>
      </c>
      <c r="AN3">
        <v>6961.0399999999991</v>
      </c>
    </row>
    <row r="4" spans="1:40" x14ac:dyDescent="0.3">
      <c r="A4" s="2" t="s">
        <v>26</v>
      </c>
      <c r="D4" s="2" t="s">
        <v>33</v>
      </c>
      <c r="E4">
        <v>69318</v>
      </c>
      <c r="F4">
        <v>37550</v>
      </c>
      <c r="AM4" s="2" t="s">
        <v>51</v>
      </c>
      <c r="AN4">
        <v>7804.1200000000008</v>
      </c>
    </row>
    <row r="5" spans="1:40" x14ac:dyDescent="0.3">
      <c r="A5" s="2" t="s">
        <v>16</v>
      </c>
      <c r="D5" s="2" t="s">
        <v>22</v>
      </c>
      <c r="E5">
        <v>69154</v>
      </c>
      <c r="F5">
        <v>40220</v>
      </c>
      <c r="AM5" s="2" t="s">
        <v>39</v>
      </c>
      <c r="AN5">
        <v>6622.8400000000011</v>
      </c>
    </row>
    <row r="6" spans="1:40" x14ac:dyDescent="0.3">
      <c r="A6" s="2" t="s">
        <v>35</v>
      </c>
      <c r="D6" s="2" t="s">
        <v>26</v>
      </c>
      <c r="E6">
        <v>69874</v>
      </c>
      <c r="F6">
        <v>38961</v>
      </c>
      <c r="AH6" s="1" t="s">
        <v>60</v>
      </c>
      <c r="AK6" s="1" t="s">
        <v>60</v>
      </c>
      <c r="AM6" s="2" t="s">
        <v>49</v>
      </c>
      <c r="AN6">
        <v>8373.630000000001</v>
      </c>
    </row>
    <row r="7" spans="1:40" x14ac:dyDescent="0.3">
      <c r="A7" s="2" t="s">
        <v>61</v>
      </c>
      <c r="D7" s="2" t="s">
        <v>16</v>
      </c>
      <c r="E7">
        <v>66453</v>
      </c>
      <c r="F7">
        <v>39154</v>
      </c>
      <c r="M7" t="s">
        <v>82</v>
      </c>
      <c r="X7" s="1" t="s">
        <v>60</v>
      </c>
      <c r="AH7" s="2" t="s">
        <v>19</v>
      </c>
      <c r="AK7" s="2" t="s">
        <v>25</v>
      </c>
      <c r="AM7" s="2" t="s">
        <v>46</v>
      </c>
      <c r="AN7">
        <v>7167.2100000000019</v>
      </c>
    </row>
    <row r="8" spans="1:40" x14ac:dyDescent="0.3">
      <c r="D8" s="2" t="s">
        <v>35</v>
      </c>
      <c r="E8">
        <v>57739</v>
      </c>
      <c r="F8">
        <v>35470</v>
      </c>
      <c r="X8" s="2" t="s">
        <v>19</v>
      </c>
      <c r="AH8" s="2" t="s">
        <v>31</v>
      </c>
      <c r="AK8" s="2" t="s">
        <v>20</v>
      </c>
      <c r="AM8" s="2" t="s">
        <v>29</v>
      </c>
      <c r="AN8">
        <v>9023.3700000000008</v>
      </c>
    </row>
    <row r="9" spans="1:40" x14ac:dyDescent="0.3">
      <c r="D9" s="2" t="s">
        <v>61</v>
      </c>
      <c r="E9">
        <v>332538</v>
      </c>
      <c r="F9">
        <v>191355</v>
      </c>
      <c r="X9" s="2" t="s">
        <v>31</v>
      </c>
      <c r="AH9" s="2" t="s">
        <v>38</v>
      </c>
      <c r="AK9" s="2" t="s">
        <v>44</v>
      </c>
      <c r="AM9" s="2" t="s">
        <v>21</v>
      </c>
      <c r="AN9">
        <v>8370.2200000000012</v>
      </c>
    </row>
    <row r="10" spans="1:40" x14ac:dyDescent="0.3">
      <c r="X10" s="2" t="s">
        <v>38</v>
      </c>
      <c r="AH10" s="2" t="s">
        <v>24</v>
      </c>
      <c r="AK10" s="2" t="s">
        <v>42</v>
      </c>
      <c r="AM10" s="2" t="s">
        <v>45</v>
      </c>
      <c r="AN10">
        <v>5663.6399999999994</v>
      </c>
    </row>
    <row r="11" spans="1:40" x14ac:dyDescent="0.3">
      <c r="X11" s="2" t="s">
        <v>24</v>
      </c>
      <c r="AH11" s="2" t="s">
        <v>61</v>
      </c>
      <c r="AK11" s="2" t="s">
        <v>61</v>
      </c>
      <c r="AM11" s="2" t="s">
        <v>32</v>
      </c>
      <c r="AN11">
        <v>6918.3400000000011</v>
      </c>
    </row>
    <row r="12" spans="1:40" x14ac:dyDescent="0.3">
      <c r="X12" s="2" t="s">
        <v>61</v>
      </c>
      <c r="AM12" s="2" t="s">
        <v>41</v>
      </c>
      <c r="AN12">
        <v>7638.4999999999982</v>
      </c>
    </row>
    <row r="13" spans="1:40" x14ac:dyDescent="0.3">
      <c r="I13" t="s">
        <v>80</v>
      </c>
      <c r="J13" t="s">
        <v>81</v>
      </c>
      <c r="AM13" s="2" t="s">
        <v>47</v>
      </c>
      <c r="AN13">
        <v>7434.1499999999987</v>
      </c>
    </row>
    <row r="14" spans="1:40" x14ac:dyDescent="0.3">
      <c r="A14" s="1" t="s">
        <v>60</v>
      </c>
      <c r="B14" t="s">
        <v>64</v>
      </c>
      <c r="I14" s="4" t="s">
        <v>71</v>
      </c>
      <c r="J14" s="4">
        <v>51</v>
      </c>
      <c r="AM14" s="2" t="s">
        <v>57</v>
      </c>
      <c r="AN14">
        <v>8491.6800000000021</v>
      </c>
    </row>
    <row r="15" spans="1:40" x14ac:dyDescent="0.3">
      <c r="A15" s="2" t="s">
        <v>33</v>
      </c>
      <c r="B15">
        <v>9519.9700000000048</v>
      </c>
      <c r="I15" s="4" t="s">
        <v>71</v>
      </c>
      <c r="J15" s="4">
        <v>370</v>
      </c>
      <c r="O15" t="s">
        <v>83</v>
      </c>
      <c r="P15" s="23">
        <f>SUMIF(N19:N1218,"Maharashtra",F19:F1218)</f>
        <v>0</v>
      </c>
      <c r="AH15" s="1" t="s">
        <v>60</v>
      </c>
      <c r="AI15" t="s">
        <v>69</v>
      </c>
      <c r="AJ15" s="1" t="s">
        <v>60</v>
      </c>
      <c r="AK15" t="s">
        <v>70</v>
      </c>
      <c r="AM15" s="2" t="s">
        <v>61</v>
      </c>
      <c r="AN15">
        <v>90468.74</v>
      </c>
    </row>
    <row r="16" spans="1:40" x14ac:dyDescent="0.3">
      <c r="A16" s="2" t="s">
        <v>22</v>
      </c>
      <c r="B16">
        <v>8922.8300000000017</v>
      </c>
      <c r="D16" s="1" t="s">
        <v>60</v>
      </c>
      <c r="E16" t="s">
        <v>68</v>
      </c>
      <c r="I16" s="4" t="s">
        <v>72</v>
      </c>
      <c r="J16" s="4">
        <v>82</v>
      </c>
      <c r="O16" t="s">
        <v>84</v>
      </c>
      <c r="P16" s="23">
        <f t="shared" ref="P16:P20" si="0">SUMIF(N20:N1219,"Maharashtra",F20:F1219)</f>
        <v>0</v>
      </c>
      <c r="AH16" s="2" t="s">
        <v>19</v>
      </c>
      <c r="AI16">
        <v>305</v>
      </c>
      <c r="AJ16" s="2" t="s">
        <v>25</v>
      </c>
      <c r="AK16">
        <v>293</v>
      </c>
    </row>
    <row r="17" spans="1:39" x14ac:dyDescent="0.3">
      <c r="A17" s="2" t="s">
        <v>26</v>
      </c>
      <c r="B17">
        <v>8945.3799999999901</v>
      </c>
      <c r="D17" s="2" t="s">
        <v>41</v>
      </c>
      <c r="E17">
        <v>7638.5000000000018</v>
      </c>
      <c r="I17" s="4" t="s">
        <v>73</v>
      </c>
      <c r="J17" s="4">
        <v>467</v>
      </c>
      <c r="O17" t="s">
        <v>88</v>
      </c>
      <c r="P17" s="23">
        <f t="shared" si="0"/>
        <v>0</v>
      </c>
      <c r="AH17" s="2" t="s">
        <v>31</v>
      </c>
      <c r="AI17">
        <v>286</v>
      </c>
      <c r="AJ17" s="2" t="s">
        <v>20</v>
      </c>
      <c r="AK17">
        <v>285</v>
      </c>
    </row>
    <row r="18" spans="1:39" x14ac:dyDescent="0.3">
      <c r="A18" s="2" t="s">
        <v>16</v>
      </c>
      <c r="B18">
        <v>8232.2999999999975</v>
      </c>
      <c r="D18" s="2" t="s">
        <v>61</v>
      </c>
      <c r="E18">
        <v>7638.5000000000018</v>
      </c>
      <c r="I18" s="4" t="s">
        <v>71</v>
      </c>
      <c r="J18" s="4">
        <v>404</v>
      </c>
      <c r="O18" s="6" t="s">
        <v>85</v>
      </c>
      <c r="P18" s="23">
        <f t="shared" si="0"/>
        <v>0</v>
      </c>
      <c r="AH18" s="2" t="s">
        <v>38</v>
      </c>
      <c r="AI18">
        <v>303</v>
      </c>
      <c r="AJ18" s="2" t="s">
        <v>44</v>
      </c>
      <c r="AK18">
        <v>326</v>
      </c>
    </row>
    <row r="19" spans="1:39" x14ac:dyDescent="0.3">
      <c r="A19" s="2" t="s">
        <v>35</v>
      </c>
      <c r="B19">
        <v>6900.4100000000008</v>
      </c>
      <c r="I19" s="4" t="s">
        <v>73</v>
      </c>
      <c r="J19" s="4">
        <v>62</v>
      </c>
      <c r="O19" s="31" t="s">
        <v>86</v>
      </c>
      <c r="P19" s="23">
        <f t="shared" si="0"/>
        <v>0</v>
      </c>
      <c r="AH19" s="2" t="s">
        <v>24</v>
      </c>
      <c r="AI19">
        <v>306</v>
      </c>
      <c r="AJ19" s="2" t="s">
        <v>42</v>
      </c>
      <c r="AK19">
        <v>296</v>
      </c>
    </row>
    <row r="20" spans="1:39" x14ac:dyDescent="0.3">
      <c r="A20" s="2" t="s">
        <v>61</v>
      </c>
      <c r="B20">
        <v>42520.89</v>
      </c>
      <c r="F20" s="1" t="s">
        <v>60</v>
      </c>
      <c r="G20" t="s">
        <v>68</v>
      </c>
      <c r="I20" s="4" t="s">
        <v>74</v>
      </c>
      <c r="J20" s="4">
        <v>142</v>
      </c>
      <c r="O20" t="s">
        <v>87</v>
      </c>
      <c r="P20" s="23">
        <f t="shared" si="0"/>
        <v>0</v>
      </c>
      <c r="AH20" s="2" t="s">
        <v>61</v>
      </c>
      <c r="AI20">
        <v>1200</v>
      </c>
      <c r="AJ20" s="2" t="s">
        <v>61</v>
      </c>
      <c r="AK20">
        <v>1200</v>
      </c>
    </row>
    <row r="21" spans="1:39" x14ac:dyDescent="0.3">
      <c r="F21" s="2" t="s">
        <v>15</v>
      </c>
      <c r="G21" s="23">
        <v>6961.0399999999991</v>
      </c>
      <c r="I21" s="4" t="s">
        <v>75</v>
      </c>
      <c r="J21" s="4">
        <v>377</v>
      </c>
      <c r="AM21" t="s">
        <v>64</v>
      </c>
    </row>
    <row r="22" spans="1:39" x14ac:dyDescent="0.3">
      <c r="F22" s="2" t="s">
        <v>51</v>
      </c>
      <c r="G22" s="23">
        <v>7804.1200000000008</v>
      </c>
      <c r="I22" s="4" t="s">
        <v>76</v>
      </c>
      <c r="J22" s="4">
        <v>171</v>
      </c>
      <c r="AM22">
        <v>42520.890000000021</v>
      </c>
    </row>
    <row r="23" spans="1:39" x14ac:dyDescent="0.3">
      <c r="F23" s="2" t="s">
        <v>39</v>
      </c>
      <c r="G23" s="23">
        <v>6622.8400000000011</v>
      </c>
      <c r="I23" s="4" t="s">
        <v>72</v>
      </c>
      <c r="J23" s="4">
        <v>214</v>
      </c>
    </row>
    <row r="24" spans="1:39" x14ac:dyDescent="0.3">
      <c r="F24" s="2" t="s">
        <v>49</v>
      </c>
      <c r="G24" s="23">
        <v>8373.630000000001</v>
      </c>
      <c r="I24" s="4" t="s">
        <v>74</v>
      </c>
      <c r="J24" s="4">
        <v>72</v>
      </c>
    </row>
    <row r="25" spans="1:39" x14ac:dyDescent="0.3">
      <c r="F25" s="2" t="s">
        <v>46</v>
      </c>
      <c r="G25" s="23">
        <v>7167.2100000000019</v>
      </c>
      <c r="I25" s="4" t="s">
        <v>71</v>
      </c>
      <c r="J25" s="4">
        <v>157</v>
      </c>
    </row>
    <row r="26" spans="1:39" x14ac:dyDescent="0.3">
      <c r="D26" s="1" t="s">
        <v>60</v>
      </c>
      <c r="E26" t="s">
        <v>66</v>
      </c>
      <c r="F26" s="2" t="s">
        <v>29</v>
      </c>
      <c r="G26" s="23">
        <v>9023.3700000000008</v>
      </c>
      <c r="I26" s="4" t="s">
        <v>71</v>
      </c>
      <c r="J26" s="4">
        <v>116</v>
      </c>
      <c r="AH26" s="1" t="s">
        <v>60</v>
      </c>
    </row>
    <row r="27" spans="1:39" x14ac:dyDescent="0.3">
      <c r="D27" s="2" t="s">
        <v>15</v>
      </c>
      <c r="E27">
        <v>593.50999999999988</v>
      </c>
      <c r="F27" s="2" t="s">
        <v>21</v>
      </c>
      <c r="G27" s="23">
        <v>8370.2200000000012</v>
      </c>
      <c r="I27" s="4" t="s">
        <v>74</v>
      </c>
      <c r="J27" s="4">
        <v>316</v>
      </c>
      <c r="AH27" s="2" t="s">
        <v>19</v>
      </c>
    </row>
    <row r="28" spans="1:39" x14ac:dyDescent="0.3">
      <c r="D28" s="2" t="s">
        <v>51</v>
      </c>
      <c r="E28">
        <v>724.71999999999991</v>
      </c>
      <c r="F28" s="2" t="s">
        <v>45</v>
      </c>
      <c r="G28" s="23">
        <v>5663.6399999999994</v>
      </c>
      <c r="I28" s="4" t="s">
        <v>74</v>
      </c>
      <c r="J28" s="4">
        <v>421</v>
      </c>
      <c r="AH28" s="2" t="s">
        <v>31</v>
      </c>
      <c r="AJ28" s="1" t="s">
        <v>7</v>
      </c>
      <c r="AK28" t="s">
        <v>78</v>
      </c>
    </row>
    <row r="29" spans="1:39" x14ac:dyDescent="0.3">
      <c r="D29" s="2" t="s">
        <v>39</v>
      </c>
      <c r="E29">
        <v>631.78000000000009</v>
      </c>
      <c r="F29" s="2" t="s">
        <v>32</v>
      </c>
      <c r="G29" s="23">
        <v>6918.3400000000011</v>
      </c>
      <c r="I29" s="4" t="s">
        <v>71</v>
      </c>
      <c r="J29" s="4">
        <v>334</v>
      </c>
      <c r="AH29" s="2" t="s">
        <v>38</v>
      </c>
    </row>
    <row r="30" spans="1:39" x14ac:dyDescent="0.3">
      <c r="D30" s="2" t="s">
        <v>49</v>
      </c>
      <c r="E30">
        <v>703.6</v>
      </c>
      <c r="F30" s="2" t="s">
        <v>41</v>
      </c>
      <c r="G30" s="23">
        <v>7638.4999999999982</v>
      </c>
      <c r="I30" s="4" t="s">
        <v>72</v>
      </c>
      <c r="J30" s="4">
        <v>100</v>
      </c>
      <c r="AH30" s="2" t="s">
        <v>24</v>
      </c>
      <c r="AJ30" s="1" t="s">
        <v>60</v>
      </c>
      <c r="AK30" t="s">
        <v>68</v>
      </c>
    </row>
    <row r="31" spans="1:39" x14ac:dyDescent="0.3">
      <c r="D31" s="2" t="s">
        <v>46</v>
      </c>
      <c r="E31">
        <v>748.39</v>
      </c>
      <c r="F31" s="2" t="s">
        <v>47</v>
      </c>
      <c r="G31" s="23">
        <v>7434.1499999999987</v>
      </c>
      <c r="I31" s="4" t="s">
        <v>71</v>
      </c>
      <c r="J31" s="4">
        <v>142</v>
      </c>
      <c r="AH31" s="2" t="s">
        <v>61</v>
      </c>
      <c r="AJ31" s="2" t="s">
        <v>58</v>
      </c>
      <c r="AK31" s="23">
        <v>6057.920000000001</v>
      </c>
    </row>
    <row r="32" spans="1:39" x14ac:dyDescent="0.3">
      <c r="D32" s="2" t="s">
        <v>29</v>
      </c>
      <c r="E32">
        <v>820.27000000000021</v>
      </c>
      <c r="F32" s="2" t="s">
        <v>57</v>
      </c>
      <c r="G32" s="23">
        <v>8491.6800000000021</v>
      </c>
      <c r="I32" s="4" t="s">
        <v>71</v>
      </c>
      <c r="J32" s="4">
        <v>234</v>
      </c>
      <c r="AJ32" s="2" t="s">
        <v>52</v>
      </c>
      <c r="AK32" s="23">
        <v>6299.5999999999995</v>
      </c>
    </row>
    <row r="33" spans="4:38" x14ac:dyDescent="0.3">
      <c r="D33" s="2" t="s">
        <v>21</v>
      </c>
      <c r="E33">
        <v>951.16</v>
      </c>
      <c r="F33" s="2" t="s">
        <v>61</v>
      </c>
      <c r="G33">
        <v>90468.74</v>
      </c>
      <c r="I33" s="4" t="s">
        <v>73</v>
      </c>
      <c r="J33" s="4">
        <v>373</v>
      </c>
      <c r="AJ33" s="2" t="s">
        <v>17</v>
      </c>
      <c r="AK33" s="23">
        <v>6333.6</v>
      </c>
    </row>
    <row r="34" spans="4:38" x14ac:dyDescent="0.3">
      <c r="D34" s="2" t="s">
        <v>45</v>
      </c>
      <c r="E34">
        <v>727.19999999999993</v>
      </c>
      <c r="I34" s="4" t="s">
        <v>76</v>
      </c>
      <c r="J34" s="4">
        <v>79</v>
      </c>
      <c r="AJ34" s="2" t="s">
        <v>30</v>
      </c>
      <c r="AK34" s="23">
        <v>6514.6500000000005</v>
      </c>
    </row>
    <row r="35" spans="4:38" x14ac:dyDescent="0.3">
      <c r="D35" s="2" t="s">
        <v>32</v>
      </c>
      <c r="E35">
        <v>694.89000000000033</v>
      </c>
      <c r="I35" s="4" t="s">
        <v>73</v>
      </c>
      <c r="J35" s="4">
        <v>195</v>
      </c>
      <c r="AJ35" s="2" t="s">
        <v>27</v>
      </c>
      <c r="AK35" s="23">
        <v>6532.05</v>
      </c>
    </row>
    <row r="36" spans="4:38" x14ac:dyDescent="0.3">
      <c r="D36" s="2" t="s">
        <v>41</v>
      </c>
      <c r="E36">
        <v>781.42</v>
      </c>
      <c r="I36" s="4" t="s">
        <v>71</v>
      </c>
      <c r="J36" s="4">
        <v>131</v>
      </c>
      <c r="AJ36" s="2" t="s">
        <v>61</v>
      </c>
      <c r="AK36" s="23">
        <v>31737.820000000003</v>
      </c>
    </row>
    <row r="37" spans="4:38" x14ac:dyDescent="0.3">
      <c r="D37" s="2" t="s">
        <v>47</v>
      </c>
      <c r="E37">
        <v>691.73000000000013</v>
      </c>
      <c r="I37" s="4" t="s">
        <v>75</v>
      </c>
      <c r="J37" s="4">
        <v>137</v>
      </c>
      <c r="AL37" s="1" t="s">
        <v>60</v>
      </c>
    </row>
    <row r="38" spans="4:38" x14ac:dyDescent="0.3">
      <c r="D38" s="2" t="s">
        <v>57</v>
      </c>
      <c r="E38">
        <v>938.6100000000007</v>
      </c>
      <c r="I38" s="4" t="s">
        <v>75</v>
      </c>
      <c r="J38" s="4">
        <v>315</v>
      </c>
      <c r="AL38" s="2" t="s">
        <v>33</v>
      </c>
    </row>
    <row r="39" spans="4:38" x14ac:dyDescent="0.3">
      <c r="D39" s="2" t="s">
        <v>61</v>
      </c>
      <c r="E39">
        <v>9007.2800000000007</v>
      </c>
      <c r="I39" s="4" t="s">
        <v>76</v>
      </c>
      <c r="J39" s="4">
        <v>175</v>
      </c>
      <c r="AL39" s="2" t="s">
        <v>22</v>
      </c>
    </row>
    <row r="40" spans="4:38" x14ac:dyDescent="0.3">
      <c r="I40" s="4" t="s">
        <v>74</v>
      </c>
      <c r="J40" s="4">
        <v>364</v>
      </c>
      <c r="AL40" s="2" t="s">
        <v>26</v>
      </c>
    </row>
    <row r="41" spans="4:38" x14ac:dyDescent="0.3">
      <c r="I41" s="4" t="s">
        <v>75</v>
      </c>
      <c r="J41" s="4">
        <v>316</v>
      </c>
      <c r="AL41" s="2" t="s">
        <v>16</v>
      </c>
    </row>
    <row r="42" spans="4:38" x14ac:dyDescent="0.3">
      <c r="I42" s="4" t="s">
        <v>74</v>
      </c>
      <c r="J42" s="4">
        <v>295</v>
      </c>
      <c r="AL42" s="2" t="s">
        <v>35</v>
      </c>
    </row>
    <row r="43" spans="4:38" x14ac:dyDescent="0.3">
      <c r="I43" s="4" t="s">
        <v>74</v>
      </c>
      <c r="J43" s="4">
        <v>235</v>
      </c>
      <c r="AL43" s="2" t="s">
        <v>61</v>
      </c>
    </row>
    <row r="44" spans="4:38" x14ac:dyDescent="0.3">
      <c r="I44" s="4" t="s">
        <v>73</v>
      </c>
      <c r="J44" s="4">
        <v>407</v>
      </c>
    </row>
    <row r="45" spans="4:38" x14ac:dyDescent="0.3">
      <c r="I45" s="4" t="s">
        <v>73</v>
      </c>
      <c r="J45" s="4">
        <v>312</v>
      </c>
    </row>
    <row r="46" spans="4:38" x14ac:dyDescent="0.3">
      <c r="I46" s="4" t="s">
        <v>75</v>
      </c>
      <c r="J46" s="4">
        <v>500</v>
      </c>
    </row>
    <row r="47" spans="4:38" x14ac:dyDescent="0.3">
      <c r="I47" s="4" t="s">
        <v>76</v>
      </c>
      <c r="J47" s="4">
        <v>218</v>
      </c>
    </row>
    <row r="48" spans="4:38" x14ac:dyDescent="0.3">
      <c r="I48" s="4" t="s">
        <v>72</v>
      </c>
      <c r="J48" s="4">
        <v>195</v>
      </c>
    </row>
    <row r="49" spans="9:10" x14ac:dyDescent="0.3">
      <c r="I49" s="4" t="s">
        <v>71</v>
      </c>
      <c r="J49" s="4">
        <v>456</v>
      </c>
    </row>
    <row r="50" spans="9:10" x14ac:dyDescent="0.3">
      <c r="I50" s="4" t="s">
        <v>75</v>
      </c>
      <c r="J50" s="4">
        <v>130</v>
      </c>
    </row>
    <row r="51" spans="9:10" x14ac:dyDescent="0.3">
      <c r="I51" s="4" t="s">
        <v>74</v>
      </c>
      <c r="J51" s="4">
        <v>204</v>
      </c>
    </row>
    <row r="52" spans="9:10" x14ac:dyDescent="0.3">
      <c r="I52" s="4" t="s">
        <v>71</v>
      </c>
      <c r="J52" s="4">
        <v>270</v>
      </c>
    </row>
    <row r="53" spans="9:10" x14ac:dyDescent="0.3">
      <c r="I53" s="4" t="s">
        <v>71</v>
      </c>
      <c r="J53" s="4">
        <v>289</v>
      </c>
    </row>
    <row r="54" spans="9:10" x14ac:dyDescent="0.3">
      <c r="I54" s="4" t="s">
        <v>72</v>
      </c>
      <c r="J54" s="4">
        <v>252</v>
      </c>
    </row>
    <row r="55" spans="9:10" x14ac:dyDescent="0.3">
      <c r="I55" s="4" t="s">
        <v>73</v>
      </c>
      <c r="J55" s="4">
        <v>123</v>
      </c>
    </row>
    <row r="56" spans="9:10" x14ac:dyDescent="0.3">
      <c r="I56" s="4" t="s">
        <v>71</v>
      </c>
      <c r="J56" s="4">
        <v>262</v>
      </c>
    </row>
    <row r="57" spans="9:10" x14ac:dyDescent="0.3">
      <c r="I57" s="4" t="s">
        <v>76</v>
      </c>
      <c r="J57" s="4">
        <v>381</v>
      </c>
    </row>
    <row r="58" spans="9:10" x14ac:dyDescent="0.3">
      <c r="I58" s="4" t="s">
        <v>73</v>
      </c>
      <c r="J58" s="4">
        <v>81</v>
      </c>
    </row>
    <row r="59" spans="9:10" x14ac:dyDescent="0.3">
      <c r="I59" s="4" t="s">
        <v>71</v>
      </c>
      <c r="J59" s="4">
        <v>249</v>
      </c>
    </row>
    <row r="60" spans="9:10" x14ac:dyDescent="0.3">
      <c r="I60" s="4" t="s">
        <v>72</v>
      </c>
      <c r="J60" s="4">
        <v>262</v>
      </c>
    </row>
    <row r="61" spans="9:10" x14ac:dyDescent="0.3">
      <c r="I61" s="4" t="s">
        <v>76</v>
      </c>
      <c r="J61" s="4">
        <v>377</v>
      </c>
    </row>
    <row r="62" spans="9:10" x14ac:dyDescent="0.3">
      <c r="I62" s="4" t="s">
        <v>74</v>
      </c>
      <c r="J62" s="4">
        <v>436</v>
      </c>
    </row>
    <row r="63" spans="9:10" x14ac:dyDescent="0.3">
      <c r="I63" s="4" t="s">
        <v>73</v>
      </c>
      <c r="J63" s="4">
        <v>216</v>
      </c>
    </row>
    <row r="64" spans="9:10" x14ac:dyDescent="0.3">
      <c r="I64" s="4" t="s">
        <v>73</v>
      </c>
      <c r="J64" s="4">
        <v>303</v>
      </c>
    </row>
    <row r="65" spans="9:10" x14ac:dyDescent="0.3">
      <c r="I65" s="4" t="s">
        <v>73</v>
      </c>
      <c r="J65" s="4">
        <v>74</v>
      </c>
    </row>
    <row r="66" spans="9:10" x14ac:dyDescent="0.3">
      <c r="I66" s="4" t="s">
        <v>74</v>
      </c>
      <c r="J66" s="4">
        <v>88</v>
      </c>
    </row>
    <row r="67" spans="9:10" x14ac:dyDescent="0.3">
      <c r="I67" s="4" t="s">
        <v>73</v>
      </c>
      <c r="J67" s="4">
        <v>288</v>
      </c>
    </row>
    <row r="68" spans="9:10" x14ac:dyDescent="0.3">
      <c r="I68" s="4" t="s">
        <v>75</v>
      </c>
      <c r="J68" s="4">
        <v>295</v>
      </c>
    </row>
    <row r="69" spans="9:10" x14ac:dyDescent="0.3">
      <c r="I69" s="4" t="s">
        <v>76</v>
      </c>
      <c r="J69" s="4">
        <v>407</v>
      </c>
    </row>
    <row r="70" spans="9:10" x14ac:dyDescent="0.3">
      <c r="I70" s="4" t="s">
        <v>72</v>
      </c>
      <c r="J70" s="4">
        <v>183</v>
      </c>
    </row>
    <row r="71" spans="9:10" x14ac:dyDescent="0.3">
      <c r="I71" s="4" t="s">
        <v>76</v>
      </c>
      <c r="J71" s="4">
        <v>242</v>
      </c>
    </row>
    <row r="72" spans="9:10" x14ac:dyDescent="0.3">
      <c r="I72" s="4" t="s">
        <v>72</v>
      </c>
      <c r="J72" s="4">
        <v>398</v>
      </c>
    </row>
    <row r="73" spans="9:10" x14ac:dyDescent="0.3">
      <c r="I73" s="4" t="s">
        <v>72</v>
      </c>
      <c r="J73" s="4">
        <v>180</v>
      </c>
    </row>
    <row r="74" spans="9:10" x14ac:dyDescent="0.3">
      <c r="I74" s="4" t="s">
        <v>71</v>
      </c>
      <c r="J74" s="4">
        <v>228</v>
      </c>
    </row>
    <row r="75" spans="9:10" x14ac:dyDescent="0.3">
      <c r="I75" s="4" t="s">
        <v>76</v>
      </c>
      <c r="J75" s="4">
        <v>359</v>
      </c>
    </row>
    <row r="76" spans="9:10" x14ac:dyDescent="0.3">
      <c r="I76" s="4" t="s">
        <v>74</v>
      </c>
      <c r="J76" s="4">
        <v>239</v>
      </c>
    </row>
    <row r="77" spans="9:10" x14ac:dyDescent="0.3">
      <c r="I77" s="4" t="s">
        <v>71</v>
      </c>
      <c r="J77" s="4">
        <v>361</v>
      </c>
    </row>
    <row r="78" spans="9:10" x14ac:dyDescent="0.3">
      <c r="I78" s="4" t="s">
        <v>74</v>
      </c>
      <c r="J78" s="4">
        <v>204</v>
      </c>
    </row>
    <row r="79" spans="9:10" x14ac:dyDescent="0.3">
      <c r="I79" s="4" t="s">
        <v>73</v>
      </c>
      <c r="J79" s="4">
        <v>193</v>
      </c>
    </row>
    <row r="80" spans="9:10" x14ac:dyDescent="0.3">
      <c r="I80" s="4" t="s">
        <v>71</v>
      </c>
      <c r="J80" s="4">
        <v>277</v>
      </c>
    </row>
    <row r="81" spans="9:10" x14ac:dyDescent="0.3">
      <c r="I81" s="4" t="s">
        <v>76</v>
      </c>
      <c r="J81" s="4">
        <v>52</v>
      </c>
    </row>
    <row r="82" spans="9:10" x14ac:dyDescent="0.3">
      <c r="I82" s="4" t="s">
        <v>75</v>
      </c>
      <c r="J82" s="4">
        <v>422</v>
      </c>
    </row>
    <row r="83" spans="9:10" x14ac:dyDescent="0.3">
      <c r="I83" s="4" t="s">
        <v>73</v>
      </c>
      <c r="J83" s="4">
        <v>488</v>
      </c>
    </row>
    <row r="84" spans="9:10" x14ac:dyDescent="0.3">
      <c r="I84" s="4" t="s">
        <v>76</v>
      </c>
      <c r="J84" s="4">
        <v>363</v>
      </c>
    </row>
    <row r="85" spans="9:10" x14ac:dyDescent="0.3">
      <c r="I85" s="4" t="s">
        <v>71</v>
      </c>
      <c r="J85" s="4">
        <v>320</v>
      </c>
    </row>
    <row r="86" spans="9:10" x14ac:dyDescent="0.3">
      <c r="I86" s="4" t="s">
        <v>73</v>
      </c>
      <c r="J86" s="4">
        <v>181</v>
      </c>
    </row>
    <row r="87" spans="9:10" x14ac:dyDescent="0.3">
      <c r="I87" s="4" t="s">
        <v>76</v>
      </c>
      <c r="J87" s="4">
        <v>391</v>
      </c>
    </row>
    <row r="88" spans="9:10" x14ac:dyDescent="0.3">
      <c r="I88" s="4" t="s">
        <v>75</v>
      </c>
      <c r="J88" s="4">
        <v>244</v>
      </c>
    </row>
    <row r="89" spans="9:10" x14ac:dyDescent="0.3">
      <c r="I89" s="4" t="s">
        <v>73</v>
      </c>
      <c r="J89" s="4">
        <v>455</v>
      </c>
    </row>
    <row r="90" spans="9:10" x14ac:dyDescent="0.3">
      <c r="I90" s="4" t="s">
        <v>75</v>
      </c>
      <c r="J90" s="4">
        <v>189</v>
      </c>
    </row>
    <row r="91" spans="9:10" x14ac:dyDescent="0.3">
      <c r="I91" s="4" t="s">
        <v>73</v>
      </c>
      <c r="J91" s="4">
        <v>50</v>
      </c>
    </row>
    <row r="92" spans="9:10" x14ac:dyDescent="0.3">
      <c r="I92" s="4" t="s">
        <v>71</v>
      </c>
      <c r="J92" s="4">
        <v>380</v>
      </c>
    </row>
    <row r="93" spans="9:10" x14ac:dyDescent="0.3">
      <c r="I93" s="4" t="s">
        <v>76</v>
      </c>
      <c r="J93" s="4">
        <v>126</v>
      </c>
    </row>
    <row r="94" spans="9:10" x14ac:dyDescent="0.3">
      <c r="I94" s="4" t="s">
        <v>75</v>
      </c>
      <c r="J94" s="4">
        <v>228</v>
      </c>
    </row>
    <row r="95" spans="9:10" x14ac:dyDescent="0.3">
      <c r="I95" s="4" t="s">
        <v>76</v>
      </c>
      <c r="J95" s="4">
        <v>411</v>
      </c>
    </row>
    <row r="96" spans="9:10" x14ac:dyDescent="0.3">
      <c r="I96" s="4" t="s">
        <v>72</v>
      </c>
      <c r="J96" s="4">
        <v>312</v>
      </c>
    </row>
    <row r="97" spans="9:10" x14ac:dyDescent="0.3">
      <c r="I97" s="4" t="s">
        <v>75</v>
      </c>
      <c r="J97" s="4">
        <v>323</v>
      </c>
    </row>
    <row r="98" spans="9:10" x14ac:dyDescent="0.3">
      <c r="I98" s="4" t="s">
        <v>75</v>
      </c>
      <c r="J98" s="4">
        <v>132</v>
      </c>
    </row>
    <row r="99" spans="9:10" x14ac:dyDescent="0.3">
      <c r="I99" s="4" t="s">
        <v>75</v>
      </c>
      <c r="J99" s="4">
        <v>201</v>
      </c>
    </row>
    <row r="100" spans="9:10" x14ac:dyDescent="0.3">
      <c r="I100" s="4" t="s">
        <v>76</v>
      </c>
      <c r="J100" s="4">
        <v>232</v>
      </c>
    </row>
    <row r="101" spans="9:10" x14ac:dyDescent="0.3">
      <c r="I101" s="4" t="s">
        <v>76</v>
      </c>
      <c r="J101" s="4">
        <v>91</v>
      </c>
    </row>
    <row r="102" spans="9:10" x14ac:dyDescent="0.3">
      <c r="I102" s="4" t="s">
        <v>74</v>
      </c>
      <c r="J102" s="4">
        <v>72</v>
      </c>
    </row>
    <row r="103" spans="9:10" x14ac:dyDescent="0.3">
      <c r="I103" s="4" t="s">
        <v>74</v>
      </c>
      <c r="J103" s="4">
        <v>81</v>
      </c>
    </row>
    <row r="104" spans="9:10" x14ac:dyDescent="0.3">
      <c r="I104" s="4" t="s">
        <v>71</v>
      </c>
      <c r="J104" s="4">
        <v>327</v>
      </c>
    </row>
    <row r="105" spans="9:10" x14ac:dyDescent="0.3">
      <c r="I105" s="4" t="s">
        <v>73</v>
      </c>
      <c r="J105" s="4">
        <v>328</v>
      </c>
    </row>
    <row r="106" spans="9:10" x14ac:dyDescent="0.3">
      <c r="I106" s="4" t="s">
        <v>74</v>
      </c>
      <c r="J106" s="4">
        <v>341</v>
      </c>
    </row>
    <row r="107" spans="9:10" x14ac:dyDescent="0.3">
      <c r="I107" s="4" t="s">
        <v>72</v>
      </c>
      <c r="J107" s="4">
        <v>471</v>
      </c>
    </row>
    <row r="108" spans="9:10" x14ac:dyDescent="0.3">
      <c r="I108" s="4" t="s">
        <v>74</v>
      </c>
      <c r="J108" s="4">
        <v>482</v>
      </c>
    </row>
    <row r="109" spans="9:10" x14ac:dyDescent="0.3">
      <c r="I109" s="4" t="s">
        <v>75</v>
      </c>
      <c r="J109" s="4">
        <v>459</v>
      </c>
    </row>
    <row r="110" spans="9:10" x14ac:dyDescent="0.3">
      <c r="I110" s="4" t="s">
        <v>71</v>
      </c>
      <c r="J110" s="4">
        <v>184</v>
      </c>
    </row>
    <row r="111" spans="9:10" x14ac:dyDescent="0.3">
      <c r="I111" s="4" t="s">
        <v>71</v>
      </c>
      <c r="J111" s="4">
        <v>173</v>
      </c>
    </row>
    <row r="112" spans="9:10" x14ac:dyDescent="0.3">
      <c r="I112" s="4" t="s">
        <v>75</v>
      </c>
      <c r="J112" s="4">
        <v>157</v>
      </c>
    </row>
    <row r="113" spans="9:10" x14ac:dyDescent="0.3">
      <c r="I113" s="4" t="s">
        <v>75</v>
      </c>
      <c r="J113" s="4">
        <v>295</v>
      </c>
    </row>
    <row r="114" spans="9:10" x14ac:dyDescent="0.3">
      <c r="I114" s="4" t="s">
        <v>75</v>
      </c>
      <c r="J114" s="4">
        <v>303</v>
      </c>
    </row>
    <row r="115" spans="9:10" x14ac:dyDescent="0.3">
      <c r="I115" s="4" t="s">
        <v>71</v>
      </c>
      <c r="J115" s="4">
        <v>418</v>
      </c>
    </row>
    <row r="116" spans="9:10" x14ac:dyDescent="0.3">
      <c r="I116" s="4" t="s">
        <v>71</v>
      </c>
      <c r="J116" s="4">
        <v>364</v>
      </c>
    </row>
    <row r="117" spans="9:10" x14ac:dyDescent="0.3">
      <c r="I117" s="4" t="s">
        <v>74</v>
      </c>
      <c r="J117" s="4">
        <v>485</v>
      </c>
    </row>
    <row r="118" spans="9:10" x14ac:dyDescent="0.3">
      <c r="I118" s="4" t="s">
        <v>75</v>
      </c>
      <c r="J118" s="4">
        <v>370</v>
      </c>
    </row>
    <row r="119" spans="9:10" x14ac:dyDescent="0.3">
      <c r="I119" s="4" t="s">
        <v>76</v>
      </c>
      <c r="J119" s="4">
        <v>135</v>
      </c>
    </row>
    <row r="120" spans="9:10" x14ac:dyDescent="0.3">
      <c r="I120" s="4" t="s">
        <v>72</v>
      </c>
      <c r="J120" s="4">
        <v>410</v>
      </c>
    </row>
    <row r="121" spans="9:10" x14ac:dyDescent="0.3">
      <c r="I121" s="4" t="s">
        <v>72</v>
      </c>
      <c r="J121" s="4">
        <v>345</v>
      </c>
    </row>
    <row r="122" spans="9:10" x14ac:dyDescent="0.3">
      <c r="I122" s="4" t="s">
        <v>71</v>
      </c>
      <c r="J122" s="4">
        <v>436</v>
      </c>
    </row>
    <row r="123" spans="9:10" x14ac:dyDescent="0.3">
      <c r="I123" s="4" t="s">
        <v>73</v>
      </c>
      <c r="J123" s="4">
        <v>485</v>
      </c>
    </row>
    <row r="124" spans="9:10" x14ac:dyDescent="0.3">
      <c r="I124" s="4" t="s">
        <v>71</v>
      </c>
      <c r="J124" s="4">
        <v>416</v>
      </c>
    </row>
    <row r="125" spans="9:10" x14ac:dyDescent="0.3">
      <c r="I125" s="4" t="s">
        <v>72</v>
      </c>
      <c r="J125" s="4">
        <v>200</v>
      </c>
    </row>
    <row r="126" spans="9:10" x14ac:dyDescent="0.3">
      <c r="I126" s="4" t="s">
        <v>76</v>
      </c>
      <c r="J126" s="4">
        <v>367</v>
      </c>
    </row>
    <row r="127" spans="9:10" x14ac:dyDescent="0.3">
      <c r="I127" s="4" t="s">
        <v>75</v>
      </c>
      <c r="J127" s="4">
        <v>438</v>
      </c>
    </row>
    <row r="128" spans="9:10" x14ac:dyDescent="0.3">
      <c r="I128" s="4" t="s">
        <v>72</v>
      </c>
      <c r="J128" s="4">
        <v>204</v>
      </c>
    </row>
    <row r="129" spans="9:10" x14ac:dyDescent="0.3">
      <c r="I129" s="4" t="s">
        <v>72</v>
      </c>
      <c r="J129" s="4">
        <v>162</v>
      </c>
    </row>
    <row r="130" spans="9:10" x14ac:dyDescent="0.3">
      <c r="I130" s="4" t="s">
        <v>73</v>
      </c>
      <c r="J130" s="4">
        <v>450</v>
      </c>
    </row>
    <row r="131" spans="9:10" x14ac:dyDescent="0.3">
      <c r="I131" s="4" t="s">
        <v>73</v>
      </c>
      <c r="J131" s="4">
        <v>290</v>
      </c>
    </row>
    <row r="132" spans="9:10" x14ac:dyDescent="0.3">
      <c r="I132" s="4" t="s">
        <v>74</v>
      </c>
      <c r="J132" s="4">
        <v>211</v>
      </c>
    </row>
    <row r="133" spans="9:10" x14ac:dyDescent="0.3">
      <c r="I133" s="4" t="s">
        <v>71</v>
      </c>
      <c r="J133" s="4">
        <v>109</v>
      </c>
    </row>
    <row r="134" spans="9:10" x14ac:dyDescent="0.3">
      <c r="I134" s="4" t="s">
        <v>73</v>
      </c>
      <c r="J134" s="4">
        <v>500</v>
      </c>
    </row>
    <row r="135" spans="9:10" x14ac:dyDescent="0.3">
      <c r="I135" s="4" t="s">
        <v>76</v>
      </c>
      <c r="J135" s="4">
        <v>50</v>
      </c>
    </row>
    <row r="136" spans="9:10" x14ac:dyDescent="0.3">
      <c r="I136" s="4" t="s">
        <v>75</v>
      </c>
      <c r="J136" s="4">
        <v>281</v>
      </c>
    </row>
    <row r="137" spans="9:10" x14ac:dyDescent="0.3">
      <c r="I137" s="4" t="s">
        <v>75</v>
      </c>
      <c r="J137" s="4">
        <v>287</v>
      </c>
    </row>
    <row r="138" spans="9:10" x14ac:dyDescent="0.3">
      <c r="I138" s="4" t="s">
        <v>73</v>
      </c>
      <c r="J138" s="4">
        <v>460</v>
      </c>
    </row>
    <row r="139" spans="9:10" x14ac:dyDescent="0.3">
      <c r="I139" s="4" t="s">
        <v>72</v>
      </c>
      <c r="J139" s="4">
        <v>334</v>
      </c>
    </row>
    <row r="140" spans="9:10" x14ac:dyDescent="0.3">
      <c r="I140" s="4" t="s">
        <v>76</v>
      </c>
      <c r="J140" s="4">
        <v>313</v>
      </c>
    </row>
    <row r="141" spans="9:10" x14ac:dyDescent="0.3">
      <c r="I141" s="4" t="s">
        <v>75</v>
      </c>
      <c r="J141" s="4">
        <v>89</v>
      </c>
    </row>
    <row r="142" spans="9:10" x14ac:dyDescent="0.3">
      <c r="I142" s="4" t="s">
        <v>72</v>
      </c>
      <c r="J142" s="4">
        <v>488</v>
      </c>
    </row>
    <row r="143" spans="9:10" x14ac:dyDescent="0.3">
      <c r="I143" s="4" t="s">
        <v>72</v>
      </c>
      <c r="J143" s="4">
        <v>405</v>
      </c>
    </row>
    <row r="144" spans="9:10" x14ac:dyDescent="0.3">
      <c r="I144" s="4" t="s">
        <v>75</v>
      </c>
      <c r="J144" s="4">
        <v>249</v>
      </c>
    </row>
    <row r="145" spans="9:10" x14ac:dyDescent="0.3">
      <c r="I145" s="4" t="s">
        <v>71</v>
      </c>
      <c r="J145" s="4">
        <v>207</v>
      </c>
    </row>
    <row r="146" spans="9:10" x14ac:dyDescent="0.3">
      <c r="I146" s="4" t="s">
        <v>75</v>
      </c>
      <c r="J146" s="4">
        <v>258</v>
      </c>
    </row>
    <row r="147" spans="9:10" x14ac:dyDescent="0.3">
      <c r="I147" s="4" t="s">
        <v>75</v>
      </c>
      <c r="J147" s="4">
        <v>453</v>
      </c>
    </row>
    <row r="148" spans="9:10" x14ac:dyDescent="0.3">
      <c r="I148" s="4" t="s">
        <v>73</v>
      </c>
      <c r="J148" s="4">
        <v>173</v>
      </c>
    </row>
    <row r="149" spans="9:10" x14ac:dyDescent="0.3">
      <c r="I149" s="4" t="s">
        <v>75</v>
      </c>
      <c r="J149" s="4">
        <v>236</v>
      </c>
    </row>
    <row r="150" spans="9:10" x14ac:dyDescent="0.3">
      <c r="I150" s="4" t="s">
        <v>76</v>
      </c>
      <c r="J150" s="4">
        <v>201</v>
      </c>
    </row>
    <row r="151" spans="9:10" x14ac:dyDescent="0.3">
      <c r="I151" s="4" t="s">
        <v>76</v>
      </c>
      <c r="J151" s="4">
        <v>337</v>
      </c>
    </row>
    <row r="152" spans="9:10" x14ac:dyDescent="0.3">
      <c r="I152" s="4" t="s">
        <v>71</v>
      </c>
      <c r="J152" s="4">
        <v>490</v>
      </c>
    </row>
    <row r="153" spans="9:10" x14ac:dyDescent="0.3">
      <c r="I153" s="4" t="s">
        <v>76</v>
      </c>
      <c r="J153" s="4">
        <v>185</v>
      </c>
    </row>
    <row r="154" spans="9:10" x14ac:dyDescent="0.3">
      <c r="I154" s="4" t="s">
        <v>76</v>
      </c>
      <c r="J154" s="4">
        <v>261</v>
      </c>
    </row>
    <row r="155" spans="9:10" x14ac:dyDescent="0.3">
      <c r="I155" s="4" t="s">
        <v>72</v>
      </c>
      <c r="J155" s="4">
        <v>326</v>
      </c>
    </row>
    <row r="156" spans="9:10" x14ac:dyDescent="0.3">
      <c r="I156" s="4" t="s">
        <v>74</v>
      </c>
      <c r="J156" s="4">
        <v>477</v>
      </c>
    </row>
    <row r="157" spans="9:10" x14ac:dyDescent="0.3">
      <c r="I157" s="4" t="s">
        <v>73</v>
      </c>
      <c r="J157" s="4">
        <v>393</v>
      </c>
    </row>
    <row r="158" spans="9:10" x14ac:dyDescent="0.3">
      <c r="I158" s="4" t="s">
        <v>73</v>
      </c>
      <c r="J158" s="4">
        <v>481</v>
      </c>
    </row>
    <row r="159" spans="9:10" x14ac:dyDescent="0.3">
      <c r="I159" s="4" t="s">
        <v>72</v>
      </c>
      <c r="J159" s="4">
        <v>296</v>
      </c>
    </row>
    <row r="160" spans="9:10" x14ac:dyDescent="0.3">
      <c r="I160" s="4" t="s">
        <v>75</v>
      </c>
      <c r="J160" s="4">
        <v>263</v>
      </c>
    </row>
    <row r="161" spans="9:10" x14ac:dyDescent="0.3">
      <c r="I161" s="4" t="s">
        <v>75</v>
      </c>
      <c r="J161" s="4">
        <v>496</v>
      </c>
    </row>
    <row r="162" spans="9:10" x14ac:dyDescent="0.3">
      <c r="I162" s="4" t="s">
        <v>75</v>
      </c>
      <c r="J162" s="4">
        <v>408</v>
      </c>
    </row>
    <row r="163" spans="9:10" x14ac:dyDescent="0.3">
      <c r="I163" s="4" t="s">
        <v>76</v>
      </c>
      <c r="J163" s="4">
        <v>479</v>
      </c>
    </row>
    <row r="164" spans="9:10" x14ac:dyDescent="0.3">
      <c r="I164" s="4" t="s">
        <v>73</v>
      </c>
      <c r="J164" s="4">
        <v>321</v>
      </c>
    </row>
    <row r="165" spans="9:10" x14ac:dyDescent="0.3">
      <c r="I165" s="4" t="s">
        <v>71</v>
      </c>
      <c r="J165" s="4">
        <v>63</v>
      </c>
    </row>
    <row r="166" spans="9:10" x14ac:dyDescent="0.3">
      <c r="I166" s="4" t="s">
        <v>75</v>
      </c>
      <c r="J166" s="4">
        <v>64</v>
      </c>
    </row>
    <row r="167" spans="9:10" x14ac:dyDescent="0.3">
      <c r="I167" s="4" t="s">
        <v>74</v>
      </c>
      <c r="J167" s="4">
        <v>271</v>
      </c>
    </row>
    <row r="168" spans="9:10" x14ac:dyDescent="0.3">
      <c r="I168" s="4" t="s">
        <v>73</v>
      </c>
      <c r="J168" s="4">
        <v>132</v>
      </c>
    </row>
    <row r="169" spans="9:10" x14ac:dyDescent="0.3">
      <c r="I169" s="4" t="s">
        <v>72</v>
      </c>
      <c r="J169" s="4">
        <v>483</v>
      </c>
    </row>
    <row r="170" spans="9:10" x14ac:dyDescent="0.3">
      <c r="I170" s="4" t="s">
        <v>74</v>
      </c>
      <c r="J170" s="4">
        <v>82</v>
      </c>
    </row>
    <row r="171" spans="9:10" x14ac:dyDescent="0.3">
      <c r="I171" s="4" t="s">
        <v>72</v>
      </c>
      <c r="J171" s="4">
        <v>360</v>
      </c>
    </row>
    <row r="172" spans="9:10" x14ac:dyDescent="0.3">
      <c r="I172" s="4" t="s">
        <v>73</v>
      </c>
      <c r="J172" s="4">
        <v>100</v>
      </c>
    </row>
    <row r="173" spans="9:10" x14ac:dyDescent="0.3">
      <c r="I173" s="4" t="s">
        <v>71</v>
      </c>
      <c r="J173" s="4">
        <v>345</v>
      </c>
    </row>
    <row r="174" spans="9:10" x14ac:dyDescent="0.3">
      <c r="I174" s="4" t="s">
        <v>75</v>
      </c>
      <c r="J174" s="4">
        <v>177</v>
      </c>
    </row>
    <row r="175" spans="9:10" x14ac:dyDescent="0.3">
      <c r="I175" s="4" t="s">
        <v>76</v>
      </c>
      <c r="J175" s="4">
        <v>419</v>
      </c>
    </row>
    <row r="176" spans="9:10" x14ac:dyDescent="0.3">
      <c r="I176" s="4" t="s">
        <v>74</v>
      </c>
      <c r="J176" s="4">
        <v>282</v>
      </c>
    </row>
    <row r="177" spans="9:10" x14ac:dyDescent="0.3">
      <c r="I177" s="4" t="s">
        <v>74</v>
      </c>
      <c r="J177" s="4">
        <v>162</v>
      </c>
    </row>
    <row r="178" spans="9:10" x14ac:dyDescent="0.3">
      <c r="I178" s="4" t="s">
        <v>73</v>
      </c>
      <c r="J178" s="4">
        <v>175</v>
      </c>
    </row>
    <row r="179" spans="9:10" x14ac:dyDescent="0.3">
      <c r="I179" s="4" t="s">
        <v>75</v>
      </c>
      <c r="J179" s="4">
        <v>186</v>
      </c>
    </row>
    <row r="180" spans="9:10" x14ac:dyDescent="0.3">
      <c r="I180" s="4" t="s">
        <v>72</v>
      </c>
      <c r="J180" s="4">
        <v>308</v>
      </c>
    </row>
    <row r="181" spans="9:10" x14ac:dyDescent="0.3">
      <c r="I181" s="4" t="s">
        <v>72</v>
      </c>
      <c r="J181" s="4">
        <v>256</v>
      </c>
    </row>
    <row r="182" spans="9:10" x14ac:dyDescent="0.3">
      <c r="I182" s="4" t="s">
        <v>74</v>
      </c>
      <c r="J182" s="4">
        <v>109</v>
      </c>
    </row>
    <row r="183" spans="9:10" x14ac:dyDescent="0.3">
      <c r="I183" s="4" t="s">
        <v>71</v>
      </c>
      <c r="J183" s="4">
        <v>445</v>
      </c>
    </row>
    <row r="184" spans="9:10" x14ac:dyDescent="0.3">
      <c r="I184" s="4" t="s">
        <v>75</v>
      </c>
      <c r="J184" s="4">
        <v>359</v>
      </c>
    </row>
    <row r="185" spans="9:10" x14ac:dyDescent="0.3">
      <c r="I185" s="4" t="s">
        <v>71</v>
      </c>
      <c r="J185" s="4">
        <v>445</v>
      </c>
    </row>
    <row r="186" spans="9:10" x14ac:dyDescent="0.3">
      <c r="I186" s="4" t="s">
        <v>73</v>
      </c>
      <c r="J186" s="4">
        <v>95</v>
      </c>
    </row>
    <row r="187" spans="9:10" x14ac:dyDescent="0.3">
      <c r="I187" s="4" t="s">
        <v>74</v>
      </c>
      <c r="J187" s="4">
        <v>169</v>
      </c>
    </row>
    <row r="188" spans="9:10" x14ac:dyDescent="0.3">
      <c r="I188" s="4" t="s">
        <v>73</v>
      </c>
      <c r="J188" s="4">
        <v>379</v>
      </c>
    </row>
    <row r="189" spans="9:10" x14ac:dyDescent="0.3">
      <c r="I189" s="4" t="s">
        <v>76</v>
      </c>
      <c r="J189" s="4">
        <v>263</v>
      </c>
    </row>
    <row r="190" spans="9:10" x14ac:dyDescent="0.3">
      <c r="I190" s="4" t="s">
        <v>71</v>
      </c>
      <c r="J190" s="4">
        <v>352</v>
      </c>
    </row>
    <row r="191" spans="9:10" x14ac:dyDescent="0.3">
      <c r="I191" s="4" t="s">
        <v>71</v>
      </c>
      <c r="J191" s="4">
        <v>469</v>
      </c>
    </row>
    <row r="192" spans="9:10" x14ac:dyDescent="0.3">
      <c r="I192" s="4" t="s">
        <v>72</v>
      </c>
      <c r="J192" s="4">
        <v>177</v>
      </c>
    </row>
    <row r="193" spans="9:10" x14ac:dyDescent="0.3">
      <c r="I193" s="4" t="s">
        <v>74</v>
      </c>
      <c r="J193" s="4">
        <v>197</v>
      </c>
    </row>
    <row r="194" spans="9:10" x14ac:dyDescent="0.3">
      <c r="I194" s="4" t="s">
        <v>71</v>
      </c>
      <c r="J194" s="4">
        <v>53</v>
      </c>
    </row>
    <row r="195" spans="9:10" x14ac:dyDescent="0.3">
      <c r="I195" s="4" t="s">
        <v>74</v>
      </c>
      <c r="J195" s="4">
        <v>72</v>
      </c>
    </row>
    <row r="196" spans="9:10" x14ac:dyDescent="0.3">
      <c r="I196" s="4" t="s">
        <v>76</v>
      </c>
      <c r="J196" s="4">
        <v>322</v>
      </c>
    </row>
    <row r="197" spans="9:10" x14ac:dyDescent="0.3">
      <c r="I197" s="4" t="s">
        <v>74</v>
      </c>
      <c r="J197" s="4">
        <v>401</v>
      </c>
    </row>
    <row r="198" spans="9:10" x14ac:dyDescent="0.3">
      <c r="I198" s="4" t="s">
        <v>75</v>
      </c>
      <c r="J198" s="4">
        <v>493</v>
      </c>
    </row>
    <row r="199" spans="9:10" x14ac:dyDescent="0.3">
      <c r="I199" s="4" t="s">
        <v>72</v>
      </c>
      <c r="J199" s="4">
        <v>261</v>
      </c>
    </row>
    <row r="200" spans="9:10" x14ac:dyDescent="0.3">
      <c r="I200" s="4" t="s">
        <v>73</v>
      </c>
      <c r="J200" s="4">
        <v>435</v>
      </c>
    </row>
    <row r="201" spans="9:10" x14ac:dyDescent="0.3">
      <c r="I201" s="4" t="s">
        <v>71</v>
      </c>
      <c r="J201" s="4">
        <v>202</v>
      </c>
    </row>
    <row r="202" spans="9:10" x14ac:dyDescent="0.3">
      <c r="I202" s="4" t="s">
        <v>71</v>
      </c>
      <c r="J202" s="4">
        <v>355</v>
      </c>
    </row>
    <row r="203" spans="9:10" x14ac:dyDescent="0.3">
      <c r="I203" s="4" t="s">
        <v>73</v>
      </c>
      <c r="J203" s="4">
        <v>128</v>
      </c>
    </row>
    <row r="204" spans="9:10" x14ac:dyDescent="0.3">
      <c r="I204" s="4" t="s">
        <v>75</v>
      </c>
      <c r="J204" s="4">
        <v>450</v>
      </c>
    </row>
    <row r="205" spans="9:10" x14ac:dyDescent="0.3">
      <c r="I205" s="4" t="s">
        <v>71</v>
      </c>
      <c r="J205" s="4">
        <v>396</v>
      </c>
    </row>
    <row r="206" spans="9:10" x14ac:dyDescent="0.3">
      <c r="I206" s="4" t="s">
        <v>75</v>
      </c>
      <c r="J206" s="4">
        <v>403</v>
      </c>
    </row>
    <row r="207" spans="9:10" x14ac:dyDescent="0.3">
      <c r="I207" s="4" t="s">
        <v>75</v>
      </c>
      <c r="J207" s="4">
        <v>304</v>
      </c>
    </row>
    <row r="208" spans="9:10" x14ac:dyDescent="0.3">
      <c r="I208" s="4" t="s">
        <v>75</v>
      </c>
      <c r="J208" s="4">
        <v>148</v>
      </c>
    </row>
    <row r="209" spans="9:10" x14ac:dyDescent="0.3">
      <c r="I209" s="4" t="s">
        <v>76</v>
      </c>
      <c r="J209" s="4">
        <v>432</v>
      </c>
    </row>
    <row r="210" spans="9:10" x14ac:dyDescent="0.3">
      <c r="I210" s="4" t="s">
        <v>76</v>
      </c>
      <c r="J210" s="4">
        <v>388</v>
      </c>
    </row>
    <row r="211" spans="9:10" x14ac:dyDescent="0.3">
      <c r="I211" s="4" t="s">
        <v>75</v>
      </c>
      <c r="J211" s="4">
        <v>435</v>
      </c>
    </row>
    <row r="212" spans="9:10" x14ac:dyDescent="0.3">
      <c r="I212" s="4" t="s">
        <v>75</v>
      </c>
      <c r="J212" s="4">
        <v>63</v>
      </c>
    </row>
    <row r="213" spans="9:10" x14ac:dyDescent="0.3">
      <c r="I213" s="4" t="s">
        <v>73</v>
      </c>
      <c r="J213" s="4">
        <v>478</v>
      </c>
    </row>
    <row r="214" spans="9:10" x14ac:dyDescent="0.3">
      <c r="I214" s="4" t="s">
        <v>71</v>
      </c>
      <c r="J214" s="4">
        <v>415</v>
      </c>
    </row>
    <row r="215" spans="9:10" x14ac:dyDescent="0.3">
      <c r="I215" s="4" t="s">
        <v>71</v>
      </c>
      <c r="J215" s="4">
        <v>164</v>
      </c>
    </row>
    <row r="216" spans="9:10" x14ac:dyDescent="0.3">
      <c r="I216" s="4" t="s">
        <v>72</v>
      </c>
      <c r="J216" s="4">
        <v>395</v>
      </c>
    </row>
    <row r="217" spans="9:10" x14ac:dyDescent="0.3">
      <c r="I217" s="4" t="s">
        <v>76</v>
      </c>
      <c r="J217" s="4">
        <v>73</v>
      </c>
    </row>
    <row r="218" spans="9:10" x14ac:dyDescent="0.3">
      <c r="I218" s="4" t="s">
        <v>75</v>
      </c>
      <c r="J218" s="4">
        <v>280</v>
      </c>
    </row>
    <row r="219" spans="9:10" x14ac:dyDescent="0.3">
      <c r="I219" s="4" t="s">
        <v>73</v>
      </c>
      <c r="J219" s="4">
        <v>279</v>
      </c>
    </row>
    <row r="220" spans="9:10" x14ac:dyDescent="0.3">
      <c r="I220" s="4" t="s">
        <v>71</v>
      </c>
      <c r="J220" s="4">
        <v>97</v>
      </c>
    </row>
    <row r="221" spans="9:10" x14ac:dyDescent="0.3">
      <c r="I221" s="4" t="s">
        <v>76</v>
      </c>
      <c r="J221" s="4">
        <v>476</v>
      </c>
    </row>
    <row r="222" spans="9:10" x14ac:dyDescent="0.3">
      <c r="I222" s="4" t="s">
        <v>76</v>
      </c>
      <c r="J222" s="4">
        <v>331</v>
      </c>
    </row>
    <row r="223" spans="9:10" x14ac:dyDescent="0.3">
      <c r="I223" s="4" t="s">
        <v>71</v>
      </c>
      <c r="J223" s="4">
        <v>50</v>
      </c>
    </row>
    <row r="224" spans="9:10" x14ac:dyDescent="0.3">
      <c r="I224" s="4" t="s">
        <v>75</v>
      </c>
      <c r="J224" s="4">
        <v>363</v>
      </c>
    </row>
    <row r="225" spans="9:10" x14ac:dyDescent="0.3">
      <c r="I225" s="4" t="s">
        <v>71</v>
      </c>
      <c r="J225" s="4">
        <v>442</v>
      </c>
    </row>
    <row r="226" spans="9:10" x14ac:dyDescent="0.3">
      <c r="I226" s="4" t="s">
        <v>73</v>
      </c>
      <c r="J226" s="4">
        <v>475</v>
      </c>
    </row>
    <row r="227" spans="9:10" x14ac:dyDescent="0.3">
      <c r="I227" s="4" t="s">
        <v>73</v>
      </c>
      <c r="J227" s="4">
        <v>62</v>
      </c>
    </row>
    <row r="228" spans="9:10" x14ac:dyDescent="0.3">
      <c r="I228" s="4" t="s">
        <v>71</v>
      </c>
      <c r="J228" s="4">
        <v>93</v>
      </c>
    </row>
    <row r="229" spans="9:10" x14ac:dyDescent="0.3">
      <c r="I229" s="4" t="s">
        <v>75</v>
      </c>
      <c r="J229" s="4">
        <v>230</v>
      </c>
    </row>
    <row r="230" spans="9:10" x14ac:dyDescent="0.3">
      <c r="I230" s="4" t="s">
        <v>76</v>
      </c>
      <c r="J230" s="4">
        <v>272</v>
      </c>
    </row>
    <row r="231" spans="9:10" x14ac:dyDescent="0.3">
      <c r="I231" s="4" t="s">
        <v>74</v>
      </c>
      <c r="J231" s="4">
        <v>160</v>
      </c>
    </row>
    <row r="232" spans="9:10" x14ac:dyDescent="0.3">
      <c r="I232" s="4" t="s">
        <v>75</v>
      </c>
      <c r="J232" s="4">
        <v>72</v>
      </c>
    </row>
    <row r="233" spans="9:10" x14ac:dyDescent="0.3">
      <c r="I233" s="4" t="s">
        <v>76</v>
      </c>
      <c r="J233" s="4">
        <v>104</v>
      </c>
    </row>
    <row r="234" spans="9:10" x14ac:dyDescent="0.3">
      <c r="I234" s="4" t="s">
        <v>74</v>
      </c>
      <c r="J234" s="4">
        <v>282</v>
      </c>
    </row>
    <row r="235" spans="9:10" x14ac:dyDescent="0.3">
      <c r="I235" s="4" t="s">
        <v>76</v>
      </c>
      <c r="J235" s="4">
        <v>169</v>
      </c>
    </row>
    <row r="236" spans="9:10" x14ac:dyDescent="0.3">
      <c r="I236" s="4" t="s">
        <v>72</v>
      </c>
      <c r="J236" s="4">
        <v>133</v>
      </c>
    </row>
    <row r="237" spans="9:10" x14ac:dyDescent="0.3">
      <c r="I237" s="4" t="s">
        <v>71</v>
      </c>
      <c r="J237" s="4">
        <v>372</v>
      </c>
    </row>
    <row r="238" spans="9:10" x14ac:dyDescent="0.3">
      <c r="I238" s="4" t="s">
        <v>71</v>
      </c>
      <c r="J238" s="4">
        <v>440</v>
      </c>
    </row>
    <row r="239" spans="9:10" x14ac:dyDescent="0.3">
      <c r="I239" s="4" t="s">
        <v>71</v>
      </c>
      <c r="J239" s="4">
        <v>256</v>
      </c>
    </row>
    <row r="240" spans="9:10" x14ac:dyDescent="0.3">
      <c r="I240" s="4" t="s">
        <v>75</v>
      </c>
      <c r="J240" s="4">
        <v>184</v>
      </c>
    </row>
    <row r="241" spans="9:10" x14ac:dyDescent="0.3">
      <c r="I241" s="4" t="s">
        <v>71</v>
      </c>
      <c r="J241" s="4">
        <v>142</v>
      </c>
    </row>
    <row r="242" spans="9:10" x14ac:dyDescent="0.3">
      <c r="I242" s="4" t="s">
        <v>76</v>
      </c>
      <c r="J242" s="4">
        <v>324</v>
      </c>
    </row>
    <row r="243" spans="9:10" x14ac:dyDescent="0.3">
      <c r="I243" s="4" t="s">
        <v>72</v>
      </c>
      <c r="J243" s="4">
        <v>343</v>
      </c>
    </row>
    <row r="244" spans="9:10" x14ac:dyDescent="0.3">
      <c r="I244" s="4" t="s">
        <v>75</v>
      </c>
      <c r="J244" s="4">
        <v>123</v>
      </c>
    </row>
    <row r="245" spans="9:10" x14ac:dyDescent="0.3">
      <c r="I245" s="4" t="s">
        <v>72</v>
      </c>
      <c r="J245" s="4">
        <v>199</v>
      </c>
    </row>
    <row r="246" spans="9:10" x14ac:dyDescent="0.3">
      <c r="I246" s="4" t="s">
        <v>76</v>
      </c>
      <c r="J246" s="4">
        <v>120</v>
      </c>
    </row>
    <row r="247" spans="9:10" x14ac:dyDescent="0.3">
      <c r="I247" s="4" t="s">
        <v>71</v>
      </c>
      <c r="J247" s="4">
        <v>178</v>
      </c>
    </row>
    <row r="248" spans="9:10" x14ac:dyDescent="0.3">
      <c r="I248" s="4" t="s">
        <v>75</v>
      </c>
      <c r="J248" s="4">
        <v>300</v>
      </c>
    </row>
    <row r="249" spans="9:10" x14ac:dyDescent="0.3">
      <c r="I249" s="4" t="s">
        <v>76</v>
      </c>
      <c r="J249" s="4">
        <v>366</v>
      </c>
    </row>
    <row r="250" spans="9:10" x14ac:dyDescent="0.3">
      <c r="I250" s="4" t="s">
        <v>72</v>
      </c>
      <c r="J250" s="4">
        <v>179</v>
      </c>
    </row>
    <row r="251" spans="9:10" x14ac:dyDescent="0.3">
      <c r="I251" s="4" t="s">
        <v>76</v>
      </c>
      <c r="J251" s="4">
        <v>229</v>
      </c>
    </row>
    <row r="252" spans="9:10" x14ac:dyDescent="0.3">
      <c r="I252" s="4" t="s">
        <v>74</v>
      </c>
      <c r="J252" s="4">
        <v>488</v>
      </c>
    </row>
    <row r="253" spans="9:10" x14ac:dyDescent="0.3">
      <c r="I253" s="4" t="s">
        <v>74</v>
      </c>
      <c r="J253" s="4">
        <v>350</v>
      </c>
    </row>
    <row r="254" spans="9:10" x14ac:dyDescent="0.3">
      <c r="I254" s="4" t="s">
        <v>72</v>
      </c>
      <c r="J254" s="4">
        <v>129</v>
      </c>
    </row>
    <row r="255" spans="9:10" x14ac:dyDescent="0.3">
      <c r="I255" s="4" t="s">
        <v>72</v>
      </c>
      <c r="J255" s="4">
        <v>278</v>
      </c>
    </row>
    <row r="256" spans="9:10" x14ac:dyDescent="0.3">
      <c r="I256" s="4" t="s">
        <v>71</v>
      </c>
      <c r="J256" s="4">
        <v>161</v>
      </c>
    </row>
    <row r="257" spans="9:10" x14ac:dyDescent="0.3">
      <c r="I257" s="4" t="s">
        <v>71</v>
      </c>
      <c r="J257" s="4">
        <v>219</v>
      </c>
    </row>
    <row r="258" spans="9:10" x14ac:dyDescent="0.3">
      <c r="I258" s="4" t="s">
        <v>75</v>
      </c>
      <c r="J258" s="4">
        <v>467</v>
      </c>
    </row>
    <row r="259" spans="9:10" x14ac:dyDescent="0.3">
      <c r="I259" s="4" t="s">
        <v>72</v>
      </c>
      <c r="J259" s="4">
        <v>291</v>
      </c>
    </row>
    <row r="260" spans="9:10" x14ac:dyDescent="0.3">
      <c r="I260" s="4" t="s">
        <v>73</v>
      </c>
      <c r="J260" s="4">
        <v>87</v>
      </c>
    </row>
    <row r="261" spans="9:10" x14ac:dyDescent="0.3">
      <c r="I261" s="4" t="s">
        <v>73</v>
      </c>
      <c r="J261" s="4">
        <v>193</v>
      </c>
    </row>
    <row r="262" spans="9:10" x14ac:dyDescent="0.3">
      <c r="I262" s="4" t="s">
        <v>76</v>
      </c>
      <c r="J262" s="4">
        <v>323</v>
      </c>
    </row>
    <row r="263" spans="9:10" x14ac:dyDescent="0.3">
      <c r="I263" s="4" t="s">
        <v>76</v>
      </c>
      <c r="J263" s="4">
        <v>192</v>
      </c>
    </row>
    <row r="264" spans="9:10" x14ac:dyDescent="0.3">
      <c r="I264" s="4" t="s">
        <v>74</v>
      </c>
      <c r="J264" s="4">
        <v>213</v>
      </c>
    </row>
    <row r="265" spans="9:10" x14ac:dyDescent="0.3">
      <c r="I265" s="4" t="s">
        <v>71</v>
      </c>
      <c r="J265" s="4">
        <v>67</v>
      </c>
    </row>
    <row r="266" spans="9:10" x14ac:dyDescent="0.3">
      <c r="I266" s="4" t="s">
        <v>75</v>
      </c>
      <c r="J266" s="4">
        <v>338</v>
      </c>
    </row>
    <row r="267" spans="9:10" x14ac:dyDescent="0.3">
      <c r="I267" s="4" t="s">
        <v>75</v>
      </c>
      <c r="J267" s="4">
        <v>403</v>
      </c>
    </row>
    <row r="268" spans="9:10" x14ac:dyDescent="0.3">
      <c r="I268" s="4" t="s">
        <v>75</v>
      </c>
      <c r="J268" s="4">
        <v>85</v>
      </c>
    </row>
    <row r="269" spans="9:10" x14ac:dyDescent="0.3">
      <c r="I269" s="4" t="s">
        <v>75</v>
      </c>
      <c r="J269" s="4">
        <v>392</v>
      </c>
    </row>
    <row r="270" spans="9:10" x14ac:dyDescent="0.3">
      <c r="I270" s="4" t="s">
        <v>74</v>
      </c>
      <c r="J270" s="4">
        <v>153</v>
      </c>
    </row>
    <row r="271" spans="9:10" x14ac:dyDescent="0.3">
      <c r="I271" s="4" t="s">
        <v>71</v>
      </c>
      <c r="J271" s="4">
        <v>286</v>
      </c>
    </row>
    <row r="272" spans="9:10" x14ac:dyDescent="0.3">
      <c r="I272" s="4" t="s">
        <v>76</v>
      </c>
      <c r="J272" s="4">
        <v>247</v>
      </c>
    </row>
    <row r="273" spans="9:10" x14ac:dyDescent="0.3">
      <c r="I273" s="4" t="s">
        <v>71</v>
      </c>
      <c r="J273" s="4">
        <v>492</v>
      </c>
    </row>
    <row r="274" spans="9:10" x14ac:dyDescent="0.3">
      <c r="I274" s="4" t="s">
        <v>71</v>
      </c>
      <c r="J274" s="4">
        <v>258</v>
      </c>
    </row>
    <row r="275" spans="9:10" x14ac:dyDescent="0.3">
      <c r="I275" s="4" t="s">
        <v>72</v>
      </c>
      <c r="J275" s="4">
        <v>402</v>
      </c>
    </row>
    <row r="276" spans="9:10" x14ac:dyDescent="0.3">
      <c r="I276" s="4" t="s">
        <v>72</v>
      </c>
      <c r="J276" s="4">
        <v>191</v>
      </c>
    </row>
    <row r="277" spans="9:10" x14ac:dyDescent="0.3">
      <c r="I277" s="4" t="s">
        <v>72</v>
      </c>
      <c r="J277" s="4">
        <v>167</v>
      </c>
    </row>
    <row r="278" spans="9:10" x14ac:dyDescent="0.3">
      <c r="I278" s="4" t="s">
        <v>72</v>
      </c>
      <c r="J278" s="4">
        <v>181</v>
      </c>
    </row>
    <row r="279" spans="9:10" x14ac:dyDescent="0.3">
      <c r="I279" s="4" t="s">
        <v>76</v>
      </c>
      <c r="J279" s="4">
        <v>216</v>
      </c>
    </row>
    <row r="280" spans="9:10" x14ac:dyDescent="0.3">
      <c r="I280" s="4" t="s">
        <v>74</v>
      </c>
      <c r="J280" s="4">
        <v>465</v>
      </c>
    </row>
    <row r="281" spans="9:10" x14ac:dyDescent="0.3">
      <c r="I281" s="4" t="s">
        <v>76</v>
      </c>
      <c r="J281" s="4">
        <v>315</v>
      </c>
    </row>
    <row r="282" spans="9:10" x14ac:dyDescent="0.3">
      <c r="I282" s="4" t="s">
        <v>74</v>
      </c>
      <c r="J282" s="4">
        <v>367</v>
      </c>
    </row>
    <row r="283" spans="9:10" x14ac:dyDescent="0.3">
      <c r="I283" s="4" t="s">
        <v>75</v>
      </c>
      <c r="J283" s="4">
        <v>348</v>
      </c>
    </row>
    <row r="284" spans="9:10" x14ac:dyDescent="0.3">
      <c r="I284" s="4" t="s">
        <v>74</v>
      </c>
      <c r="J284" s="4">
        <v>380</v>
      </c>
    </row>
    <row r="285" spans="9:10" x14ac:dyDescent="0.3">
      <c r="I285" s="4" t="s">
        <v>73</v>
      </c>
      <c r="J285" s="4">
        <v>357</v>
      </c>
    </row>
    <row r="286" spans="9:10" x14ac:dyDescent="0.3">
      <c r="I286" s="4" t="s">
        <v>71</v>
      </c>
      <c r="J286" s="4">
        <v>432</v>
      </c>
    </row>
    <row r="287" spans="9:10" x14ac:dyDescent="0.3">
      <c r="I287" s="4" t="s">
        <v>76</v>
      </c>
      <c r="J287" s="4">
        <v>319</v>
      </c>
    </row>
    <row r="288" spans="9:10" x14ac:dyDescent="0.3">
      <c r="I288" s="4" t="s">
        <v>72</v>
      </c>
      <c r="J288" s="4">
        <v>233</v>
      </c>
    </row>
    <row r="289" spans="9:10" x14ac:dyDescent="0.3">
      <c r="I289" s="4" t="s">
        <v>74</v>
      </c>
      <c r="J289" s="4">
        <v>362</v>
      </c>
    </row>
    <row r="290" spans="9:10" x14ac:dyDescent="0.3">
      <c r="I290" s="4" t="s">
        <v>73</v>
      </c>
      <c r="J290" s="4">
        <v>166</v>
      </c>
    </row>
    <row r="291" spans="9:10" x14ac:dyDescent="0.3">
      <c r="I291" s="4" t="s">
        <v>71</v>
      </c>
      <c r="J291" s="4">
        <v>425</v>
      </c>
    </row>
    <row r="292" spans="9:10" x14ac:dyDescent="0.3">
      <c r="I292" s="4" t="s">
        <v>75</v>
      </c>
      <c r="J292" s="4">
        <v>131</v>
      </c>
    </row>
    <row r="293" spans="9:10" x14ac:dyDescent="0.3">
      <c r="I293" s="4" t="s">
        <v>73</v>
      </c>
      <c r="J293" s="4">
        <v>479</v>
      </c>
    </row>
    <row r="294" spans="9:10" x14ac:dyDescent="0.3">
      <c r="I294" s="4" t="s">
        <v>75</v>
      </c>
      <c r="J294" s="4">
        <v>238</v>
      </c>
    </row>
    <row r="295" spans="9:10" x14ac:dyDescent="0.3">
      <c r="I295" s="4" t="s">
        <v>73</v>
      </c>
      <c r="J295" s="4">
        <v>450</v>
      </c>
    </row>
    <row r="296" spans="9:10" x14ac:dyDescent="0.3">
      <c r="I296" s="4" t="s">
        <v>75</v>
      </c>
      <c r="J296" s="4">
        <v>159</v>
      </c>
    </row>
    <row r="297" spans="9:10" x14ac:dyDescent="0.3">
      <c r="I297" s="4" t="s">
        <v>72</v>
      </c>
      <c r="J297" s="4">
        <v>381</v>
      </c>
    </row>
    <row r="298" spans="9:10" x14ac:dyDescent="0.3">
      <c r="I298" s="4" t="s">
        <v>74</v>
      </c>
      <c r="J298" s="4">
        <v>61</v>
      </c>
    </row>
    <row r="299" spans="9:10" x14ac:dyDescent="0.3">
      <c r="I299" s="4" t="s">
        <v>71</v>
      </c>
      <c r="J299" s="4">
        <v>499</v>
      </c>
    </row>
    <row r="300" spans="9:10" x14ac:dyDescent="0.3">
      <c r="I300" s="4" t="s">
        <v>75</v>
      </c>
      <c r="J300" s="4">
        <v>85</v>
      </c>
    </row>
    <row r="301" spans="9:10" x14ac:dyDescent="0.3">
      <c r="I301" s="4" t="s">
        <v>71</v>
      </c>
      <c r="J301" s="4">
        <v>389</v>
      </c>
    </row>
    <row r="302" spans="9:10" x14ac:dyDescent="0.3">
      <c r="I302" s="4" t="s">
        <v>72</v>
      </c>
      <c r="J302" s="4">
        <v>446</v>
      </c>
    </row>
    <row r="303" spans="9:10" x14ac:dyDescent="0.3">
      <c r="I303" s="4" t="s">
        <v>72</v>
      </c>
      <c r="J303" s="4">
        <v>247</v>
      </c>
    </row>
    <row r="304" spans="9:10" x14ac:dyDescent="0.3">
      <c r="I304" s="4" t="s">
        <v>72</v>
      </c>
      <c r="J304" s="4">
        <v>280</v>
      </c>
    </row>
    <row r="305" spans="9:10" x14ac:dyDescent="0.3">
      <c r="I305" s="4" t="s">
        <v>74</v>
      </c>
      <c r="J305" s="4">
        <v>229</v>
      </c>
    </row>
    <row r="306" spans="9:10" x14ac:dyDescent="0.3">
      <c r="I306" s="4" t="s">
        <v>72</v>
      </c>
      <c r="J306" s="4">
        <v>285</v>
      </c>
    </row>
    <row r="307" spans="9:10" x14ac:dyDescent="0.3">
      <c r="I307" s="4" t="s">
        <v>75</v>
      </c>
      <c r="J307" s="4">
        <v>398</v>
      </c>
    </row>
    <row r="308" spans="9:10" x14ac:dyDescent="0.3">
      <c r="I308" s="4" t="s">
        <v>72</v>
      </c>
      <c r="J308" s="4">
        <v>430</v>
      </c>
    </row>
    <row r="309" spans="9:10" x14ac:dyDescent="0.3">
      <c r="I309" s="4" t="s">
        <v>71</v>
      </c>
      <c r="J309" s="4">
        <v>368</v>
      </c>
    </row>
    <row r="310" spans="9:10" x14ac:dyDescent="0.3">
      <c r="I310" s="4" t="s">
        <v>73</v>
      </c>
      <c r="J310" s="4">
        <v>122</v>
      </c>
    </row>
    <row r="311" spans="9:10" x14ac:dyDescent="0.3">
      <c r="I311" s="4" t="s">
        <v>75</v>
      </c>
      <c r="J311" s="4">
        <v>51</v>
      </c>
    </row>
    <row r="312" spans="9:10" x14ac:dyDescent="0.3">
      <c r="I312" s="4" t="s">
        <v>71</v>
      </c>
      <c r="J312" s="4">
        <v>397</v>
      </c>
    </row>
    <row r="313" spans="9:10" x14ac:dyDescent="0.3">
      <c r="I313" s="4" t="s">
        <v>73</v>
      </c>
      <c r="J313" s="4">
        <v>266</v>
      </c>
    </row>
    <row r="314" spans="9:10" x14ac:dyDescent="0.3">
      <c r="I314" s="4" t="s">
        <v>74</v>
      </c>
      <c r="J314" s="4">
        <v>213</v>
      </c>
    </row>
    <row r="315" spans="9:10" x14ac:dyDescent="0.3">
      <c r="I315" s="4" t="s">
        <v>73</v>
      </c>
      <c r="J315" s="4">
        <v>197</v>
      </c>
    </row>
    <row r="316" spans="9:10" x14ac:dyDescent="0.3">
      <c r="I316" s="4" t="s">
        <v>72</v>
      </c>
      <c r="J316" s="4">
        <v>467</v>
      </c>
    </row>
    <row r="317" spans="9:10" x14ac:dyDescent="0.3">
      <c r="I317" s="4" t="s">
        <v>71</v>
      </c>
      <c r="J317" s="4">
        <v>321</v>
      </c>
    </row>
    <row r="318" spans="9:10" x14ac:dyDescent="0.3">
      <c r="I318" s="4" t="s">
        <v>71</v>
      </c>
      <c r="J318" s="4">
        <v>184</v>
      </c>
    </row>
    <row r="319" spans="9:10" x14ac:dyDescent="0.3">
      <c r="I319" s="4" t="s">
        <v>72</v>
      </c>
      <c r="J319" s="4">
        <v>346</v>
      </c>
    </row>
    <row r="320" spans="9:10" x14ac:dyDescent="0.3">
      <c r="I320" s="4" t="s">
        <v>73</v>
      </c>
      <c r="J320" s="4">
        <v>147</v>
      </c>
    </row>
    <row r="321" spans="9:10" x14ac:dyDescent="0.3">
      <c r="I321" s="4" t="s">
        <v>72</v>
      </c>
      <c r="J321" s="4">
        <v>470</v>
      </c>
    </row>
    <row r="322" spans="9:10" x14ac:dyDescent="0.3">
      <c r="I322" s="4" t="s">
        <v>75</v>
      </c>
      <c r="J322" s="4">
        <v>378</v>
      </c>
    </row>
    <row r="323" spans="9:10" x14ac:dyDescent="0.3">
      <c r="I323" s="4" t="s">
        <v>76</v>
      </c>
      <c r="J323" s="4">
        <v>139</v>
      </c>
    </row>
    <row r="324" spans="9:10" x14ac:dyDescent="0.3">
      <c r="I324" s="4" t="s">
        <v>72</v>
      </c>
      <c r="J324" s="4">
        <v>207</v>
      </c>
    </row>
    <row r="325" spans="9:10" x14ac:dyDescent="0.3">
      <c r="I325" s="4" t="s">
        <v>72</v>
      </c>
      <c r="J325" s="4">
        <v>470</v>
      </c>
    </row>
    <row r="326" spans="9:10" x14ac:dyDescent="0.3">
      <c r="I326" s="4" t="s">
        <v>75</v>
      </c>
      <c r="J326" s="4">
        <v>325</v>
      </c>
    </row>
    <row r="327" spans="9:10" x14ac:dyDescent="0.3">
      <c r="I327" s="4" t="s">
        <v>76</v>
      </c>
      <c r="J327" s="4">
        <v>233</v>
      </c>
    </row>
    <row r="328" spans="9:10" x14ac:dyDescent="0.3">
      <c r="I328" s="4" t="s">
        <v>73</v>
      </c>
      <c r="J328" s="4">
        <v>395</v>
      </c>
    </row>
    <row r="329" spans="9:10" x14ac:dyDescent="0.3">
      <c r="I329" s="4" t="s">
        <v>71</v>
      </c>
      <c r="J329" s="4">
        <v>118</v>
      </c>
    </row>
    <row r="330" spans="9:10" x14ac:dyDescent="0.3">
      <c r="I330" s="4" t="s">
        <v>74</v>
      </c>
      <c r="J330" s="4">
        <v>212</v>
      </c>
    </row>
    <row r="331" spans="9:10" x14ac:dyDescent="0.3">
      <c r="I331" s="4" t="s">
        <v>75</v>
      </c>
      <c r="J331" s="4">
        <v>245</v>
      </c>
    </row>
    <row r="332" spans="9:10" x14ac:dyDescent="0.3">
      <c r="I332" s="4" t="s">
        <v>73</v>
      </c>
      <c r="J332" s="4">
        <v>315</v>
      </c>
    </row>
    <row r="333" spans="9:10" x14ac:dyDescent="0.3">
      <c r="I333" s="4" t="s">
        <v>75</v>
      </c>
      <c r="J333" s="4">
        <v>397</v>
      </c>
    </row>
    <row r="334" spans="9:10" x14ac:dyDescent="0.3">
      <c r="I334" s="4" t="s">
        <v>74</v>
      </c>
      <c r="J334" s="4">
        <v>395</v>
      </c>
    </row>
    <row r="335" spans="9:10" x14ac:dyDescent="0.3">
      <c r="I335" s="4" t="s">
        <v>75</v>
      </c>
      <c r="J335" s="4">
        <v>112</v>
      </c>
    </row>
    <row r="336" spans="9:10" x14ac:dyDescent="0.3">
      <c r="I336" s="4" t="s">
        <v>75</v>
      </c>
      <c r="J336" s="4">
        <v>144</v>
      </c>
    </row>
    <row r="337" spans="9:10" x14ac:dyDescent="0.3">
      <c r="I337" s="4" t="s">
        <v>72</v>
      </c>
      <c r="J337" s="4">
        <v>431</v>
      </c>
    </row>
    <row r="338" spans="9:10" x14ac:dyDescent="0.3">
      <c r="I338" s="4" t="s">
        <v>72</v>
      </c>
      <c r="J338" s="4">
        <v>273</v>
      </c>
    </row>
    <row r="339" spans="9:10" x14ac:dyDescent="0.3">
      <c r="I339" s="4" t="s">
        <v>76</v>
      </c>
      <c r="J339" s="4">
        <v>244</v>
      </c>
    </row>
    <row r="340" spans="9:10" x14ac:dyDescent="0.3">
      <c r="I340" s="4" t="s">
        <v>75</v>
      </c>
      <c r="J340" s="4">
        <v>159</v>
      </c>
    </row>
    <row r="341" spans="9:10" x14ac:dyDescent="0.3">
      <c r="I341" s="4" t="s">
        <v>71</v>
      </c>
      <c r="J341" s="4">
        <v>336</v>
      </c>
    </row>
    <row r="342" spans="9:10" x14ac:dyDescent="0.3">
      <c r="I342" s="4" t="s">
        <v>74</v>
      </c>
      <c r="J342" s="4">
        <v>99</v>
      </c>
    </row>
    <row r="343" spans="9:10" x14ac:dyDescent="0.3">
      <c r="I343" s="4" t="s">
        <v>74</v>
      </c>
      <c r="J343" s="4">
        <v>264</v>
      </c>
    </row>
    <row r="344" spans="9:10" x14ac:dyDescent="0.3">
      <c r="I344" s="4" t="s">
        <v>74</v>
      </c>
      <c r="J344" s="4">
        <v>155</v>
      </c>
    </row>
    <row r="345" spans="9:10" x14ac:dyDescent="0.3">
      <c r="I345" s="4" t="s">
        <v>74</v>
      </c>
      <c r="J345" s="4">
        <v>273</v>
      </c>
    </row>
    <row r="346" spans="9:10" x14ac:dyDescent="0.3">
      <c r="I346" s="4" t="s">
        <v>74</v>
      </c>
      <c r="J346" s="4">
        <v>266</v>
      </c>
    </row>
    <row r="347" spans="9:10" x14ac:dyDescent="0.3">
      <c r="I347" s="4" t="s">
        <v>76</v>
      </c>
      <c r="J347" s="4">
        <v>109</v>
      </c>
    </row>
    <row r="348" spans="9:10" x14ac:dyDescent="0.3">
      <c r="I348" s="4" t="s">
        <v>75</v>
      </c>
      <c r="J348" s="4">
        <v>371</v>
      </c>
    </row>
    <row r="349" spans="9:10" x14ac:dyDescent="0.3">
      <c r="I349" s="4" t="s">
        <v>75</v>
      </c>
      <c r="J349" s="4">
        <v>440</v>
      </c>
    </row>
    <row r="350" spans="9:10" x14ac:dyDescent="0.3">
      <c r="I350" s="4" t="s">
        <v>74</v>
      </c>
      <c r="J350" s="4">
        <v>91</v>
      </c>
    </row>
    <row r="351" spans="9:10" x14ac:dyDescent="0.3">
      <c r="I351" s="4" t="s">
        <v>72</v>
      </c>
      <c r="J351" s="4">
        <v>78</v>
      </c>
    </row>
    <row r="352" spans="9:10" x14ac:dyDescent="0.3">
      <c r="I352" s="4" t="s">
        <v>72</v>
      </c>
      <c r="J352" s="4">
        <v>330</v>
      </c>
    </row>
    <row r="353" spans="9:10" x14ac:dyDescent="0.3">
      <c r="I353" s="4" t="s">
        <v>76</v>
      </c>
      <c r="J353" s="4">
        <v>263</v>
      </c>
    </row>
    <row r="354" spans="9:10" x14ac:dyDescent="0.3">
      <c r="I354" s="4" t="s">
        <v>73</v>
      </c>
      <c r="J354" s="4">
        <v>438</v>
      </c>
    </row>
    <row r="355" spans="9:10" x14ac:dyDescent="0.3">
      <c r="I355" s="4" t="s">
        <v>72</v>
      </c>
      <c r="J355" s="4">
        <v>393</v>
      </c>
    </row>
    <row r="356" spans="9:10" x14ac:dyDescent="0.3">
      <c r="I356" s="4" t="s">
        <v>73</v>
      </c>
      <c r="J356" s="4">
        <v>93</v>
      </c>
    </row>
    <row r="357" spans="9:10" x14ac:dyDescent="0.3">
      <c r="I357" s="4" t="s">
        <v>73</v>
      </c>
      <c r="J357" s="4">
        <v>337</v>
      </c>
    </row>
    <row r="358" spans="9:10" x14ac:dyDescent="0.3">
      <c r="I358" s="4" t="s">
        <v>75</v>
      </c>
      <c r="J358" s="4">
        <v>284</v>
      </c>
    </row>
    <row r="359" spans="9:10" x14ac:dyDescent="0.3">
      <c r="I359" s="4" t="s">
        <v>73</v>
      </c>
      <c r="J359" s="4">
        <v>258</v>
      </c>
    </row>
    <row r="360" spans="9:10" x14ac:dyDescent="0.3">
      <c r="I360" s="4" t="s">
        <v>76</v>
      </c>
      <c r="J360" s="4">
        <v>395</v>
      </c>
    </row>
    <row r="361" spans="9:10" x14ac:dyDescent="0.3">
      <c r="I361" s="4" t="s">
        <v>72</v>
      </c>
      <c r="J361" s="4">
        <v>123</v>
      </c>
    </row>
    <row r="362" spans="9:10" x14ac:dyDescent="0.3">
      <c r="I362" s="4" t="s">
        <v>75</v>
      </c>
      <c r="J362" s="4">
        <v>146</v>
      </c>
    </row>
    <row r="363" spans="9:10" x14ac:dyDescent="0.3">
      <c r="I363" s="4" t="s">
        <v>74</v>
      </c>
      <c r="J363" s="4">
        <v>206</v>
      </c>
    </row>
    <row r="364" spans="9:10" x14ac:dyDescent="0.3">
      <c r="I364" s="4" t="s">
        <v>72</v>
      </c>
      <c r="J364" s="4">
        <v>439</v>
      </c>
    </row>
    <row r="365" spans="9:10" x14ac:dyDescent="0.3">
      <c r="I365" s="4" t="s">
        <v>75</v>
      </c>
      <c r="J365" s="4">
        <v>399</v>
      </c>
    </row>
    <row r="366" spans="9:10" x14ac:dyDescent="0.3">
      <c r="I366" s="4" t="s">
        <v>76</v>
      </c>
      <c r="J366" s="4">
        <v>61</v>
      </c>
    </row>
    <row r="367" spans="9:10" x14ac:dyDescent="0.3">
      <c r="I367" s="4" t="s">
        <v>75</v>
      </c>
      <c r="J367" s="4">
        <v>389</v>
      </c>
    </row>
    <row r="368" spans="9:10" x14ac:dyDescent="0.3">
      <c r="I368" s="4" t="s">
        <v>72</v>
      </c>
      <c r="J368" s="4">
        <v>269</v>
      </c>
    </row>
    <row r="369" spans="9:10" x14ac:dyDescent="0.3">
      <c r="I369" s="4" t="s">
        <v>75</v>
      </c>
      <c r="J369" s="4">
        <v>300</v>
      </c>
    </row>
    <row r="370" spans="9:10" x14ac:dyDescent="0.3">
      <c r="I370" s="4" t="s">
        <v>74</v>
      </c>
      <c r="J370" s="4">
        <v>78</v>
      </c>
    </row>
    <row r="371" spans="9:10" x14ac:dyDescent="0.3">
      <c r="I371" s="4" t="s">
        <v>74</v>
      </c>
      <c r="J371" s="4">
        <v>384</v>
      </c>
    </row>
    <row r="372" spans="9:10" x14ac:dyDescent="0.3">
      <c r="I372" s="4" t="s">
        <v>72</v>
      </c>
      <c r="J372" s="4">
        <v>496</v>
      </c>
    </row>
    <row r="373" spans="9:10" x14ac:dyDescent="0.3">
      <c r="I373" s="4" t="s">
        <v>75</v>
      </c>
      <c r="J373" s="4">
        <v>351</v>
      </c>
    </row>
    <row r="374" spans="9:10" x14ac:dyDescent="0.3">
      <c r="I374" s="4" t="s">
        <v>75</v>
      </c>
      <c r="J374" s="4">
        <v>496</v>
      </c>
    </row>
    <row r="375" spans="9:10" x14ac:dyDescent="0.3">
      <c r="I375" s="4" t="s">
        <v>72</v>
      </c>
      <c r="J375" s="4">
        <v>208</v>
      </c>
    </row>
    <row r="376" spans="9:10" x14ac:dyDescent="0.3">
      <c r="I376" s="4" t="s">
        <v>75</v>
      </c>
      <c r="J376" s="4">
        <v>471</v>
      </c>
    </row>
    <row r="377" spans="9:10" x14ac:dyDescent="0.3">
      <c r="I377" s="4" t="s">
        <v>71</v>
      </c>
      <c r="J377" s="4">
        <v>421</v>
      </c>
    </row>
    <row r="378" spans="9:10" x14ac:dyDescent="0.3">
      <c r="I378" s="4" t="s">
        <v>72</v>
      </c>
      <c r="J378" s="4">
        <v>189</v>
      </c>
    </row>
    <row r="379" spans="9:10" x14ac:dyDescent="0.3">
      <c r="I379" s="4" t="s">
        <v>73</v>
      </c>
      <c r="J379" s="4">
        <v>183</v>
      </c>
    </row>
    <row r="380" spans="9:10" x14ac:dyDescent="0.3">
      <c r="I380" s="4" t="s">
        <v>72</v>
      </c>
      <c r="J380" s="4">
        <v>201</v>
      </c>
    </row>
    <row r="381" spans="9:10" x14ac:dyDescent="0.3">
      <c r="I381" s="4" t="s">
        <v>73</v>
      </c>
      <c r="J381" s="4">
        <v>242</v>
      </c>
    </row>
    <row r="382" spans="9:10" x14ac:dyDescent="0.3">
      <c r="I382" s="4" t="s">
        <v>76</v>
      </c>
      <c r="J382" s="4">
        <v>415</v>
      </c>
    </row>
    <row r="383" spans="9:10" x14ac:dyDescent="0.3">
      <c r="I383" s="4" t="s">
        <v>75</v>
      </c>
      <c r="J383" s="4">
        <v>380</v>
      </c>
    </row>
    <row r="384" spans="9:10" x14ac:dyDescent="0.3">
      <c r="I384" s="4" t="s">
        <v>75</v>
      </c>
      <c r="J384" s="4">
        <v>471</v>
      </c>
    </row>
    <row r="385" spans="9:10" x14ac:dyDescent="0.3">
      <c r="I385" s="4" t="s">
        <v>73</v>
      </c>
      <c r="J385" s="4">
        <v>192</v>
      </c>
    </row>
    <row r="386" spans="9:10" x14ac:dyDescent="0.3">
      <c r="I386" s="4" t="s">
        <v>75</v>
      </c>
      <c r="J386" s="4">
        <v>450</v>
      </c>
    </row>
    <row r="387" spans="9:10" x14ac:dyDescent="0.3">
      <c r="I387" s="4" t="s">
        <v>71</v>
      </c>
      <c r="J387" s="4">
        <v>95</v>
      </c>
    </row>
    <row r="388" spans="9:10" x14ac:dyDescent="0.3">
      <c r="I388" s="4" t="s">
        <v>73</v>
      </c>
      <c r="J388" s="4">
        <v>439</v>
      </c>
    </row>
    <row r="389" spans="9:10" x14ac:dyDescent="0.3">
      <c r="I389" s="4" t="s">
        <v>73</v>
      </c>
      <c r="J389" s="4">
        <v>256</v>
      </c>
    </row>
    <row r="390" spans="9:10" x14ac:dyDescent="0.3">
      <c r="I390" s="4" t="s">
        <v>76</v>
      </c>
      <c r="J390" s="4">
        <v>328</v>
      </c>
    </row>
    <row r="391" spans="9:10" x14ac:dyDescent="0.3">
      <c r="I391" s="4" t="s">
        <v>74</v>
      </c>
      <c r="J391" s="4">
        <v>299</v>
      </c>
    </row>
    <row r="392" spans="9:10" x14ac:dyDescent="0.3">
      <c r="I392" s="4" t="s">
        <v>73</v>
      </c>
      <c r="J392" s="4">
        <v>200</v>
      </c>
    </row>
    <row r="393" spans="9:10" x14ac:dyDescent="0.3">
      <c r="I393" s="4" t="s">
        <v>76</v>
      </c>
      <c r="J393" s="4">
        <v>404</v>
      </c>
    </row>
    <row r="394" spans="9:10" x14ac:dyDescent="0.3">
      <c r="I394" s="4" t="s">
        <v>72</v>
      </c>
      <c r="J394" s="4">
        <v>394</v>
      </c>
    </row>
    <row r="395" spans="9:10" x14ac:dyDescent="0.3">
      <c r="I395" s="4" t="s">
        <v>76</v>
      </c>
      <c r="J395" s="4">
        <v>333</v>
      </c>
    </row>
    <row r="396" spans="9:10" x14ac:dyDescent="0.3">
      <c r="I396" s="4" t="s">
        <v>76</v>
      </c>
      <c r="J396" s="4">
        <v>81</v>
      </c>
    </row>
    <row r="397" spans="9:10" x14ac:dyDescent="0.3">
      <c r="I397" s="4" t="s">
        <v>72</v>
      </c>
      <c r="J397" s="4">
        <v>258</v>
      </c>
    </row>
    <row r="398" spans="9:10" x14ac:dyDescent="0.3">
      <c r="I398" s="4" t="s">
        <v>73</v>
      </c>
      <c r="J398" s="4">
        <v>374</v>
      </c>
    </row>
    <row r="399" spans="9:10" x14ac:dyDescent="0.3">
      <c r="I399" s="4" t="s">
        <v>74</v>
      </c>
      <c r="J399" s="4">
        <v>196</v>
      </c>
    </row>
    <row r="400" spans="9:10" x14ac:dyDescent="0.3">
      <c r="I400" s="4" t="s">
        <v>76</v>
      </c>
      <c r="J400" s="4">
        <v>302</v>
      </c>
    </row>
    <row r="401" spans="9:10" x14ac:dyDescent="0.3">
      <c r="I401" s="4" t="s">
        <v>71</v>
      </c>
      <c r="J401" s="4">
        <v>112</v>
      </c>
    </row>
    <row r="402" spans="9:10" x14ac:dyDescent="0.3">
      <c r="I402" s="4" t="s">
        <v>75</v>
      </c>
      <c r="J402" s="4">
        <v>181</v>
      </c>
    </row>
    <row r="403" spans="9:10" x14ac:dyDescent="0.3">
      <c r="I403" s="4" t="s">
        <v>76</v>
      </c>
      <c r="J403" s="4">
        <v>372</v>
      </c>
    </row>
    <row r="404" spans="9:10" x14ac:dyDescent="0.3">
      <c r="I404" s="4" t="s">
        <v>76</v>
      </c>
      <c r="J404" s="4">
        <v>180</v>
      </c>
    </row>
    <row r="405" spans="9:10" x14ac:dyDescent="0.3">
      <c r="I405" s="4" t="s">
        <v>74</v>
      </c>
      <c r="J405" s="4">
        <v>347</v>
      </c>
    </row>
    <row r="406" spans="9:10" x14ac:dyDescent="0.3">
      <c r="I406" s="4" t="s">
        <v>72</v>
      </c>
      <c r="J406" s="4">
        <v>225</v>
      </c>
    </row>
    <row r="407" spans="9:10" x14ac:dyDescent="0.3">
      <c r="I407" s="4" t="s">
        <v>74</v>
      </c>
      <c r="J407" s="4">
        <v>101</v>
      </c>
    </row>
    <row r="408" spans="9:10" x14ac:dyDescent="0.3">
      <c r="I408" s="4" t="s">
        <v>74</v>
      </c>
      <c r="J408" s="4">
        <v>234</v>
      </c>
    </row>
    <row r="409" spans="9:10" x14ac:dyDescent="0.3">
      <c r="I409" s="4" t="s">
        <v>76</v>
      </c>
      <c r="J409" s="4">
        <v>78</v>
      </c>
    </row>
    <row r="410" spans="9:10" x14ac:dyDescent="0.3">
      <c r="I410" s="4" t="s">
        <v>75</v>
      </c>
      <c r="J410" s="4">
        <v>156</v>
      </c>
    </row>
    <row r="411" spans="9:10" x14ac:dyDescent="0.3">
      <c r="I411" s="4" t="s">
        <v>73</v>
      </c>
      <c r="J411" s="4">
        <v>396</v>
      </c>
    </row>
    <row r="412" spans="9:10" x14ac:dyDescent="0.3">
      <c r="I412" s="4" t="s">
        <v>71</v>
      </c>
      <c r="J412" s="4">
        <v>397</v>
      </c>
    </row>
    <row r="413" spans="9:10" x14ac:dyDescent="0.3">
      <c r="I413" s="4" t="s">
        <v>75</v>
      </c>
      <c r="J413" s="4">
        <v>392</v>
      </c>
    </row>
    <row r="414" spans="9:10" x14ac:dyDescent="0.3">
      <c r="I414" s="4" t="s">
        <v>74</v>
      </c>
      <c r="J414" s="4">
        <v>219</v>
      </c>
    </row>
    <row r="415" spans="9:10" x14ac:dyDescent="0.3">
      <c r="I415" s="4" t="s">
        <v>76</v>
      </c>
      <c r="J415" s="4">
        <v>163</v>
      </c>
    </row>
    <row r="416" spans="9:10" x14ac:dyDescent="0.3">
      <c r="I416" s="4" t="s">
        <v>71</v>
      </c>
      <c r="J416" s="4">
        <v>129</v>
      </c>
    </row>
    <row r="417" spans="9:10" x14ac:dyDescent="0.3">
      <c r="I417" s="4" t="s">
        <v>72</v>
      </c>
      <c r="J417" s="4">
        <v>131</v>
      </c>
    </row>
    <row r="418" spans="9:10" x14ac:dyDescent="0.3">
      <c r="I418" s="4" t="s">
        <v>76</v>
      </c>
      <c r="J418" s="4">
        <v>315</v>
      </c>
    </row>
    <row r="419" spans="9:10" x14ac:dyDescent="0.3">
      <c r="I419" s="4" t="s">
        <v>72</v>
      </c>
      <c r="J419" s="4">
        <v>459</v>
      </c>
    </row>
    <row r="420" spans="9:10" x14ac:dyDescent="0.3">
      <c r="I420" s="4" t="s">
        <v>74</v>
      </c>
      <c r="J420" s="4">
        <v>434</v>
      </c>
    </row>
    <row r="421" spans="9:10" x14ac:dyDescent="0.3">
      <c r="I421" s="4" t="s">
        <v>72</v>
      </c>
      <c r="J421" s="4">
        <v>125</v>
      </c>
    </row>
    <row r="422" spans="9:10" x14ac:dyDescent="0.3">
      <c r="I422" s="4" t="s">
        <v>76</v>
      </c>
      <c r="J422" s="4">
        <v>121</v>
      </c>
    </row>
    <row r="423" spans="9:10" x14ac:dyDescent="0.3">
      <c r="I423" s="4" t="s">
        <v>76</v>
      </c>
      <c r="J423" s="4">
        <v>57</v>
      </c>
    </row>
    <row r="424" spans="9:10" x14ac:dyDescent="0.3">
      <c r="I424" s="4" t="s">
        <v>72</v>
      </c>
      <c r="J424" s="4">
        <v>414</v>
      </c>
    </row>
    <row r="425" spans="9:10" x14ac:dyDescent="0.3">
      <c r="I425" s="4" t="s">
        <v>75</v>
      </c>
      <c r="J425" s="4">
        <v>250</v>
      </c>
    </row>
    <row r="426" spans="9:10" x14ac:dyDescent="0.3">
      <c r="I426" s="4" t="s">
        <v>72</v>
      </c>
      <c r="J426" s="4">
        <v>348</v>
      </c>
    </row>
    <row r="427" spans="9:10" x14ac:dyDescent="0.3">
      <c r="I427" s="4" t="s">
        <v>72</v>
      </c>
      <c r="J427" s="4">
        <v>143</v>
      </c>
    </row>
    <row r="428" spans="9:10" x14ac:dyDescent="0.3">
      <c r="I428" s="4" t="s">
        <v>72</v>
      </c>
      <c r="J428" s="4">
        <v>315</v>
      </c>
    </row>
    <row r="429" spans="9:10" x14ac:dyDescent="0.3">
      <c r="I429" s="4" t="s">
        <v>75</v>
      </c>
      <c r="J429" s="4">
        <v>212</v>
      </c>
    </row>
    <row r="430" spans="9:10" x14ac:dyDescent="0.3">
      <c r="I430" s="4" t="s">
        <v>76</v>
      </c>
      <c r="J430" s="4">
        <v>288</v>
      </c>
    </row>
    <row r="431" spans="9:10" x14ac:dyDescent="0.3">
      <c r="I431" s="4" t="s">
        <v>73</v>
      </c>
      <c r="J431" s="4">
        <v>481</v>
      </c>
    </row>
    <row r="432" spans="9:10" x14ac:dyDescent="0.3">
      <c r="I432" s="4" t="s">
        <v>75</v>
      </c>
      <c r="J432" s="4">
        <v>471</v>
      </c>
    </row>
    <row r="433" spans="9:10" x14ac:dyDescent="0.3">
      <c r="I433" s="4" t="s">
        <v>72</v>
      </c>
      <c r="J433" s="4">
        <v>425</v>
      </c>
    </row>
    <row r="434" spans="9:10" x14ac:dyDescent="0.3">
      <c r="I434" s="4" t="s">
        <v>75</v>
      </c>
      <c r="J434" s="4">
        <v>477</v>
      </c>
    </row>
    <row r="435" spans="9:10" x14ac:dyDescent="0.3">
      <c r="I435" s="4" t="s">
        <v>71</v>
      </c>
      <c r="J435" s="4">
        <v>71</v>
      </c>
    </row>
    <row r="436" spans="9:10" x14ac:dyDescent="0.3">
      <c r="I436" s="4" t="s">
        <v>74</v>
      </c>
      <c r="J436" s="4">
        <v>79</v>
      </c>
    </row>
    <row r="437" spans="9:10" x14ac:dyDescent="0.3">
      <c r="I437" s="4" t="s">
        <v>74</v>
      </c>
      <c r="J437" s="4">
        <v>322</v>
      </c>
    </row>
    <row r="438" spans="9:10" x14ac:dyDescent="0.3">
      <c r="I438" s="4" t="s">
        <v>76</v>
      </c>
      <c r="J438" s="4">
        <v>82</v>
      </c>
    </row>
    <row r="439" spans="9:10" x14ac:dyDescent="0.3">
      <c r="I439" s="4" t="s">
        <v>73</v>
      </c>
      <c r="J439" s="4">
        <v>477</v>
      </c>
    </row>
    <row r="440" spans="9:10" x14ac:dyDescent="0.3">
      <c r="I440" s="4" t="s">
        <v>76</v>
      </c>
      <c r="J440" s="4">
        <v>346</v>
      </c>
    </row>
    <row r="441" spans="9:10" x14ac:dyDescent="0.3">
      <c r="I441" s="4" t="s">
        <v>73</v>
      </c>
      <c r="J441" s="4">
        <v>311</v>
      </c>
    </row>
    <row r="442" spans="9:10" x14ac:dyDescent="0.3">
      <c r="I442" s="4" t="s">
        <v>73</v>
      </c>
      <c r="J442" s="4">
        <v>50</v>
      </c>
    </row>
    <row r="443" spans="9:10" x14ac:dyDescent="0.3">
      <c r="I443" s="4" t="s">
        <v>75</v>
      </c>
      <c r="J443" s="4">
        <v>157</v>
      </c>
    </row>
    <row r="444" spans="9:10" x14ac:dyDescent="0.3">
      <c r="I444" s="4" t="s">
        <v>72</v>
      </c>
      <c r="J444" s="4">
        <v>278</v>
      </c>
    </row>
    <row r="445" spans="9:10" x14ac:dyDescent="0.3">
      <c r="I445" s="4" t="s">
        <v>75</v>
      </c>
      <c r="J445" s="4">
        <v>309</v>
      </c>
    </row>
    <row r="446" spans="9:10" x14ac:dyDescent="0.3">
      <c r="I446" s="4" t="s">
        <v>72</v>
      </c>
      <c r="J446" s="4">
        <v>97</v>
      </c>
    </row>
    <row r="447" spans="9:10" x14ac:dyDescent="0.3">
      <c r="I447" s="4" t="s">
        <v>74</v>
      </c>
      <c r="J447" s="4">
        <v>325</v>
      </c>
    </row>
    <row r="448" spans="9:10" x14ac:dyDescent="0.3">
      <c r="I448" s="4" t="s">
        <v>71</v>
      </c>
      <c r="J448" s="4">
        <v>365</v>
      </c>
    </row>
    <row r="449" spans="9:10" x14ac:dyDescent="0.3">
      <c r="I449" s="4" t="s">
        <v>75</v>
      </c>
      <c r="J449" s="4">
        <v>240</v>
      </c>
    </row>
    <row r="450" spans="9:10" x14ac:dyDescent="0.3">
      <c r="I450" s="4" t="s">
        <v>73</v>
      </c>
      <c r="J450" s="4">
        <v>426</v>
      </c>
    </row>
    <row r="451" spans="9:10" x14ac:dyDescent="0.3">
      <c r="I451" s="4" t="s">
        <v>71</v>
      </c>
      <c r="J451" s="4">
        <v>366</v>
      </c>
    </row>
    <row r="452" spans="9:10" x14ac:dyDescent="0.3">
      <c r="I452" s="4" t="s">
        <v>71</v>
      </c>
      <c r="J452" s="4">
        <v>411</v>
      </c>
    </row>
    <row r="453" spans="9:10" x14ac:dyDescent="0.3">
      <c r="I453" s="4" t="s">
        <v>72</v>
      </c>
      <c r="J453" s="4">
        <v>336</v>
      </c>
    </row>
    <row r="454" spans="9:10" x14ac:dyDescent="0.3">
      <c r="I454" s="4" t="s">
        <v>76</v>
      </c>
      <c r="J454" s="4">
        <v>425</v>
      </c>
    </row>
    <row r="455" spans="9:10" x14ac:dyDescent="0.3">
      <c r="I455" s="4" t="s">
        <v>75</v>
      </c>
      <c r="J455" s="4">
        <v>138</v>
      </c>
    </row>
    <row r="456" spans="9:10" x14ac:dyDescent="0.3">
      <c r="I456" s="4" t="s">
        <v>73</v>
      </c>
      <c r="J456" s="4">
        <v>319</v>
      </c>
    </row>
    <row r="457" spans="9:10" x14ac:dyDescent="0.3">
      <c r="I457" s="4" t="s">
        <v>76</v>
      </c>
      <c r="J457" s="4">
        <v>271</v>
      </c>
    </row>
    <row r="458" spans="9:10" x14ac:dyDescent="0.3">
      <c r="I458" s="4" t="s">
        <v>76</v>
      </c>
      <c r="J458" s="4">
        <v>207</v>
      </c>
    </row>
    <row r="459" spans="9:10" x14ac:dyDescent="0.3">
      <c r="I459" s="4" t="s">
        <v>75</v>
      </c>
      <c r="J459" s="4">
        <v>227</v>
      </c>
    </row>
    <row r="460" spans="9:10" x14ac:dyDescent="0.3">
      <c r="I460" s="4" t="s">
        <v>72</v>
      </c>
      <c r="J460" s="4">
        <v>229</v>
      </c>
    </row>
    <row r="461" spans="9:10" x14ac:dyDescent="0.3">
      <c r="I461" s="4" t="s">
        <v>75</v>
      </c>
      <c r="J461" s="4">
        <v>189</v>
      </c>
    </row>
    <row r="462" spans="9:10" x14ac:dyDescent="0.3">
      <c r="I462" s="4" t="s">
        <v>71</v>
      </c>
      <c r="J462" s="4">
        <v>153</v>
      </c>
    </row>
    <row r="463" spans="9:10" x14ac:dyDescent="0.3">
      <c r="I463" s="4" t="s">
        <v>71</v>
      </c>
      <c r="J463" s="4">
        <v>470</v>
      </c>
    </row>
    <row r="464" spans="9:10" x14ac:dyDescent="0.3">
      <c r="I464" s="4" t="s">
        <v>72</v>
      </c>
      <c r="J464" s="4">
        <v>366</v>
      </c>
    </row>
    <row r="465" spans="9:10" x14ac:dyDescent="0.3">
      <c r="I465" s="4" t="s">
        <v>75</v>
      </c>
      <c r="J465" s="4">
        <v>301</v>
      </c>
    </row>
    <row r="466" spans="9:10" x14ac:dyDescent="0.3">
      <c r="I466" s="4" t="s">
        <v>72</v>
      </c>
      <c r="J466" s="4">
        <v>86</v>
      </c>
    </row>
    <row r="467" spans="9:10" x14ac:dyDescent="0.3">
      <c r="I467" s="4" t="s">
        <v>71</v>
      </c>
      <c r="J467" s="4">
        <v>347</v>
      </c>
    </row>
    <row r="468" spans="9:10" x14ac:dyDescent="0.3">
      <c r="I468" s="4" t="s">
        <v>74</v>
      </c>
      <c r="J468" s="4">
        <v>143</v>
      </c>
    </row>
    <row r="469" spans="9:10" x14ac:dyDescent="0.3">
      <c r="I469" s="4" t="s">
        <v>71</v>
      </c>
      <c r="J469" s="4">
        <v>389</v>
      </c>
    </row>
    <row r="470" spans="9:10" x14ac:dyDescent="0.3">
      <c r="I470" s="4" t="s">
        <v>72</v>
      </c>
      <c r="J470" s="4">
        <v>147</v>
      </c>
    </row>
    <row r="471" spans="9:10" x14ac:dyDescent="0.3">
      <c r="I471" s="4" t="s">
        <v>72</v>
      </c>
      <c r="J471" s="4">
        <v>405</v>
      </c>
    </row>
    <row r="472" spans="9:10" x14ac:dyDescent="0.3">
      <c r="I472" s="4" t="s">
        <v>75</v>
      </c>
      <c r="J472" s="4">
        <v>500</v>
      </c>
    </row>
    <row r="473" spans="9:10" x14ac:dyDescent="0.3">
      <c r="I473" s="4" t="s">
        <v>75</v>
      </c>
      <c r="J473" s="4">
        <v>67</v>
      </c>
    </row>
    <row r="474" spans="9:10" x14ac:dyDescent="0.3">
      <c r="I474" s="4" t="s">
        <v>74</v>
      </c>
      <c r="J474" s="4">
        <v>499</v>
      </c>
    </row>
    <row r="475" spans="9:10" x14ac:dyDescent="0.3">
      <c r="I475" s="4" t="s">
        <v>75</v>
      </c>
      <c r="J475" s="4">
        <v>376</v>
      </c>
    </row>
    <row r="476" spans="9:10" x14ac:dyDescent="0.3">
      <c r="I476" s="4" t="s">
        <v>74</v>
      </c>
      <c r="J476" s="4">
        <v>159</v>
      </c>
    </row>
    <row r="477" spans="9:10" x14ac:dyDescent="0.3">
      <c r="I477" s="4" t="s">
        <v>75</v>
      </c>
      <c r="J477" s="4">
        <v>208</v>
      </c>
    </row>
    <row r="478" spans="9:10" x14ac:dyDescent="0.3">
      <c r="I478" s="4" t="s">
        <v>74</v>
      </c>
      <c r="J478" s="4">
        <v>317</v>
      </c>
    </row>
    <row r="479" spans="9:10" x14ac:dyDescent="0.3">
      <c r="I479" s="4" t="s">
        <v>75</v>
      </c>
      <c r="J479" s="4">
        <v>84</v>
      </c>
    </row>
    <row r="480" spans="9:10" x14ac:dyDescent="0.3">
      <c r="I480" s="4" t="s">
        <v>71</v>
      </c>
      <c r="J480" s="4">
        <v>472</v>
      </c>
    </row>
    <row r="481" spans="9:10" x14ac:dyDescent="0.3">
      <c r="I481" s="4" t="s">
        <v>75</v>
      </c>
      <c r="J481" s="4">
        <v>201</v>
      </c>
    </row>
    <row r="482" spans="9:10" x14ac:dyDescent="0.3">
      <c r="I482" s="4" t="s">
        <v>76</v>
      </c>
      <c r="J482" s="4">
        <v>104</v>
      </c>
    </row>
    <row r="483" spans="9:10" x14ac:dyDescent="0.3">
      <c r="I483" s="4" t="s">
        <v>75</v>
      </c>
      <c r="J483" s="4">
        <v>414</v>
      </c>
    </row>
    <row r="484" spans="9:10" x14ac:dyDescent="0.3">
      <c r="I484" s="4" t="s">
        <v>75</v>
      </c>
      <c r="J484" s="4">
        <v>94</v>
      </c>
    </row>
    <row r="485" spans="9:10" x14ac:dyDescent="0.3">
      <c r="I485" s="4" t="s">
        <v>71</v>
      </c>
      <c r="J485" s="4">
        <v>235</v>
      </c>
    </row>
    <row r="486" spans="9:10" x14ac:dyDescent="0.3">
      <c r="I486" s="4" t="s">
        <v>72</v>
      </c>
      <c r="J486" s="4">
        <v>378</v>
      </c>
    </row>
    <row r="487" spans="9:10" x14ac:dyDescent="0.3">
      <c r="I487" s="4" t="s">
        <v>75</v>
      </c>
      <c r="J487" s="4">
        <v>239</v>
      </c>
    </row>
    <row r="488" spans="9:10" x14ac:dyDescent="0.3">
      <c r="I488" s="4" t="s">
        <v>76</v>
      </c>
      <c r="J488" s="4">
        <v>83</v>
      </c>
    </row>
    <row r="489" spans="9:10" x14ac:dyDescent="0.3">
      <c r="I489" s="4" t="s">
        <v>73</v>
      </c>
      <c r="J489" s="4">
        <v>261</v>
      </c>
    </row>
    <row r="490" spans="9:10" x14ac:dyDescent="0.3">
      <c r="I490" s="4" t="s">
        <v>72</v>
      </c>
      <c r="J490" s="4">
        <v>140</v>
      </c>
    </row>
    <row r="491" spans="9:10" x14ac:dyDescent="0.3">
      <c r="I491" s="4" t="s">
        <v>73</v>
      </c>
      <c r="J491" s="4">
        <v>325</v>
      </c>
    </row>
    <row r="492" spans="9:10" x14ac:dyDescent="0.3">
      <c r="I492" s="4" t="s">
        <v>72</v>
      </c>
      <c r="J492" s="4">
        <v>82</v>
      </c>
    </row>
    <row r="493" spans="9:10" x14ac:dyDescent="0.3">
      <c r="I493" s="4" t="s">
        <v>73</v>
      </c>
      <c r="J493" s="4">
        <v>308</v>
      </c>
    </row>
    <row r="494" spans="9:10" x14ac:dyDescent="0.3">
      <c r="I494" s="4" t="s">
        <v>71</v>
      </c>
      <c r="J494" s="4">
        <v>483</v>
      </c>
    </row>
    <row r="495" spans="9:10" x14ac:dyDescent="0.3">
      <c r="I495" s="4" t="s">
        <v>75</v>
      </c>
      <c r="J495" s="4">
        <v>479</v>
      </c>
    </row>
    <row r="496" spans="9:10" x14ac:dyDescent="0.3">
      <c r="I496" s="4" t="s">
        <v>75</v>
      </c>
      <c r="J496" s="4">
        <v>149</v>
      </c>
    </row>
    <row r="497" spans="9:10" x14ac:dyDescent="0.3">
      <c r="I497" s="4" t="s">
        <v>75</v>
      </c>
      <c r="J497" s="4">
        <v>230</v>
      </c>
    </row>
    <row r="498" spans="9:10" x14ac:dyDescent="0.3">
      <c r="I498" s="4" t="s">
        <v>71</v>
      </c>
      <c r="J498" s="4">
        <v>362</v>
      </c>
    </row>
    <row r="499" spans="9:10" x14ac:dyDescent="0.3">
      <c r="I499" s="4" t="s">
        <v>73</v>
      </c>
      <c r="J499" s="4">
        <v>155</v>
      </c>
    </row>
    <row r="500" spans="9:10" x14ac:dyDescent="0.3">
      <c r="I500" s="4" t="s">
        <v>76</v>
      </c>
      <c r="J500" s="4">
        <v>71</v>
      </c>
    </row>
    <row r="501" spans="9:10" x14ac:dyDescent="0.3">
      <c r="I501" s="4" t="s">
        <v>73</v>
      </c>
      <c r="J501" s="4">
        <v>331</v>
      </c>
    </row>
    <row r="502" spans="9:10" x14ac:dyDescent="0.3">
      <c r="I502" s="4" t="s">
        <v>75</v>
      </c>
      <c r="J502" s="4">
        <v>269</v>
      </c>
    </row>
    <row r="503" spans="9:10" x14ac:dyDescent="0.3">
      <c r="I503" s="4" t="s">
        <v>72</v>
      </c>
      <c r="J503" s="4">
        <v>463</v>
      </c>
    </row>
    <row r="504" spans="9:10" x14ac:dyDescent="0.3">
      <c r="I504" s="4" t="s">
        <v>74</v>
      </c>
      <c r="J504" s="4">
        <v>209</v>
      </c>
    </row>
    <row r="505" spans="9:10" x14ac:dyDescent="0.3">
      <c r="I505" s="4" t="s">
        <v>73</v>
      </c>
      <c r="J505" s="4">
        <v>253</v>
      </c>
    </row>
    <row r="506" spans="9:10" x14ac:dyDescent="0.3">
      <c r="I506" s="4" t="s">
        <v>71</v>
      </c>
      <c r="J506" s="4">
        <v>132</v>
      </c>
    </row>
    <row r="507" spans="9:10" x14ac:dyDescent="0.3">
      <c r="I507" s="4" t="s">
        <v>72</v>
      </c>
      <c r="J507" s="4">
        <v>132</v>
      </c>
    </row>
    <row r="508" spans="9:10" x14ac:dyDescent="0.3">
      <c r="I508" s="4" t="s">
        <v>76</v>
      </c>
      <c r="J508" s="4">
        <v>206</v>
      </c>
    </row>
    <row r="509" spans="9:10" x14ac:dyDescent="0.3">
      <c r="I509" s="4" t="s">
        <v>71</v>
      </c>
      <c r="J509" s="4">
        <v>388</v>
      </c>
    </row>
    <row r="510" spans="9:10" x14ac:dyDescent="0.3">
      <c r="I510" s="4" t="s">
        <v>74</v>
      </c>
      <c r="J510" s="4">
        <v>201</v>
      </c>
    </row>
    <row r="511" spans="9:10" x14ac:dyDescent="0.3">
      <c r="I511" s="4" t="s">
        <v>72</v>
      </c>
      <c r="J511" s="4">
        <v>424</v>
      </c>
    </row>
    <row r="512" spans="9:10" x14ac:dyDescent="0.3">
      <c r="I512" s="4" t="s">
        <v>71</v>
      </c>
      <c r="J512" s="4">
        <v>55</v>
      </c>
    </row>
    <row r="513" spans="9:10" x14ac:dyDescent="0.3">
      <c r="I513" s="4" t="s">
        <v>75</v>
      </c>
      <c r="J513" s="4">
        <v>464</v>
      </c>
    </row>
    <row r="514" spans="9:10" x14ac:dyDescent="0.3">
      <c r="I514" s="4" t="s">
        <v>76</v>
      </c>
      <c r="J514" s="4">
        <v>439</v>
      </c>
    </row>
    <row r="515" spans="9:10" x14ac:dyDescent="0.3">
      <c r="I515" s="4" t="s">
        <v>73</v>
      </c>
      <c r="J515" s="4">
        <v>163</v>
      </c>
    </row>
    <row r="516" spans="9:10" x14ac:dyDescent="0.3">
      <c r="I516" s="4" t="s">
        <v>75</v>
      </c>
      <c r="J516" s="4">
        <v>447</v>
      </c>
    </row>
    <row r="517" spans="9:10" x14ac:dyDescent="0.3">
      <c r="I517" s="4" t="s">
        <v>73</v>
      </c>
      <c r="J517" s="4">
        <v>190</v>
      </c>
    </row>
    <row r="518" spans="9:10" x14ac:dyDescent="0.3">
      <c r="I518" s="4" t="s">
        <v>73</v>
      </c>
      <c r="J518" s="4">
        <v>164</v>
      </c>
    </row>
    <row r="519" spans="9:10" x14ac:dyDescent="0.3">
      <c r="I519" s="4" t="s">
        <v>74</v>
      </c>
      <c r="J519" s="4">
        <v>385</v>
      </c>
    </row>
    <row r="520" spans="9:10" x14ac:dyDescent="0.3">
      <c r="I520" s="4" t="s">
        <v>71</v>
      </c>
      <c r="J520" s="4">
        <v>289</v>
      </c>
    </row>
    <row r="521" spans="9:10" x14ac:dyDescent="0.3">
      <c r="I521" s="4" t="s">
        <v>74</v>
      </c>
      <c r="J521" s="4">
        <v>295</v>
      </c>
    </row>
    <row r="522" spans="9:10" x14ac:dyDescent="0.3">
      <c r="I522" s="4" t="s">
        <v>73</v>
      </c>
      <c r="J522" s="4">
        <v>430</v>
      </c>
    </row>
    <row r="523" spans="9:10" x14ac:dyDescent="0.3">
      <c r="I523" s="4" t="s">
        <v>75</v>
      </c>
      <c r="J523" s="4">
        <v>252</v>
      </c>
    </row>
    <row r="524" spans="9:10" x14ac:dyDescent="0.3">
      <c r="I524" s="4" t="s">
        <v>73</v>
      </c>
      <c r="J524" s="4">
        <v>460</v>
      </c>
    </row>
    <row r="525" spans="9:10" x14ac:dyDescent="0.3">
      <c r="I525" s="4" t="s">
        <v>74</v>
      </c>
      <c r="J525" s="4">
        <v>498</v>
      </c>
    </row>
    <row r="526" spans="9:10" x14ac:dyDescent="0.3">
      <c r="I526" s="4" t="s">
        <v>75</v>
      </c>
      <c r="J526" s="4">
        <v>83</v>
      </c>
    </row>
    <row r="527" spans="9:10" x14ac:dyDescent="0.3">
      <c r="I527" s="4" t="s">
        <v>72</v>
      </c>
      <c r="J527" s="4">
        <v>464</v>
      </c>
    </row>
    <row r="528" spans="9:10" x14ac:dyDescent="0.3">
      <c r="I528" s="4" t="s">
        <v>72</v>
      </c>
      <c r="J528" s="4">
        <v>169</v>
      </c>
    </row>
    <row r="529" spans="9:10" x14ac:dyDescent="0.3">
      <c r="I529" s="4" t="s">
        <v>74</v>
      </c>
      <c r="J529" s="4">
        <v>116</v>
      </c>
    </row>
    <row r="530" spans="9:10" x14ac:dyDescent="0.3">
      <c r="I530" s="4" t="s">
        <v>75</v>
      </c>
      <c r="J530" s="4">
        <v>108</v>
      </c>
    </row>
    <row r="531" spans="9:10" x14ac:dyDescent="0.3">
      <c r="I531" s="4" t="s">
        <v>75</v>
      </c>
      <c r="J531" s="4">
        <v>418</v>
      </c>
    </row>
    <row r="532" spans="9:10" x14ac:dyDescent="0.3">
      <c r="I532" s="4" t="s">
        <v>72</v>
      </c>
      <c r="J532" s="4">
        <v>491</v>
      </c>
    </row>
    <row r="533" spans="9:10" x14ac:dyDescent="0.3">
      <c r="I533" s="4" t="s">
        <v>76</v>
      </c>
      <c r="J533" s="4">
        <v>286</v>
      </c>
    </row>
    <row r="534" spans="9:10" x14ac:dyDescent="0.3">
      <c r="I534" s="4" t="s">
        <v>72</v>
      </c>
      <c r="J534" s="4">
        <v>77</v>
      </c>
    </row>
    <row r="535" spans="9:10" x14ac:dyDescent="0.3">
      <c r="I535" s="4" t="s">
        <v>73</v>
      </c>
      <c r="J535" s="4">
        <v>301</v>
      </c>
    </row>
    <row r="536" spans="9:10" x14ac:dyDescent="0.3">
      <c r="I536" s="4" t="s">
        <v>74</v>
      </c>
      <c r="J536" s="4">
        <v>349</v>
      </c>
    </row>
    <row r="537" spans="9:10" x14ac:dyDescent="0.3">
      <c r="I537" s="4" t="s">
        <v>74</v>
      </c>
      <c r="J537" s="4">
        <v>355</v>
      </c>
    </row>
    <row r="538" spans="9:10" x14ac:dyDescent="0.3">
      <c r="I538" s="4" t="s">
        <v>74</v>
      </c>
      <c r="J538" s="4">
        <v>173</v>
      </c>
    </row>
    <row r="539" spans="9:10" x14ac:dyDescent="0.3">
      <c r="I539" s="4" t="s">
        <v>74</v>
      </c>
      <c r="J539" s="4">
        <v>160</v>
      </c>
    </row>
    <row r="540" spans="9:10" x14ac:dyDescent="0.3">
      <c r="I540" s="4" t="s">
        <v>73</v>
      </c>
      <c r="J540" s="4">
        <v>91</v>
      </c>
    </row>
    <row r="541" spans="9:10" x14ac:dyDescent="0.3">
      <c r="I541" s="4" t="s">
        <v>76</v>
      </c>
      <c r="J541" s="4">
        <v>363</v>
      </c>
    </row>
    <row r="542" spans="9:10" x14ac:dyDescent="0.3">
      <c r="I542" s="4" t="s">
        <v>72</v>
      </c>
      <c r="J542" s="4">
        <v>366</v>
      </c>
    </row>
    <row r="543" spans="9:10" x14ac:dyDescent="0.3">
      <c r="I543" s="4" t="s">
        <v>72</v>
      </c>
      <c r="J543" s="4">
        <v>116</v>
      </c>
    </row>
    <row r="544" spans="9:10" x14ac:dyDescent="0.3">
      <c r="I544" s="4" t="s">
        <v>72</v>
      </c>
      <c r="J544" s="4">
        <v>345</v>
      </c>
    </row>
    <row r="545" spans="9:10" x14ac:dyDescent="0.3">
      <c r="I545" s="4" t="s">
        <v>74</v>
      </c>
      <c r="J545" s="4">
        <v>195</v>
      </c>
    </row>
    <row r="546" spans="9:10" x14ac:dyDescent="0.3">
      <c r="I546" s="4" t="s">
        <v>76</v>
      </c>
      <c r="J546" s="4">
        <v>226</v>
      </c>
    </row>
    <row r="547" spans="9:10" x14ac:dyDescent="0.3">
      <c r="I547" s="4" t="s">
        <v>76</v>
      </c>
      <c r="J547" s="4">
        <v>270</v>
      </c>
    </row>
    <row r="548" spans="9:10" x14ac:dyDescent="0.3">
      <c r="I548" s="4" t="s">
        <v>71</v>
      </c>
      <c r="J548" s="4">
        <v>481</v>
      </c>
    </row>
    <row r="549" spans="9:10" x14ac:dyDescent="0.3">
      <c r="I549" s="4" t="s">
        <v>71</v>
      </c>
      <c r="J549" s="4">
        <v>422</v>
      </c>
    </row>
    <row r="550" spans="9:10" x14ac:dyDescent="0.3">
      <c r="I550" s="4" t="s">
        <v>74</v>
      </c>
      <c r="J550" s="4">
        <v>241</v>
      </c>
    </row>
    <row r="551" spans="9:10" x14ac:dyDescent="0.3">
      <c r="I551" s="4" t="s">
        <v>75</v>
      </c>
      <c r="J551" s="4">
        <v>358</v>
      </c>
    </row>
    <row r="552" spans="9:10" x14ac:dyDescent="0.3">
      <c r="I552" s="4" t="s">
        <v>72</v>
      </c>
      <c r="J552" s="4">
        <v>115</v>
      </c>
    </row>
    <row r="553" spans="9:10" x14ac:dyDescent="0.3">
      <c r="I553" s="4" t="s">
        <v>72</v>
      </c>
      <c r="J553" s="4">
        <v>230</v>
      </c>
    </row>
    <row r="554" spans="9:10" x14ac:dyDescent="0.3">
      <c r="I554" s="4" t="s">
        <v>71</v>
      </c>
      <c r="J554" s="4">
        <v>454</v>
      </c>
    </row>
    <row r="555" spans="9:10" x14ac:dyDescent="0.3">
      <c r="I555" s="4" t="s">
        <v>76</v>
      </c>
      <c r="J555" s="4">
        <v>100</v>
      </c>
    </row>
    <row r="556" spans="9:10" x14ac:dyDescent="0.3">
      <c r="I556" s="4" t="s">
        <v>72</v>
      </c>
      <c r="J556" s="4">
        <v>244</v>
      </c>
    </row>
    <row r="557" spans="9:10" x14ac:dyDescent="0.3">
      <c r="I557" s="4" t="s">
        <v>74</v>
      </c>
      <c r="J557" s="4">
        <v>225</v>
      </c>
    </row>
    <row r="558" spans="9:10" x14ac:dyDescent="0.3">
      <c r="I558" s="4" t="s">
        <v>71</v>
      </c>
      <c r="J558" s="4">
        <v>398</v>
      </c>
    </row>
    <row r="559" spans="9:10" x14ac:dyDescent="0.3">
      <c r="I559" s="4" t="s">
        <v>71</v>
      </c>
      <c r="J559" s="4">
        <v>353</v>
      </c>
    </row>
    <row r="560" spans="9:10" x14ac:dyDescent="0.3">
      <c r="I560" s="4" t="s">
        <v>72</v>
      </c>
      <c r="J560" s="4">
        <v>262</v>
      </c>
    </row>
    <row r="561" spans="9:10" x14ac:dyDescent="0.3">
      <c r="I561" s="4" t="s">
        <v>75</v>
      </c>
      <c r="J561" s="4">
        <v>385</v>
      </c>
    </row>
    <row r="562" spans="9:10" x14ac:dyDescent="0.3">
      <c r="I562" s="4" t="s">
        <v>75</v>
      </c>
      <c r="J562" s="4">
        <v>331</v>
      </c>
    </row>
    <row r="563" spans="9:10" x14ac:dyDescent="0.3">
      <c r="I563" s="4" t="s">
        <v>71</v>
      </c>
      <c r="J563" s="4">
        <v>399</v>
      </c>
    </row>
    <row r="564" spans="9:10" x14ac:dyDescent="0.3">
      <c r="I564" s="4" t="s">
        <v>76</v>
      </c>
      <c r="J564" s="4">
        <v>359</v>
      </c>
    </row>
    <row r="565" spans="9:10" x14ac:dyDescent="0.3">
      <c r="I565" s="4" t="s">
        <v>74</v>
      </c>
      <c r="J565" s="4">
        <v>314</v>
      </c>
    </row>
    <row r="566" spans="9:10" x14ac:dyDescent="0.3">
      <c r="I566" s="4" t="s">
        <v>71</v>
      </c>
      <c r="J566" s="4">
        <v>399</v>
      </c>
    </row>
    <row r="567" spans="9:10" x14ac:dyDescent="0.3">
      <c r="I567" s="4" t="s">
        <v>72</v>
      </c>
      <c r="J567" s="4">
        <v>150</v>
      </c>
    </row>
    <row r="568" spans="9:10" x14ac:dyDescent="0.3">
      <c r="I568" s="4" t="s">
        <v>75</v>
      </c>
      <c r="J568" s="4">
        <v>180</v>
      </c>
    </row>
    <row r="569" spans="9:10" x14ac:dyDescent="0.3">
      <c r="I569" s="4" t="s">
        <v>73</v>
      </c>
      <c r="J569" s="4">
        <v>460</v>
      </c>
    </row>
    <row r="570" spans="9:10" x14ac:dyDescent="0.3">
      <c r="I570" s="4" t="s">
        <v>76</v>
      </c>
      <c r="J570" s="4">
        <v>495</v>
      </c>
    </row>
    <row r="571" spans="9:10" x14ac:dyDescent="0.3">
      <c r="I571" s="4" t="s">
        <v>71</v>
      </c>
      <c r="J571" s="4">
        <v>189</v>
      </c>
    </row>
    <row r="572" spans="9:10" x14ac:dyDescent="0.3">
      <c r="I572" s="4" t="s">
        <v>76</v>
      </c>
      <c r="J572" s="4">
        <v>267</v>
      </c>
    </row>
    <row r="573" spans="9:10" x14ac:dyDescent="0.3">
      <c r="I573" s="4" t="s">
        <v>75</v>
      </c>
      <c r="J573" s="4">
        <v>329</v>
      </c>
    </row>
    <row r="574" spans="9:10" x14ac:dyDescent="0.3">
      <c r="I574" s="4" t="s">
        <v>72</v>
      </c>
      <c r="J574" s="4">
        <v>472</v>
      </c>
    </row>
    <row r="575" spans="9:10" x14ac:dyDescent="0.3">
      <c r="I575" s="4" t="s">
        <v>72</v>
      </c>
      <c r="J575" s="4">
        <v>124</v>
      </c>
    </row>
    <row r="576" spans="9:10" x14ac:dyDescent="0.3">
      <c r="I576" s="4" t="s">
        <v>71</v>
      </c>
      <c r="J576" s="4">
        <v>352</v>
      </c>
    </row>
    <row r="577" spans="9:10" x14ac:dyDescent="0.3">
      <c r="I577" s="4" t="s">
        <v>74</v>
      </c>
      <c r="J577" s="4">
        <v>449</v>
      </c>
    </row>
    <row r="578" spans="9:10" x14ac:dyDescent="0.3">
      <c r="I578" s="4" t="s">
        <v>76</v>
      </c>
      <c r="J578" s="4">
        <v>80</v>
      </c>
    </row>
    <row r="579" spans="9:10" x14ac:dyDescent="0.3">
      <c r="I579" s="4" t="s">
        <v>76</v>
      </c>
      <c r="J579" s="4">
        <v>488</v>
      </c>
    </row>
    <row r="580" spans="9:10" x14ac:dyDescent="0.3">
      <c r="I580" s="4" t="s">
        <v>76</v>
      </c>
      <c r="J580" s="4">
        <v>435</v>
      </c>
    </row>
    <row r="581" spans="9:10" x14ac:dyDescent="0.3">
      <c r="I581" s="4" t="s">
        <v>76</v>
      </c>
      <c r="J581" s="4">
        <v>366</v>
      </c>
    </row>
    <row r="582" spans="9:10" x14ac:dyDescent="0.3">
      <c r="I582" s="4" t="s">
        <v>76</v>
      </c>
      <c r="J582" s="4">
        <v>321</v>
      </c>
    </row>
    <row r="583" spans="9:10" x14ac:dyDescent="0.3">
      <c r="I583" s="4" t="s">
        <v>75</v>
      </c>
      <c r="J583" s="4">
        <v>371</v>
      </c>
    </row>
    <row r="584" spans="9:10" x14ac:dyDescent="0.3">
      <c r="I584" s="4" t="s">
        <v>73</v>
      </c>
      <c r="J584" s="4">
        <v>87</v>
      </c>
    </row>
    <row r="585" spans="9:10" x14ac:dyDescent="0.3">
      <c r="I585" s="4" t="s">
        <v>72</v>
      </c>
      <c r="J585" s="4">
        <v>150</v>
      </c>
    </row>
    <row r="586" spans="9:10" x14ac:dyDescent="0.3">
      <c r="I586" s="4" t="s">
        <v>71</v>
      </c>
      <c r="J586" s="4">
        <v>479</v>
      </c>
    </row>
    <row r="587" spans="9:10" x14ac:dyDescent="0.3">
      <c r="I587" s="4" t="s">
        <v>72</v>
      </c>
      <c r="J587" s="4">
        <v>124</v>
      </c>
    </row>
    <row r="588" spans="9:10" x14ac:dyDescent="0.3">
      <c r="I588" s="4" t="s">
        <v>71</v>
      </c>
      <c r="J588" s="4">
        <v>204</v>
      </c>
    </row>
    <row r="589" spans="9:10" x14ac:dyDescent="0.3">
      <c r="I589" s="4" t="s">
        <v>73</v>
      </c>
      <c r="J589" s="4">
        <v>258</v>
      </c>
    </row>
    <row r="590" spans="9:10" x14ac:dyDescent="0.3">
      <c r="I590" s="4" t="s">
        <v>75</v>
      </c>
      <c r="J590" s="4">
        <v>413</v>
      </c>
    </row>
    <row r="591" spans="9:10" x14ac:dyDescent="0.3">
      <c r="I591" s="4" t="s">
        <v>75</v>
      </c>
      <c r="J591" s="4">
        <v>444</v>
      </c>
    </row>
    <row r="592" spans="9:10" x14ac:dyDescent="0.3">
      <c r="I592" s="4" t="s">
        <v>71</v>
      </c>
      <c r="J592" s="4">
        <v>433</v>
      </c>
    </row>
    <row r="593" spans="9:10" x14ac:dyDescent="0.3">
      <c r="I593" s="4" t="s">
        <v>76</v>
      </c>
      <c r="J593" s="4">
        <v>216</v>
      </c>
    </row>
    <row r="594" spans="9:10" x14ac:dyDescent="0.3">
      <c r="I594" s="4" t="s">
        <v>75</v>
      </c>
      <c r="J594" s="4">
        <v>252</v>
      </c>
    </row>
    <row r="595" spans="9:10" x14ac:dyDescent="0.3">
      <c r="I595" s="4" t="s">
        <v>76</v>
      </c>
      <c r="J595" s="4">
        <v>317</v>
      </c>
    </row>
    <row r="596" spans="9:10" x14ac:dyDescent="0.3">
      <c r="I596" s="4" t="s">
        <v>72</v>
      </c>
      <c r="J596" s="4">
        <v>255</v>
      </c>
    </row>
    <row r="597" spans="9:10" x14ac:dyDescent="0.3">
      <c r="I597" s="4" t="s">
        <v>74</v>
      </c>
      <c r="J597" s="4">
        <v>401</v>
      </c>
    </row>
    <row r="598" spans="9:10" x14ac:dyDescent="0.3">
      <c r="I598" s="4" t="s">
        <v>76</v>
      </c>
      <c r="J598" s="4">
        <v>70</v>
      </c>
    </row>
    <row r="599" spans="9:10" x14ac:dyDescent="0.3">
      <c r="I599" s="4" t="s">
        <v>73</v>
      </c>
      <c r="J599" s="4">
        <v>497</v>
      </c>
    </row>
    <row r="600" spans="9:10" x14ac:dyDescent="0.3">
      <c r="I600" s="4" t="s">
        <v>76</v>
      </c>
      <c r="J600" s="4">
        <v>408</v>
      </c>
    </row>
    <row r="601" spans="9:10" x14ac:dyDescent="0.3">
      <c r="I601" s="4" t="s">
        <v>76</v>
      </c>
      <c r="J601" s="4">
        <v>420</v>
      </c>
    </row>
    <row r="602" spans="9:10" x14ac:dyDescent="0.3">
      <c r="I602" s="4" t="s">
        <v>73</v>
      </c>
      <c r="J602" s="4">
        <v>341</v>
      </c>
    </row>
    <row r="603" spans="9:10" x14ac:dyDescent="0.3">
      <c r="I603" s="4" t="s">
        <v>76</v>
      </c>
      <c r="J603" s="4">
        <v>494</v>
      </c>
    </row>
    <row r="604" spans="9:10" x14ac:dyDescent="0.3">
      <c r="I604" s="4" t="s">
        <v>71</v>
      </c>
      <c r="J604" s="4">
        <v>192</v>
      </c>
    </row>
    <row r="605" spans="9:10" x14ac:dyDescent="0.3">
      <c r="I605" s="4" t="s">
        <v>73</v>
      </c>
      <c r="J605" s="4">
        <v>380</v>
      </c>
    </row>
    <row r="606" spans="9:10" x14ac:dyDescent="0.3">
      <c r="I606" s="4" t="s">
        <v>73</v>
      </c>
      <c r="J606" s="4">
        <v>373</v>
      </c>
    </row>
    <row r="607" spans="9:10" x14ac:dyDescent="0.3">
      <c r="I607" s="4" t="s">
        <v>72</v>
      </c>
      <c r="J607" s="4">
        <v>221</v>
      </c>
    </row>
    <row r="608" spans="9:10" x14ac:dyDescent="0.3">
      <c r="I608" s="4" t="s">
        <v>76</v>
      </c>
      <c r="J608" s="4">
        <v>226</v>
      </c>
    </row>
    <row r="609" spans="9:10" x14ac:dyDescent="0.3">
      <c r="I609" s="4" t="s">
        <v>75</v>
      </c>
      <c r="J609" s="4">
        <v>422</v>
      </c>
    </row>
    <row r="610" spans="9:10" x14ac:dyDescent="0.3">
      <c r="I610" s="4" t="s">
        <v>72</v>
      </c>
      <c r="J610" s="4">
        <v>177</v>
      </c>
    </row>
    <row r="611" spans="9:10" x14ac:dyDescent="0.3">
      <c r="I611" s="4" t="s">
        <v>71</v>
      </c>
      <c r="J611" s="4">
        <v>144</v>
      </c>
    </row>
    <row r="612" spans="9:10" x14ac:dyDescent="0.3">
      <c r="I612" s="4" t="s">
        <v>73</v>
      </c>
      <c r="J612" s="4">
        <v>124</v>
      </c>
    </row>
    <row r="613" spans="9:10" x14ac:dyDescent="0.3">
      <c r="I613" s="4" t="s">
        <v>72</v>
      </c>
      <c r="J613" s="4">
        <v>51</v>
      </c>
    </row>
    <row r="614" spans="9:10" x14ac:dyDescent="0.3">
      <c r="I614" s="4" t="s">
        <v>73</v>
      </c>
      <c r="J614" s="4">
        <v>184</v>
      </c>
    </row>
    <row r="615" spans="9:10" x14ac:dyDescent="0.3">
      <c r="I615" s="4" t="s">
        <v>72</v>
      </c>
      <c r="J615" s="4">
        <v>334</v>
      </c>
    </row>
    <row r="616" spans="9:10" x14ac:dyDescent="0.3">
      <c r="I616" s="4" t="s">
        <v>72</v>
      </c>
      <c r="J616" s="4">
        <v>303</v>
      </c>
    </row>
    <row r="617" spans="9:10" x14ac:dyDescent="0.3">
      <c r="I617" s="4" t="s">
        <v>74</v>
      </c>
      <c r="J617" s="4">
        <v>261</v>
      </c>
    </row>
    <row r="618" spans="9:10" x14ac:dyDescent="0.3">
      <c r="I618" s="4" t="s">
        <v>76</v>
      </c>
      <c r="J618" s="4">
        <v>447</v>
      </c>
    </row>
    <row r="619" spans="9:10" x14ac:dyDescent="0.3">
      <c r="I619" s="4" t="s">
        <v>71</v>
      </c>
      <c r="J619" s="4">
        <v>163</v>
      </c>
    </row>
    <row r="620" spans="9:10" x14ac:dyDescent="0.3">
      <c r="I620" s="4" t="s">
        <v>73</v>
      </c>
      <c r="J620" s="4">
        <v>254</v>
      </c>
    </row>
    <row r="621" spans="9:10" x14ac:dyDescent="0.3">
      <c r="I621" s="4" t="s">
        <v>74</v>
      </c>
      <c r="J621" s="4">
        <v>330</v>
      </c>
    </row>
    <row r="622" spans="9:10" x14ac:dyDescent="0.3">
      <c r="I622" s="4" t="s">
        <v>74</v>
      </c>
      <c r="J622" s="4">
        <v>167</v>
      </c>
    </row>
    <row r="623" spans="9:10" x14ac:dyDescent="0.3">
      <c r="I623" s="4" t="s">
        <v>72</v>
      </c>
      <c r="J623" s="4">
        <v>259</v>
      </c>
    </row>
    <row r="624" spans="9:10" x14ac:dyDescent="0.3">
      <c r="I624" s="4" t="s">
        <v>75</v>
      </c>
      <c r="J624" s="4">
        <v>476</v>
      </c>
    </row>
    <row r="625" spans="9:10" x14ac:dyDescent="0.3">
      <c r="I625" s="4" t="s">
        <v>74</v>
      </c>
      <c r="J625" s="4">
        <v>436</v>
      </c>
    </row>
    <row r="626" spans="9:10" x14ac:dyDescent="0.3">
      <c r="I626" s="4" t="s">
        <v>71</v>
      </c>
      <c r="J626" s="4">
        <v>109</v>
      </c>
    </row>
    <row r="627" spans="9:10" x14ac:dyDescent="0.3">
      <c r="I627" s="4" t="s">
        <v>71</v>
      </c>
      <c r="J627" s="4">
        <v>67</v>
      </c>
    </row>
    <row r="628" spans="9:10" x14ac:dyDescent="0.3">
      <c r="I628" s="4" t="s">
        <v>72</v>
      </c>
      <c r="J628" s="4">
        <v>188</v>
      </c>
    </row>
    <row r="629" spans="9:10" x14ac:dyDescent="0.3">
      <c r="I629" s="4" t="s">
        <v>72</v>
      </c>
      <c r="J629" s="4">
        <v>147</v>
      </c>
    </row>
    <row r="630" spans="9:10" x14ac:dyDescent="0.3">
      <c r="I630" s="4" t="s">
        <v>72</v>
      </c>
      <c r="J630" s="4">
        <v>52</v>
      </c>
    </row>
    <row r="631" spans="9:10" x14ac:dyDescent="0.3">
      <c r="I631" s="4" t="s">
        <v>76</v>
      </c>
      <c r="J631" s="4">
        <v>493</v>
      </c>
    </row>
    <row r="632" spans="9:10" x14ac:dyDescent="0.3">
      <c r="I632" s="4" t="s">
        <v>75</v>
      </c>
      <c r="J632" s="4">
        <v>58</v>
      </c>
    </row>
    <row r="633" spans="9:10" x14ac:dyDescent="0.3">
      <c r="I633" s="4" t="s">
        <v>71</v>
      </c>
      <c r="J633" s="4">
        <v>468</v>
      </c>
    </row>
    <row r="634" spans="9:10" x14ac:dyDescent="0.3">
      <c r="I634" s="4" t="s">
        <v>72</v>
      </c>
      <c r="J634" s="4">
        <v>325</v>
      </c>
    </row>
    <row r="635" spans="9:10" x14ac:dyDescent="0.3">
      <c r="I635" s="4" t="s">
        <v>71</v>
      </c>
      <c r="J635" s="4">
        <v>394</v>
      </c>
    </row>
    <row r="636" spans="9:10" x14ac:dyDescent="0.3">
      <c r="I636" s="4" t="s">
        <v>74</v>
      </c>
      <c r="J636" s="4">
        <v>243</v>
      </c>
    </row>
    <row r="637" spans="9:10" x14ac:dyDescent="0.3">
      <c r="I637" s="4" t="s">
        <v>75</v>
      </c>
      <c r="J637" s="4">
        <v>231</v>
      </c>
    </row>
    <row r="638" spans="9:10" x14ac:dyDescent="0.3">
      <c r="I638" s="4" t="s">
        <v>72</v>
      </c>
      <c r="J638" s="4">
        <v>170</v>
      </c>
    </row>
    <row r="639" spans="9:10" x14ac:dyDescent="0.3">
      <c r="I639" s="4" t="s">
        <v>72</v>
      </c>
      <c r="J639" s="4">
        <v>260</v>
      </c>
    </row>
    <row r="640" spans="9:10" x14ac:dyDescent="0.3">
      <c r="I640" s="4" t="s">
        <v>75</v>
      </c>
      <c r="J640" s="4">
        <v>337</v>
      </c>
    </row>
    <row r="641" spans="9:10" x14ac:dyDescent="0.3">
      <c r="I641" s="4" t="s">
        <v>76</v>
      </c>
      <c r="J641" s="4">
        <v>499</v>
      </c>
    </row>
    <row r="642" spans="9:10" x14ac:dyDescent="0.3">
      <c r="I642" s="4" t="s">
        <v>73</v>
      </c>
      <c r="J642" s="4">
        <v>213</v>
      </c>
    </row>
    <row r="643" spans="9:10" x14ac:dyDescent="0.3">
      <c r="I643" s="4" t="s">
        <v>75</v>
      </c>
      <c r="J643" s="4">
        <v>267</v>
      </c>
    </row>
    <row r="644" spans="9:10" x14ac:dyDescent="0.3">
      <c r="I644" s="4" t="s">
        <v>73</v>
      </c>
      <c r="J644" s="4">
        <v>276</v>
      </c>
    </row>
    <row r="645" spans="9:10" x14ac:dyDescent="0.3">
      <c r="I645" s="4" t="s">
        <v>72</v>
      </c>
      <c r="J645" s="4">
        <v>407</v>
      </c>
    </row>
    <row r="646" spans="9:10" x14ac:dyDescent="0.3">
      <c r="I646" s="4" t="s">
        <v>75</v>
      </c>
      <c r="J646" s="4">
        <v>278</v>
      </c>
    </row>
    <row r="647" spans="9:10" x14ac:dyDescent="0.3">
      <c r="I647" s="4" t="s">
        <v>74</v>
      </c>
      <c r="J647" s="4">
        <v>84</v>
      </c>
    </row>
    <row r="648" spans="9:10" x14ac:dyDescent="0.3">
      <c r="I648" s="4" t="s">
        <v>72</v>
      </c>
      <c r="J648" s="4">
        <v>164</v>
      </c>
    </row>
    <row r="649" spans="9:10" x14ac:dyDescent="0.3">
      <c r="I649" s="4" t="s">
        <v>75</v>
      </c>
      <c r="J649" s="4">
        <v>121</v>
      </c>
    </row>
    <row r="650" spans="9:10" x14ac:dyDescent="0.3">
      <c r="I650" s="4" t="s">
        <v>74</v>
      </c>
      <c r="J650" s="4">
        <v>468</v>
      </c>
    </row>
    <row r="651" spans="9:10" x14ac:dyDescent="0.3">
      <c r="I651" s="4" t="s">
        <v>74</v>
      </c>
      <c r="J651" s="4">
        <v>392</v>
      </c>
    </row>
    <row r="652" spans="9:10" x14ac:dyDescent="0.3">
      <c r="I652" s="4" t="s">
        <v>73</v>
      </c>
      <c r="J652" s="4">
        <v>381</v>
      </c>
    </row>
    <row r="653" spans="9:10" x14ac:dyDescent="0.3">
      <c r="I653" s="4" t="s">
        <v>73</v>
      </c>
      <c r="J653" s="4">
        <v>228</v>
      </c>
    </row>
    <row r="654" spans="9:10" x14ac:dyDescent="0.3">
      <c r="I654" s="4" t="s">
        <v>71</v>
      </c>
      <c r="J654" s="4">
        <v>262</v>
      </c>
    </row>
    <row r="655" spans="9:10" x14ac:dyDescent="0.3">
      <c r="I655" s="4" t="s">
        <v>73</v>
      </c>
      <c r="J655" s="4">
        <v>124</v>
      </c>
    </row>
    <row r="656" spans="9:10" x14ac:dyDescent="0.3">
      <c r="I656" s="4" t="s">
        <v>72</v>
      </c>
      <c r="J656" s="4">
        <v>491</v>
      </c>
    </row>
    <row r="657" spans="9:10" x14ac:dyDescent="0.3">
      <c r="I657" s="4" t="s">
        <v>76</v>
      </c>
      <c r="J657" s="4">
        <v>491</v>
      </c>
    </row>
    <row r="658" spans="9:10" x14ac:dyDescent="0.3">
      <c r="I658" s="4" t="s">
        <v>72</v>
      </c>
      <c r="J658" s="4">
        <v>387</v>
      </c>
    </row>
    <row r="659" spans="9:10" x14ac:dyDescent="0.3">
      <c r="I659" s="4" t="s">
        <v>71</v>
      </c>
      <c r="J659" s="4">
        <v>451</v>
      </c>
    </row>
    <row r="660" spans="9:10" x14ac:dyDescent="0.3">
      <c r="I660" s="4" t="s">
        <v>76</v>
      </c>
      <c r="J660" s="4">
        <v>271</v>
      </c>
    </row>
    <row r="661" spans="9:10" x14ac:dyDescent="0.3">
      <c r="I661" s="4" t="s">
        <v>73</v>
      </c>
      <c r="J661" s="4">
        <v>206</v>
      </c>
    </row>
    <row r="662" spans="9:10" x14ac:dyDescent="0.3">
      <c r="I662" s="4" t="s">
        <v>74</v>
      </c>
      <c r="J662" s="4">
        <v>401</v>
      </c>
    </row>
    <row r="663" spans="9:10" x14ac:dyDescent="0.3">
      <c r="I663" s="4" t="s">
        <v>73</v>
      </c>
      <c r="J663" s="4">
        <v>159</v>
      </c>
    </row>
    <row r="664" spans="9:10" x14ac:dyDescent="0.3">
      <c r="I664" s="4" t="s">
        <v>75</v>
      </c>
      <c r="J664" s="4">
        <v>154</v>
      </c>
    </row>
    <row r="665" spans="9:10" x14ac:dyDescent="0.3">
      <c r="I665" s="4" t="s">
        <v>74</v>
      </c>
      <c r="J665" s="4">
        <v>247</v>
      </c>
    </row>
    <row r="666" spans="9:10" x14ac:dyDescent="0.3">
      <c r="I666" s="4" t="s">
        <v>75</v>
      </c>
      <c r="J666" s="4">
        <v>479</v>
      </c>
    </row>
    <row r="667" spans="9:10" x14ac:dyDescent="0.3">
      <c r="I667" s="4" t="s">
        <v>73</v>
      </c>
      <c r="J667" s="4">
        <v>92</v>
      </c>
    </row>
    <row r="668" spans="9:10" x14ac:dyDescent="0.3">
      <c r="I668" s="4" t="s">
        <v>73</v>
      </c>
      <c r="J668" s="4">
        <v>104</v>
      </c>
    </row>
    <row r="669" spans="9:10" x14ac:dyDescent="0.3">
      <c r="I669" s="4" t="s">
        <v>72</v>
      </c>
      <c r="J669" s="4">
        <v>211</v>
      </c>
    </row>
    <row r="670" spans="9:10" x14ac:dyDescent="0.3">
      <c r="I670" s="4" t="s">
        <v>71</v>
      </c>
      <c r="J670" s="4">
        <v>482</v>
      </c>
    </row>
    <row r="671" spans="9:10" x14ac:dyDescent="0.3">
      <c r="I671" s="4" t="s">
        <v>75</v>
      </c>
      <c r="J671" s="4">
        <v>147</v>
      </c>
    </row>
    <row r="672" spans="9:10" x14ac:dyDescent="0.3">
      <c r="I672" s="4" t="s">
        <v>71</v>
      </c>
      <c r="J672" s="4">
        <v>441</v>
      </c>
    </row>
    <row r="673" spans="9:10" x14ac:dyDescent="0.3">
      <c r="I673" s="4" t="s">
        <v>76</v>
      </c>
      <c r="J673" s="4">
        <v>252</v>
      </c>
    </row>
    <row r="674" spans="9:10" x14ac:dyDescent="0.3">
      <c r="I674" s="4" t="s">
        <v>73</v>
      </c>
      <c r="J674" s="4">
        <v>246</v>
      </c>
    </row>
    <row r="675" spans="9:10" x14ac:dyDescent="0.3">
      <c r="I675" s="4" t="s">
        <v>76</v>
      </c>
      <c r="J675" s="4">
        <v>194</v>
      </c>
    </row>
    <row r="676" spans="9:10" x14ac:dyDescent="0.3">
      <c r="I676" s="4" t="s">
        <v>71</v>
      </c>
      <c r="J676" s="4">
        <v>168</v>
      </c>
    </row>
    <row r="677" spans="9:10" x14ac:dyDescent="0.3">
      <c r="I677" s="4" t="s">
        <v>73</v>
      </c>
      <c r="J677" s="4">
        <v>474</v>
      </c>
    </row>
    <row r="678" spans="9:10" x14ac:dyDescent="0.3">
      <c r="I678" s="4" t="s">
        <v>72</v>
      </c>
      <c r="J678" s="4">
        <v>369</v>
      </c>
    </row>
    <row r="679" spans="9:10" x14ac:dyDescent="0.3">
      <c r="I679" s="4" t="s">
        <v>74</v>
      </c>
      <c r="J679" s="4">
        <v>122</v>
      </c>
    </row>
    <row r="680" spans="9:10" x14ac:dyDescent="0.3">
      <c r="I680" s="4" t="s">
        <v>76</v>
      </c>
      <c r="J680" s="4">
        <v>144</v>
      </c>
    </row>
    <row r="681" spans="9:10" x14ac:dyDescent="0.3">
      <c r="I681" s="4" t="s">
        <v>76</v>
      </c>
      <c r="J681" s="4">
        <v>247</v>
      </c>
    </row>
    <row r="682" spans="9:10" x14ac:dyDescent="0.3">
      <c r="I682" s="4" t="s">
        <v>71</v>
      </c>
      <c r="J682" s="4">
        <v>207</v>
      </c>
    </row>
    <row r="683" spans="9:10" x14ac:dyDescent="0.3">
      <c r="I683" s="4" t="s">
        <v>74</v>
      </c>
      <c r="J683" s="4">
        <v>418</v>
      </c>
    </row>
    <row r="684" spans="9:10" x14ac:dyDescent="0.3">
      <c r="I684" s="4" t="s">
        <v>71</v>
      </c>
      <c r="J684" s="4">
        <v>172</v>
      </c>
    </row>
    <row r="685" spans="9:10" x14ac:dyDescent="0.3">
      <c r="I685" s="4" t="s">
        <v>72</v>
      </c>
      <c r="J685" s="4">
        <v>350</v>
      </c>
    </row>
    <row r="686" spans="9:10" x14ac:dyDescent="0.3">
      <c r="I686" s="4" t="s">
        <v>76</v>
      </c>
      <c r="J686" s="4">
        <v>245</v>
      </c>
    </row>
    <row r="687" spans="9:10" x14ac:dyDescent="0.3">
      <c r="I687" s="4" t="s">
        <v>73</v>
      </c>
      <c r="J687" s="4">
        <v>141</v>
      </c>
    </row>
    <row r="688" spans="9:10" x14ac:dyDescent="0.3">
      <c r="I688" s="4" t="s">
        <v>76</v>
      </c>
      <c r="J688" s="4">
        <v>51</v>
      </c>
    </row>
    <row r="689" spans="9:10" x14ac:dyDescent="0.3">
      <c r="I689" s="4" t="s">
        <v>76</v>
      </c>
      <c r="J689" s="4">
        <v>452</v>
      </c>
    </row>
    <row r="690" spans="9:10" x14ac:dyDescent="0.3">
      <c r="I690" s="4" t="s">
        <v>73</v>
      </c>
      <c r="J690" s="4">
        <v>490</v>
      </c>
    </row>
    <row r="691" spans="9:10" x14ac:dyDescent="0.3">
      <c r="I691" s="4" t="s">
        <v>71</v>
      </c>
      <c r="J691" s="4">
        <v>287</v>
      </c>
    </row>
    <row r="692" spans="9:10" x14ac:dyDescent="0.3">
      <c r="I692" s="4" t="s">
        <v>76</v>
      </c>
      <c r="J692" s="4">
        <v>476</v>
      </c>
    </row>
    <row r="693" spans="9:10" x14ac:dyDescent="0.3">
      <c r="I693" s="4" t="s">
        <v>72</v>
      </c>
      <c r="J693" s="4">
        <v>288</v>
      </c>
    </row>
    <row r="694" spans="9:10" x14ac:dyDescent="0.3">
      <c r="I694" s="4" t="s">
        <v>76</v>
      </c>
      <c r="J694" s="4">
        <v>144</v>
      </c>
    </row>
    <row r="695" spans="9:10" x14ac:dyDescent="0.3">
      <c r="I695" s="4" t="s">
        <v>73</v>
      </c>
      <c r="J695" s="4">
        <v>242</v>
      </c>
    </row>
    <row r="696" spans="9:10" x14ac:dyDescent="0.3">
      <c r="I696" s="4" t="s">
        <v>75</v>
      </c>
      <c r="J696" s="4">
        <v>180</v>
      </c>
    </row>
    <row r="697" spans="9:10" x14ac:dyDescent="0.3">
      <c r="I697" s="4" t="s">
        <v>76</v>
      </c>
      <c r="J697" s="4">
        <v>191</v>
      </c>
    </row>
    <row r="698" spans="9:10" x14ac:dyDescent="0.3">
      <c r="I698" s="4" t="s">
        <v>71</v>
      </c>
      <c r="J698" s="4">
        <v>214</v>
      </c>
    </row>
    <row r="699" spans="9:10" x14ac:dyDescent="0.3">
      <c r="I699" s="4" t="s">
        <v>74</v>
      </c>
      <c r="J699" s="4">
        <v>166</v>
      </c>
    </row>
    <row r="700" spans="9:10" x14ac:dyDescent="0.3">
      <c r="I700" s="4" t="s">
        <v>76</v>
      </c>
      <c r="J700" s="4">
        <v>202</v>
      </c>
    </row>
    <row r="701" spans="9:10" x14ac:dyDescent="0.3">
      <c r="I701" s="4" t="s">
        <v>71</v>
      </c>
      <c r="J701" s="4">
        <v>321</v>
      </c>
    </row>
    <row r="702" spans="9:10" x14ac:dyDescent="0.3">
      <c r="I702" s="4" t="s">
        <v>71</v>
      </c>
      <c r="J702" s="4">
        <v>348</v>
      </c>
    </row>
    <row r="703" spans="9:10" x14ac:dyDescent="0.3">
      <c r="I703" s="4" t="s">
        <v>75</v>
      </c>
      <c r="J703" s="4">
        <v>481</v>
      </c>
    </row>
    <row r="704" spans="9:10" x14ac:dyDescent="0.3">
      <c r="I704" s="4" t="s">
        <v>73</v>
      </c>
      <c r="J704" s="4">
        <v>485</v>
      </c>
    </row>
    <row r="705" spans="9:10" x14ac:dyDescent="0.3">
      <c r="I705" s="4" t="s">
        <v>76</v>
      </c>
      <c r="J705" s="4">
        <v>99</v>
      </c>
    </row>
    <row r="706" spans="9:10" x14ac:dyDescent="0.3">
      <c r="I706" s="4" t="s">
        <v>71</v>
      </c>
      <c r="J706" s="4">
        <v>429</v>
      </c>
    </row>
    <row r="707" spans="9:10" x14ac:dyDescent="0.3">
      <c r="I707" s="4" t="s">
        <v>76</v>
      </c>
      <c r="J707" s="4">
        <v>392</v>
      </c>
    </row>
    <row r="708" spans="9:10" x14ac:dyDescent="0.3">
      <c r="I708" s="4" t="s">
        <v>72</v>
      </c>
      <c r="J708" s="4">
        <v>218</v>
      </c>
    </row>
    <row r="709" spans="9:10" x14ac:dyDescent="0.3">
      <c r="I709" s="4" t="s">
        <v>73</v>
      </c>
      <c r="J709" s="4">
        <v>256</v>
      </c>
    </row>
    <row r="710" spans="9:10" x14ac:dyDescent="0.3">
      <c r="I710" s="4" t="s">
        <v>74</v>
      </c>
      <c r="J710" s="4">
        <v>191</v>
      </c>
    </row>
    <row r="711" spans="9:10" x14ac:dyDescent="0.3">
      <c r="I711" s="4" t="s">
        <v>76</v>
      </c>
      <c r="J711" s="4">
        <v>72</v>
      </c>
    </row>
    <row r="712" spans="9:10" x14ac:dyDescent="0.3">
      <c r="I712" s="4" t="s">
        <v>71</v>
      </c>
      <c r="J712" s="4">
        <v>248</v>
      </c>
    </row>
    <row r="713" spans="9:10" x14ac:dyDescent="0.3">
      <c r="I713" s="4" t="s">
        <v>72</v>
      </c>
      <c r="J713" s="4">
        <v>132</v>
      </c>
    </row>
    <row r="714" spans="9:10" x14ac:dyDescent="0.3">
      <c r="I714" s="4" t="s">
        <v>73</v>
      </c>
      <c r="J714" s="4">
        <v>297</v>
      </c>
    </row>
    <row r="715" spans="9:10" x14ac:dyDescent="0.3">
      <c r="I715" s="4" t="s">
        <v>72</v>
      </c>
      <c r="J715" s="4">
        <v>129</v>
      </c>
    </row>
    <row r="716" spans="9:10" x14ac:dyDescent="0.3">
      <c r="I716" s="4" t="s">
        <v>71</v>
      </c>
      <c r="J716" s="4">
        <v>295</v>
      </c>
    </row>
    <row r="717" spans="9:10" x14ac:dyDescent="0.3">
      <c r="I717" s="4" t="s">
        <v>71</v>
      </c>
      <c r="J717" s="4">
        <v>199</v>
      </c>
    </row>
    <row r="718" spans="9:10" x14ac:dyDescent="0.3">
      <c r="I718" s="4" t="s">
        <v>76</v>
      </c>
      <c r="J718" s="4">
        <v>193</v>
      </c>
    </row>
    <row r="719" spans="9:10" x14ac:dyDescent="0.3">
      <c r="I719" s="4" t="s">
        <v>76</v>
      </c>
      <c r="J719" s="4">
        <v>322</v>
      </c>
    </row>
    <row r="720" spans="9:10" x14ac:dyDescent="0.3">
      <c r="I720" s="4" t="s">
        <v>76</v>
      </c>
      <c r="J720" s="4">
        <v>240</v>
      </c>
    </row>
    <row r="721" spans="9:10" x14ac:dyDescent="0.3">
      <c r="I721" s="4" t="s">
        <v>73</v>
      </c>
      <c r="J721" s="4">
        <v>450</v>
      </c>
    </row>
    <row r="722" spans="9:10" x14ac:dyDescent="0.3">
      <c r="I722" s="4" t="s">
        <v>75</v>
      </c>
      <c r="J722" s="4">
        <v>207</v>
      </c>
    </row>
    <row r="723" spans="9:10" x14ac:dyDescent="0.3">
      <c r="I723" s="4" t="s">
        <v>75</v>
      </c>
      <c r="J723" s="4">
        <v>372</v>
      </c>
    </row>
    <row r="724" spans="9:10" x14ac:dyDescent="0.3">
      <c r="I724" s="4" t="s">
        <v>71</v>
      </c>
      <c r="J724" s="4">
        <v>285</v>
      </c>
    </row>
    <row r="725" spans="9:10" x14ac:dyDescent="0.3">
      <c r="I725" s="4" t="s">
        <v>76</v>
      </c>
      <c r="J725" s="4">
        <v>428</v>
      </c>
    </row>
    <row r="726" spans="9:10" x14ac:dyDescent="0.3">
      <c r="I726" s="4" t="s">
        <v>71</v>
      </c>
      <c r="J726" s="4">
        <v>370</v>
      </c>
    </row>
    <row r="727" spans="9:10" x14ac:dyDescent="0.3">
      <c r="I727" s="4" t="s">
        <v>76</v>
      </c>
      <c r="J727" s="4">
        <v>170</v>
      </c>
    </row>
    <row r="728" spans="9:10" x14ac:dyDescent="0.3">
      <c r="I728" s="4" t="s">
        <v>75</v>
      </c>
      <c r="J728" s="4">
        <v>267</v>
      </c>
    </row>
    <row r="729" spans="9:10" x14ac:dyDescent="0.3">
      <c r="I729" s="4" t="s">
        <v>74</v>
      </c>
      <c r="J729" s="4">
        <v>257</v>
      </c>
    </row>
    <row r="730" spans="9:10" x14ac:dyDescent="0.3">
      <c r="I730" s="4" t="s">
        <v>71</v>
      </c>
      <c r="J730" s="4">
        <v>427</v>
      </c>
    </row>
    <row r="731" spans="9:10" x14ac:dyDescent="0.3">
      <c r="I731" s="4" t="s">
        <v>75</v>
      </c>
      <c r="J731" s="4">
        <v>139</v>
      </c>
    </row>
    <row r="732" spans="9:10" x14ac:dyDescent="0.3">
      <c r="I732" s="4" t="s">
        <v>75</v>
      </c>
      <c r="J732" s="4">
        <v>135</v>
      </c>
    </row>
    <row r="733" spans="9:10" x14ac:dyDescent="0.3">
      <c r="I733" s="4" t="s">
        <v>76</v>
      </c>
      <c r="J733" s="4">
        <v>168</v>
      </c>
    </row>
    <row r="734" spans="9:10" x14ac:dyDescent="0.3">
      <c r="I734" s="4" t="s">
        <v>76</v>
      </c>
      <c r="J734" s="4">
        <v>366</v>
      </c>
    </row>
    <row r="735" spans="9:10" x14ac:dyDescent="0.3">
      <c r="I735" s="4" t="s">
        <v>76</v>
      </c>
      <c r="J735" s="4">
        <v>496</v>
      </c>
    </row>
    <row r="736" spans="9:10" x14ac:dyDescent="0.3">
      <c r="I736" s="4" t="s">
        <v>74</v>
      </c>
      <c r="J736" s="4">
        <v>433</v>
      </c>
    </row>
    <row r="737" spans="9:10" x14ac:dyDescent="0.3">
      <c r="I737" s="4" t="s">
        <v>74</v>
      </c>
      <c r="J737" s="4">
        <v>421</v>
      </c>
    </row>
    <row r="738" spans="9:10" x14ac:dyDescent="0.3">
      <c r="I738" s="4" t="s">
        <v>76</v>
      </c>
      <c r="J738" s="4">
        <v>208</v>
      </c>
    </row>
    <row r="739" spans="9:10" x14ac:dyDescent="0.3">
      <c r="I739" s="4" t="s">
        <v>76</v>
      </c>
      <c r="J739" s="4">
        <v>295</v>
      </c>
    </row>
    <row r="740" spans="9:10" x14ac:dyDescent="0.3">
      <c r="I740" s="4" t="s">
        <v>72</v>
      </c>
      <c r="J740" s="4">
        <v>291</v>
      </c>
    </row>
    <row r="741" spans="9:10" x14ac:dyDescent="0.3">
      <c r="I741" s="4" t="s">
        <v>74</v>
      </c>
      <c r="J741" s="4">
        <v>373</v>
      </c>
    </row>
    <row r="742" spans="9:10" x14ac:dyDescent="0.3">
      <c r="I742" s="4" t="s">
        <v>73</v>
      </c>
      <c r="J742" s="4">
        <v>80</v>
      </c>
    </row>
    <row r="743" spans="9:10" x14ac:dyDescent="0.3">
      <c r="I743" s="4" t="s">
        <v>76</v>
      </c>
      <c r="J743" s="4">
        <v>238</v>
      </c>
    </row>
    <row r="744" spans="9:10" x14ac:dyDescent="0.3">
      <c r="I744" s="4" t="s">
        <v>73</v>
      </c>
      <c r="J744" s="4">
        <v>152</v>
      </c>
    </row>
    <row r="745" spans="9:10" x14ac:dyDescent="0.3">
      <c r="I745" s="4" t="s">
        <v>76</v>
      </c>
      <c r="J745" s="4">
        <v>296</v>
      </c>
    </row>
    <row r="746" spans="9:10" x14ac:dyDescent="0.3">
      <c r="I746" s="4" t="s">
        <v>75</v>
      </c>
      <c r="J746" s="4">
        <v>182</v>
      </c>
    </row>
    <row r="747" spans="9:10" x14ac:dyDescent="0.3">
      <c r="I747" s="4" t="s">
        <v>75</v>
      </c>
      <c r="J747" s="4">
        <v>442</v>
      </c>
    </row>
    <row r="748" spans="9:10" x14ac:dyDescent="0.3">
      <c r="I748" s="4" t="s">
        <v>74</v>
      </c>
      <c r="J748" s="4">
        <v>154</v>
      </c>
    </row>
    <row r="749" spans="9:10" x14ac:dyDescent="0.3">
      <c r="I749" s="4" t="s">
        <v>71</v>
      </c>
      <c r="J749" s="4">
        <v>373</v>
      </c>
    </row>
    <row r="750" spans="9:10" x14ac:dyDescent="0.3">
      <c r="I750" s="4" t="s">
        <v>72</v>
      </c>
      <c r="J750" s="4">
        <v>264</v>
      </c>
    </row>
    <row r="751" spans="9:10" x14ac:dyDescent="0.3">
      <c r="I751" s="4" t="s">
        <v>72</v>
      </c>
      <c r="J751" s="4">
        <v>206</v>
      </c>
    </row>
    <row r="752" spans="9:10" x14ac:dyDescent="0.3">
      <c r="I752" s="4" t="s">
        <v>71</v>
      </c>
      <c r="J752" s="4">
        <v>445</v>
      </c>
    </row>
    <row r="753" spans="9:10" x14ac:dyDescent="0.3">
      <c r="I753" s="4" t="s">
        <v>76</v>
      </c>
      <c r="J753" s="4">
        <v>329</v>
      </c>
    </row>
    <row r="754" spans="9:10" x14ac:dyDescent="0.3">
      <c r="I754" s="4" t="s">
        <v>76</v>
      </c>
      <c r="J754" s="4">
        <v>150</v>
      </c>
    </row>
    <row r="755" spans="9:10" x14ac:dyDescent="0.3">
      <c r="I755" s="4" t="s">
        <v>75</v>
      </c>
      <c r="J755" s="4">
        <v>410</v>
      </c>
    </row>
    <row r="756" spans="9:10" x14ac:dyDescent="0.3">
      <c r="I756" s="4" t="s">
        <v>74</v>
      </c>
      <c r="J756" s="4">
        <v>424</v>
      </c>
    </row>
    <row r="757" spans="9:10" x14ac:dyDescent="0.3">
      <c r="I757" s="4" t="s">
        <v>74</v>
      </c>
      <c r="J757" s="4">
        <v>94</v>
      </c>
    </row>
    <row r="758" spans="9:10" x14ac:dyDescent="0.3">
      <c r="I758" s="4" t="s">
        <v>74</v>
      </c>
      <c r="J758" s="4">
        <v>438</v>
      </c>
    </row>
    <row r="759" spans="9:10" x14ac:dyDescent="0.3">
      <c r="I759" s="4" t="s">
        <v>76</v>
      </c>
      <c r="J759" s="4">
        <v>380</v>
      </c>
    </row>
    <row r="760" spans="9:10" x14ac:dyDescent="0.3">
      <c r="I760" s="4" t="s">
        <v>71</v>
      </c>
      <c r="J760" s="4">
        <v>184</v>
      </c>
    </row>
    <row r="761" spans="9:10" x14ac:dyDescent="0.3">
      <c r="I761" s="4" t="s">
        <v>73</v>
      </c>
      <c r="J761" s="4">
        <v>356</v>
      </c>
    </row>
    <row r="762" spans="9:10" x14ac:dyDescent="0.3">
      <c r="I762" s="4" t="s">
        <v>72</v>
      </c>
      <c r="J762" s="4">
        <v>354</v>
      </c>
    </row>
    <row r="763" spans="9:10" x14ac:dyDescent="0.3">
      <c r="I763" s="4" t="s">
        <v>74</v>
      </c>
      <c r="J763" s="4">
        <v>352</v>
      </c>
    </row>
    <row r="764" spans="9:10" x14ac:dyDescent="0.3">
      <c r="I764" s="4" t="s">
        <v>74</v>
      </c>
      <c r="J764" s="4">
        <v>214</v>
      </c>
    </row>
    <row r="765" spans="9:10" x14ac:dyDescent="0.3">
      <c r="I765" s="4" t="s">
        <v>72</v>
      </c>
      <c r="J765" s="4">
        <v>308</v>
      </c>
    </row>
    <row r="766" spans="9:10" x14ac:dyDescent="0.3">
      <c r="I766" s="4" t="s">
        <v>71</v>
      </c>
      <c r="J766" s="4">
        <v>116</v>
      </c>
    </row>
    <row r="767" spans="9:10" x14ac:dyDescent="0.3">
      <c r="I767" s="4" t="s">
        <v>74</v>
      </c>
      <c r="J767" s="4">
        <v>371</v>
      </c>
    </row>
    <row r="768" spans="9:10" x14ac:dyDescent="0.3">
      <c r="I768" s="4" t="s">
        <v>75</v>
      </c>
      <c r="J768" s="4">
        <v>323</v>
      </c>
    </row>
    <row r="769" spans="9:10" x14ac:dyDescent="0.3">
      <c r="I769" s="4" t="s">
        <v>72</v>
      </c>
      <c r="J769" s="4">
        <v>432</v>
      </c>
    </row>
    <row r="770" spans="9:10" x14ac:dyDescent="0.3">
      <c r="I770" s="4" t="s">
        <v>72</v>
      </c>
      <c r="J770" s="4">
        <v>210</v>
      </c>
    </row>
    <row r="771" spans="9:10" x14ac:dyDescent="0.3">
      <c r="I771" s="4" t="s">
        <v>73</v>
      </c>
      <c r="J771" s="4">
        <v>424</v>
      </c>
    </row>
    <row r="772" spans="9:10" x14ac:dyDescent="0.3">
      <c r="I772" s="4" t="s">
        <v>75</v>
      </c>
      <c r="J772" s="4">
        <v>406</v>
      </c>
    </row>
    <row r="773" spans="9:10" x14ac:dyDescent="0.3">
      <c r="I773" s="4" t="s">
        <v>74</v>
      </c>
      <c r="J773" s="4">
        <v>268</v>
      </c>
    </row>
    <row r="774" spans="9:10" x14ac:dyDescent="0.3">
      <c r="I774" s="4" t="s">
        <v>71</v>
      </c>
      <c r="J774" s="4">
        <v>79</v>
      </c>
    </row>
    <row r="775" spans="9:10" x14ac:dyDescent="0.3">
      <c r="I775" s="4" t="s">
        <v>75</v>
      </c>
      <c r="J775" s="4">
        <v>405</v>
      </c>
    </row>
    <row r="776" spans="9:10" x14ac:dyDescent="0.3">
      <c r="I776" s="4" t="s">
        <v>71</v>
      </c>
      <c r="J776" s="4">
        <v>167</v>
      </c>
    </row>
    <row r="777" spans="9:10" x14ac:dyDescent="0.3">
      <c r="I777" s="4" t="s">
        <v>74</v>
      </c>
      <c r="J777" s="4">
        <v>258</v>
      </c>
    </row>
    <row r="778" spans="9:10" x14ac:dyDescent="0.3">
      <c r="I778" s="4" t="s">
        <v>72</v>
      </c>
      <c r="J778" s="4">
        <v>127</v>
      </c>
    </row>
    <row r="779" spans="9:10" x14ac:dyDescent="0.3">
      <c r="I779" s="4" t="s">
        <v>76</v>
      </c>
      <c r="J779" s="4">
        <v>475</v>
      </c>
    </row>
    <row r="780" spans="9:10" x14ac:dyDescent="0.3">
      <c r="I780" s="4" t="s">
        <v>76</v>
      </c>
      <c r="J780" s="4">
        <v>433</v>
      </c>
    </row>
    <row r="781" spans="9:10" x14ac:dyDescent="0.3">
      <c r="I781" s="4" t="s">
        <v>75</v>
      </c>
      <c r="J781" s="4">
        <v>360</v>
      </c>
    </row>
    <row r="782" spans="9:10" x14ac:dyDescent="0.3">
      <c r="I782" s="4" t="s">
        <v>72</v>
      </c>
      <c r="J782" s="4">
        <v>165</v>
      </c>
    </row>
    <row r="783" spans="9:10" x14ac:dyDescent="0.3">
      <c r="I783" s="4" t="s">
        <v>76</v>
      </c>
      <c r="J783" s="4">
        <v>481</v>
      </c>
    </row>
    <row r="784" spans="9:10" x14ac:dyDescent="0.3">
      <c r="I784" s="4" t="s">
        <v>71</v>
      </c>
      <c r="J784" s="4">
        <v>496</v>
      </c>
    </row>
    <row r="785" spans="9:10" x14ac:dyDescent="0.3">
      <c r="I785" s="4" t="s">
        <v>71</v>
      </c>
      <c r="J785" s="4">
        <v>78</v>
      </c>
    </row>
    <row r="786" spans="9:10" x14ac:dyDescent="0.3">
      <c r="I786" s="4" t="s">
        <v>71</v>
      </c>
      <c r="J786" s="4">
        <v>423</v>
      </c>
    </row>
    <row r="787" spans="9:10" x14ac:dyDescent="0.3">
      <c r="I787" s="4" t="s">
        <v>74</v>
      </c>
      <c r="J787" s="4">
        <v>122</v>
      </c>
    </row>
    <row r="788" spans="9:10" x14ac:dyDescent="0.3">
      <c r="I788" s="4" t="s">
        <v>73</v>
      </c>
      <c r="J788" s="4">
        <v>354</v>
      </c>
    </row>
    <row r="789" spans="9:10" x14ac:dyDescent="0.3">
      <c r="I789" s="4" t="s">
        <v>71</v>
      </c>
      <c r="J789" s="4">
        <v>458</v>
      </c>
    </row>
    <row r="790" spans="9:10" x14ac:dyDescent="0.3">
      <c r="I790" s="4" t="s">
        <v>72</v>
      </c>
      <c r="J790" s="4">
        <v>165</v>
      </c>
    </row>
    <row r="791" spans="9:10" x14ac:dyDescent="0.3">
      <c r="I791" s="4" t="s">
        <v>75</v>
      </c>
      <c r="J791" s="4">
        <v>274</v>
      </c>
    </row>
    <row r="792" spans="9:10" x14ac:dyDescent="0.3">
      <c r="I792" s="4" t="s">
        <v>73</v>
      </c>
      <c r="J792" s="4">
        <v>455</v>
      </c>
    </row>
    <row r="793" spans="9:10" x14ac:dyDescent="0.3">
      <c r="I793" s="4" t="s">
        <v>74</v>
      </c>
      <c r="J793" s="4">
        <v>446</v>
      </c>
    </row>
    <row r="794" spans="9:10" x14ac:dyDescent="0.3">
      <c r="I794" s="4" t="s">
        <v>72</v>
      </c>
      <c r="J794" s="4">
        <v>258</v>
      </c>
    </row>
    <row r="795" spans="9:10" x14ac:dyDescent="0.3">
      <c r="I795" s="4" t="s">
        <v>72</v>
      </c>
      <c r="J795" s="4">
        <v>321</v>
      </c>
    </row>
    <row r="796" spans="9:10" x14ac:dyDescent="0.3">
      <c r="I796" s="4" t="s">
        <v>72</v>
      </c>
      <c r="J796" s="4">
        <v>450</v>
      </c>
    </row>
    <row r="797" spans="9:10" x14ac:dyDescent="0.3">
      <c r="I797" s="4" t="s">
        <v>71</v>
      </c>
      <c r="J797" s="4">
        <v>254</v>
      </c>
    </row>
    <row r="798" spans="9:10" x14ac:dyDescent="0.3">
      <c r="I798" s="4" t="s">
        <v>73</v>
      </c>
      <c r="J798" s="4">
        <v>258</v>
      </c>
    </row>
    <row r="799" spans="9:10" x14ac:dyDescent="0.3">
      <c r="I799" s="4" t="s">
        <v>71</v>
      </c>
      <c r="J799" s="4">
        <v>172</v>
      </c>
    </row>
    <row r="800" spans="9:10" x14ac:dyDescent="0.3">
      <c r="I800" s="4" t="s">
        <v>73</v>
      </c>
      <c r="J800" s="4">
        <v>70</v>
      </c>
    </row>
    <row r="801" spans="9:10" x14ac:dyDescent="0.3">
      <c r="I801" s="4" t="s">
        <v>75</v>
      </c>
      <c r="J801" s="4">
        <v>341</v>
      </c>
    </row>
    <row r="802" spans="9:10" x14ac:dyDescent="0.3">
      <c r="I802" s="4" t="s">
        <v>76</v>
      </c>
      <c r="J802" s="4">
        <v>479</v>
      </c>
    </row>
    <row r="803" spans="9:10" x14ac:dyDescent="0.3">
      <c r="I803" s="4" t="s">
        <v>75</v>
      </c>
      <c r="J803" s="4">
        <v>154</v>
      </c>
    </row>
    <row r="804" spans="9:10" x14ac:dyDescent="0.3">
      <c r="I804" s="4" t="s">
        <v>71</v>
      </c>
      <c r="J804" s="4">
        <v>264</v>
      </c>
    </row>
    <row r="805" spans="9:10" x14ac:dyDescent="0.3">
      <c r="I805" s="4" t="s">
        <v>76</v>
      </c>
      <c r="J805" s="4">
        <v>270</v>
      </c>
    </row>
    <row r="806" spans="9:10" x14ac:dyDescent="0.3">
      <c r="I806" s="4" t="s">
        <v>76</v>
      </c>
      <c r="J806" s="4">
        <v>344</v>
      </c>
    </row>
    <row r="807" spans="9:10" x14ac:dyDescent="0.3">
      <c r="I807" s="4" t="s">
        <v>74</v>
      </c>
      <c r="J807" s="4">
        <v>320</v>
      </c>
    </row>
    <row r="808" spans="9:10" x14ac:dyDescent="0.3">
      <c r="I808" s="4" t="s">
        <v>73</v>
      </c>
      <c r="J808" s="4">
        <v>81</v>
      </c>
    </row>
    <row r="809" spans="9:10" x14ac:dyDescent="0.3">
      <c r="I809" s="4" t="s">
        <v>71</v>
      </c>
      <c r="J809" s="4">
        <v>177</v>
      </c>
    </row>
    <row r="810" spans="9:10" x14ac:dyDescent="0.3">
      <c r="I810" s="4" t="s">
        <v>71</v>
      </c>
      <c r="J810" s="4">
        <v>312</v>
      </c>
    </row>
    <row r="811" spans="9:10" x14ac:dyDescent="0.3">
      <c r="I811" s="4" t="s">
        <v>72</v>
      </c>
      <c r="J811" s="4">
        <v>92</v>
      </c>
    </row>
    <row r="812" spans="9:10" x14ac:dyDescent="0.3">
      <c r="I812" s="4" t="s">
        <v>74</v>
      </c>
      <c r="J812" s="4">
        <v>442</v>
      </c>
    </row>
    <row r="813" spans="9:10" x14ac:dyDescent="0.3">
      <c r="I813" s="4" t="s">
        <v>71</v>
      </c>
      <c r="J813" s="4">
        <v>169</v>
      </c>
    </row>
    <row r="814" spans="9:10" x14ac:dyDescent="0.3">
      <c r="I814" s="4" t="s">
        <v>72</v>
      </c>
      <c r="J814" s="4">
        <v>334</v>
      </c>
    </row>
    <row r="815" spans="9:10" x14ac:dyDescent="0.3">
      <c r="I815" s="4" t="s">
        <v>71</v>
      </c>
      <c r="J815" s="4">
        <v>242</v>
      </c>
    </row>
    <row r="816" spans="9:10" x14ac:dyDescent="0.3">
      <c r="I816" s="4" t="s">
        <v>71</v>
      </c>
      <c r="J816" s="4">
        <v>496</v>
      </c>
    </row>
    <row r="817" spans="9:10" x14ac:dyDescent="0.3">
      <c r="I817" s="4" t="s">
        <v>71</v>
      </c>
      <c r="J817" s="4">
        <v>288</v>
      </c>
    </row>
    <row r="818" spans="9:10" x14ac:dyDescent="0.3">
      <c r="I818" s="4" t="s">
        <v>75</v>
      </c>
      <c r="J818" s="4">
        <v>404</v>
      </c>
    </row>
    <row r="819" spans="9:10" x14ac:dyDescent="0.3">
      <c r="I819" s="4" t="s">
        <v>74</v>
      </c>
      <c r="J819" s="4">
        <v>414</v>
      </c>
    </row>
    <row r="820" spans="9:10" x14ac:dyDescent="0.3">
      <c r="I820" s="4" t="s">
        <v>71</v>
      </c>
      <c r="J820" s="4">
        <v>319</v>
      </c>
    </row>
    <row r="821" spans="9:10" x14ac:dyDescent="0.3">
      <c r="I821" s="4" t="s">
        <v>71</v>
      </c>
      <c r="J821" s="4">
        <v>352</v>
      </c>
    </row>
    <row r="822" spans="9:10" x14ac:dyDescent="0.3">
      <c r="I822" s="4" t="s">
        <v>71</v>
      </c>
      <c r="J822" s="4">
        <v>140</v>
      </c>
    </row>
    <row r="823" spans="9:10" x14ac:dyDescent="0.3">
      <c r="I823" s="4" t="s">
        <v>73</v>
      </c>
      <c r="J823" s="4">
        <v>200</v>
      </c>
    </row>
    <row r="824" spans="9:10" x14ac:dyDescent="0.3">
      <c r="I824" s="4" t="s">
        <v>75</v>
      </c>
      <c r="J824" s="4">
        <v>158</v>
      </c>
    </row>
    <row r="825" spans="9:10" x14ac:dyDescent="0.3">
      <c r="I825" s="4" t="s">
        <v>74</v>
      </c>
      <c r="J825" s="4">
        <v>463</v>
      </c>
    </row>
    <row r="826" spans="9:10" x14ac:dyDescent="0.3">
      <c r="I826" s="4" t="s">
        <v>71</v>
      </c>
      <c r="J826" s="4">
        <v>355</v>
      </c>
    </row>
    <row r="827" spans="9:10" x14ac:dyDescent="0.3">
      <c r="I827" s="4" t="s">
        <v>74</v>
      </c>
      <c r="J827" s="4">
        <v>67</v>
      </c>
    </row>
    <row r="828" spans="9:10" x14ac:dyDescent="0.3">
      <c r="I828" s="4" t="s">
        <v>71</v>
      </c>
      <c r="J828" s="4">
        <v>56</v>
      </c>
    </row>
    <row r="829" spans="9:10" x14ac:dyDescent="0.3">
      <c r="I829" s="4" t="s">
        <v>71</v>
      </c>
      <c r="J829" s="4">
        <v>213</v>
      </c>
    </row>
    <row r="830" spans="9:10" x14ac:dyDescent="0.3">
      <c r="I830" s="4" t="s">
        <v>75</v>
      </c>
      <c r="J830" s="4">
        <v>354</v>
      </c>
    </row>
    <row r="831" spans="9:10" x14ac:dyDescent="0.3">
      <c r="I831" s="4" t="s">
        <v>76</v>
      </c>
      <c r="J831" s="4">
        <v>250</v>
      </c>
    </row>
    <row r="832" spans="9:10" x14ac:dyDescent="0.3">
      <c r="I832" s="4" t="s">
        <v>76</v>
      </c>
      <c r="J832" s="4">
        <v>172</v>
      </c>
    </row>
    <row r="833" spans="9:10" x14ac:dyDescent="0.3">
      <c r="I833" s="4" t="s">
        <v>74</v>
      </c>
      <c r="J833" s="4">
        <v>260</v>
      </c>
    </row>
    <row r="834" spans="9:10" x14ac:dyDescent="0.3">
      <c r="I834" s="4" t="s">
        <v>71</v>
      </c>
      <c r="J834" s="4">
        <v>85</v>
      </c>
    </row>
    <row r="835" spans="9:10" x14ac:dyDescent="0.3">
      <c r="I835" s="4" t="s">
        <v>72</v>
      </c>
      <c r="J835" s="4">
        <v>392</v>
      </c>
    </row>
    <row r="836" spans="9:10" x14ac:dyDescent="0.3">
      <c r="I836" s="4" t="s">
        <v>72</v>
      </c>
      <c r="J836" s="4">
        <v>192</v>
      </c>
    </row>
    <row r="837" spans="9:10" x14ac:dyDescent="0.3">
      <c r="I837" s="4" t="s">
        <v>73</v>
      </c>
      <c r="J837" s="4">
        <v>366</v>
      </c>
    </row>
    <row r="838" spans="9:10" x14ac:dyDescent="0.3">
      <c r="I838" s="4" t="s">
        <v>74</v>
      </c>
      <c r="J838" s="4">
        <v>126</v>
      </c>
    </row>
    <row r="839" spans="9:10" x14ac:dyDescent="0.3">
      <c r="I839" s="4" t="s">
        <v>76</v>
      </c>
      <c r="J839" s="4">
        <v>482</v>
      </c>
    </row>
    <row r="840" spans="9:10" x14ac:dyDescent="0.3">
      <c r="I840" s="4" t="s">
        <v>76</v>
      </c>
      <c r="J840" s="4">
        <v>355</v>
      </c>
    </row>
    <row r="841" spans="9:10" x14ac:dyDescent="0.3">
      <c r="I841" s="4" t="s">
        <v>75</v>
      </c>
      <c r="J841" s="4">
        <v>129</v>
      </c>
    </row>
    <row r="842" spans="9:10" x14ac:dyDescent="0.3">
      <c r="I842" s="4" t="s">
        <v>76</v>
      </c>
      <c r="J842" s="4">
        <v>277</v>
      </c>
    </row>
    <row r="843" spans="9:10" x14ac:dyDescent="0.3">
      <c r="I843" s="4" t="s">
        <v>72</v>
      </c>
      <c r="J843" s="4">
        <v>448</v>
      </c>
    </row>
    <row r="844" spans="9:10" x14ac:dyDescent="0.3">
      <c r="I844" s="4" t="s">
        <v>72</v>
      </c>
      <c r="J844" s="4">
        <v>51</v>
      </c>
    </row>
    <row r="845" spans="9:10" x14ac:dyDescent="0.3">
      <c r="I845" s="4" t="s">
        <v>73</v>
      </c>
      <c r="J845" s="4">
        <v>112</v>
      </c>
    </row>
    <row r="846" spans="9:10" x14ac:dyDescent="0.3">
      <c r="I846" s="4" t="s">
        <v>75</v>
      </c>
      <c r="J846" s="4">
        <v>160</v>
      </c>
    </row>
    <row r="847" spans="9:10" x14ac:dyDescent="0.3">
      <c r="I847" s="4" t="s">
        <v>73</v>
      </c>
      <c r="J847" s="4">
        <v>76</v>
      </c>
    </row>
    <row r="848" spans="9:10" x14ac:dyDescent="0.3">
      <c r="I848" s="4" t="s">
        <v>72</v>
      </c>
      <c r="J848" s="4">
        <v>325</v>
      </c>
    </row>
    <row r="849" spans="9:10" x14ac:dyDescent="0.3">
      <c r="I849" s="4" t="s">
        <v>71</v>
      </c>
      <c r="J849" s="4">
        <v>97</v>
      </c>
    </row>
    <row r="850" spans="9:10" x14ac:dyDescent="0.3">
      <c r="I850" s="4" t="s">
        <v>76</v>
      </c>
      <c r="J850" s="4">
        <v>217</v>
      </c>
    </row>
    <row r="851" spans="9:10" x14ac:dyDescent="0.3">
      <c r="I851" s="4" t="s">
        <v>71</v>
      </c>
      <c r="J851" s="4">
        <v>124</v>
      </c>
    </row>
    <row r="852" spans="9:10" x14ac:dyDescent="0.3">
      <c r="I852" s="4" t="s">
        <v>73</v>
      </c>
      <c r="J852" s="4">
        <v>148</v>
      </c>
    </row>
    <row r="853" spans="9:10" x14ac:dyDescent="0.3">
      <c r="I853" s="4" t="s">
        <v>72</v>
      </c>
      <c r="J853" s="4">
        <v>213</v>
      </c>
    </row>
    <row r="854" spans="9:10" x14ac:dyDescent="0.3">
      <c r="I854" s="4" t="s">
        <v>75</v>
      </c>
      <c r="J854" s="4">
        <v>179</v>
      </c>
    </row>
    <row r="855" spans="9:10" x14ac:dyDescent="0.3">
      <c r="I855" s="4" t="s">
        <v>73</v>
      </c>
      <c r="J855" s="4">
        <v>353</v>
      </c>
    </row>
    <row r="856" spans="9:10" x14ac:dyDescent="0.3">
      <c r="I856" s="4" t="s">
        <v>76</v>
      </c>
      <c r="J856" s="4">
        <v>255</v>
      </c>
    </row>
    <row r="857" spans="9:10" x14ac:dyDescent="0.3">
      <c r="I857" s="4" t="s">
        <v>74</v>
      </c>
      <c r="J857" s="4">
        <v>449</v>
      </c>
    </row>
    <row r="858" spans="9:10" x14ac:dyDescent="0.3">
      <c r="I858" s="4" t="s">
        <v>74</v>
      </c>
      <c r="J858" s="4">
        <v>360</v>
      </c>
    </row>
    <row r="859" spans="9:10" x14ac:dyDescent="0.3">
      <c r="I859" s="4" t="s">
        <v>73</v>
      </c>
      <c r="J859" s="4">
        <v>74</v>
      </c>
    </row>
    <row r="860" spans="9:10" x14ac:dyDescent="0.3">
      <c r="I860" s="4" t="s">
        <v>74</v>
      </c>
      <c r="J860" s="4">
        <v>199</v>
      </c>
    </row>
    <row r="861" spans="9:10" x14ac:dyDescent="0.3">
      <c r="I861" s="4" t="s">
        <v>73</v>
      </c>
      <c r="J861" s="4">
        <v>203</v>
      </c>
    </row>
    <row r="862" spans="9:10" x14ac:dyDescent="0.3">
      <c r="I862" s="4" t="s">
        <v>71</v>
      </c>
      <c r="J862" s="4">
        <v>461</v>
      </c>
    </row>
    <row r="863" spans="9:10" x14ac:dyDescent="0.3">
      <c r="I863" s="4" t="s">
        <v>75</v>
      </c>
      <c r="J863" s="4">
        <v>463</v>
      </c>
    </row>
    <row r="864" spans="9:10" x14ac:dyDescent="0.3">
      <c r="I864" s="4" t="s">
        <v>71</v>
      </c>
      <c r="J864" s="4">
        <v>216</v>
      </c>
    </row>
    <row r="865" spans="9:10" x14ac:dyDescent="0.3">
      <c r="I865" s="4" t="s">
        <v>72</v>
      </c>
      <c r="J865" s="4">
        <v>445</v>
      </c>
    </row>
    <row r="866" spans="9:10" x14ac:dyDescent="0.3">
      <c r="I866" s="4" t="s">
        <v>76</v>
      </c>
      <c r="J866" s="4">
        <v>236</v>
      </c>
    </row>
    <row r="867" spans="9:10" x14ac:dyDescent="0.3">
      <c r="I867" s="4" t="s">
        <v>71</v>
      </c>
      <c r="J867" s="4">
        <v>128</v>
      </c>
    </row>
    <row r="868" spans="9:10" x14ac:dyDescent="0.3">
      <c r="I868" s="4" t="s">
        <v>75</v>
      </c>
      <c r="J868" s="4">
        <v>458</v>
      </c>
    </row>
    <row r="869" spans="9:10" x14ac:dyDescent="0.3">
      <c r="I869" s="4" t="s">
        <v>76</v>
      </c>
      <c r="J869" s="4">
        <v>353</v>
      </c>
    </row>
    <row r="870" spans="9:10" x14ac:dyDescent="0.3">
      <c r="I870" s="4" t="s">
        <v>73</v>
      </c>
      <c r="J870" s="4">
        <v>291</v>
      </c>
    </row>
    <row r="871" spans="9:10" x14ac:dyDescent="0.3">
      <c r="I871" s="4" t="s">
        <v>71</v>
      </c>
      <c r="J871" s="4">
        <v>224</v>
      </c>
    </row>
    <row r="872" spans="9:10" x14ac:dyDescent="0.3">
      <c r="I872" s="4" t="s">
        <v>73</v>
      </c>
      <c r="J872" s="4">
        <v>289</v>
      </c>
    </row>
    <row r="873" spans="9:10" x14ac:dyDescent="0.3">
      <c r="I873" s="4" t="s">
        <v>74</v>
      </c>
      <c r="J873" s="4">
        <v>366</v>
      </c>
    </row>
    <row r="874" spans="9:10" x14ac:dyDescent="0.3">
      <c r="I874" s="4" t="s">
        <v>74</v>
      </c>
      <c r="J874" s="4">
        <v>442</v>
      </c>
    </row>
    <row r="875" spans="9:10" x14ac:dyDescent="0.3">
      <c r="I875" s="4" t="s">
        <v>74</v>
      </c>
      <c r="J875" s="4">
        <v>297</v>
      </c>
    </row>
    <row r="876" spans="9:10" x14ac:dyDescent="0.3">
      <c r="I876" s="4" t="s">
        <v>75</v>
      </c>
      <c r="J876" s="4">
        <v>123</v>
      </c>
    </row>
    <row r="877" spans="9:10" x14ac:dyDescent="0.3">
      <c r="I877" s="4" t="s">
        <v>72</v>
      </c>
      <c r="J877" s="4">
        <v>457</v>
      </c>
    </row>
    <row r="878" spans="9:10" x14ac:dyDescent="0.3">
      <c r="I878" s="4" t="s">
        <v>73</v>
      </c>
      <c r="J878" s="4">
        <v>388</v>
      </c>
    </row>
    <row r="879" spans="9:10" x14ac:dyDescent="0.3">
      <c r="I879" s="4" t="s">
        <v>73</v>
      </c>
      <c r="J879" s="4">
        <v>332</v>
      </c>
    </row>
    <row r="880" spans="9:10" x14ac:dyDescent="0.3">
      <c r="I880" s="4" t="s">
        <v>71</v>
      </c>
      <c r="J880" s="4">
        <v>99</v>
      </c>
    </row>
    <row r="881" spans="9:10" x14ac:dyDescent="0.3">
      <c r="I881" s="4" t="s">
        <v>76</v>
      </c>
      <c r="J881" s="4">
        <v>53</v>
      </c>
    </row>
    <row r="882" spans="9:10" x14ac:dyDescent="0.3">
      <c r="I882" s="4" t="s">
        <v>71</v>
      </c>
      <c r="J882" s="4">
        <v>122</v>
      </c>
    </row>
    <row r="883" spans="9:10" x14ac:dyDescent="0.3">
      <c r="I883" s="4" t="s">
        <v>74</v>
      </c>
      <c r="J883" s="4">
        <v>398</v>
      </c>
    </row>
    <row r="884" spans="9:10" x14ac:dyDescent="0.3">
      <c r="I884" s="4" t="s">
        <v>76</v>
      </c>
      <c r="J884" s="4">
        <v>103</v>
      </c>
    </row>
    <row r="885" spans="9:10" x14ac:dyDescent="0.3">
      <c r="I885" s="4" t="s">
        <v>74</v>
      </c>
      <c r="J885" s="4">
        <v>460</v>
      </c>
    </row>
    <row r="886" spans="9:10" x14ac:dyDescent="0.3">
      <c r="I886" s="4" t="s">
        <v>75</v>
      </c>
      <c r="J886" s="4">
        <v>93</v>
      </c>
    </row>
    <row r="887" spans="9:10" x14ac:dyDescent="0.3">
      <c r="I887" s="4" t="s">
        <v>75</v>
      </c>
      <c r="J887" s="4">
        <v>96</v>
      </c>
    </row>
    <row r="888" spans="9:10" x14ac:dyDescent="0.3">
      <c r="I888" s="4" t="s">
        <v>75</v>
      </c>
      <c r="J888" s="4">
        <v>96</v>
      </c>
    </row>
    <row r="889" spans="9:10" x14ac:dyDescent="0.3">
      <c r="I889" s="4" t="s">
        <v>76</v>
      </c>
      <c r="J889" s="4">
        <v>214</v>
      </c>
    </row>
    <row r="890" spans="9:10" x14ac:dyDescent="0.3">
      <c r="I890" s="4" t="s">
        <v>72</v>
      </c>
      <c r="J890" s="4">
        <v>222</v>
      </c>
    </row>
    <row r="891" spans="9:10" x14ac:dyDescent="0.3">
      <c r="I891" s="4" t="s">
        <v>76</v>
      </c>
      <c r="J891" s="4">
        <v>278</v>
      </c>
    </row>
    <row r="892" spans="9:10" x14ac:dyDescent="0.3">
      <c r="I892" s="4" t="s">
        <v>76</v>
      </c>
      <c r="J892" s="4">
        <v>216</v>
      </c>
    </row>
    <row r="893" spans="9:10" x14ac:dyDescent="0.3">
      <c r="I893" s="4" t="s">
        <v>75</v>
      </c>
      <c r="J893" s="4">
        <v>355</v>
      </c>
    </row>
    <row r="894" spans="9:10" x14ac:dyDescent="0.3">
      <c r="I894" s="4" t="s">
        <v>75</v>
      </c>
      <c r="J894" s="4">
        <v>220</v>
      </c>
    </row>
    <row r="895" spans="9:10" x14ac:dyDescent="0.3">
      <c r="I895" s="4" t="s">
        <v>76</v>
      </c>
      <c r="J895" s="4">
        <v>191</v>
      </c>
    </row>
    <row r="896" spans="9:10" x14ac:dyDescent="0.3">
      <c r="I896" s="4" t="s">
        <v>74</v>
      </c>
      <c r="J896" s="4">
        <v>384</v>
      </c>
    </row>
    <row r="897" spans="9:10" x14ac:dyDescent="0.3">
      <c r="I897" s="4" t="s">
        <v>76</v>
      </c>
      <c r="J897" s="4">
        <v>344</v>
      </c>
    </row>
    <row r="898" spans="9:10" x14ac:dyDescent="0.3">
      <c r="I898" s="4" t="s">
        <v>73</v>
      </c>
      <c r="J898" s="4">
        <v>198</v>
      </c>
    </row>
    <row r="899" spans="9:10" x14ac:dyDescent="0.3">
      <c r="I899" s="4" t="s">
        <v>75</v>
      </c>
      <c r="J899" s="4">
        <v>377</v>
      </c>
    </row>
    <row r="900" spans="9:10" x14ac:dyDescent="0.3">
      <c r="I900" s="4" t="s">
        <v>74</v>
      </c>
      <c r="J900" s="4">
        <v>390</v>
      </c>
    </row>
    <row r="901" spans="9:10" x14ac:dyDescent="0.3">
      <c r="I901" s="4" t="s">
        <v>76</v>
      </c>
      <c r="J901" s="4">
        <v>490</v>
      </c>
    </row>
    <row r="902" spans="9:10" x14ac:dyDescent="0.3">
      <c r="I902" s="4" t="s">
        <v>71</v>
      </c>
      <c r="J902" s="4">
        <v>159</v>
      </c>
    </row>
    <row r="903" spans="9:10" x14ac:dyDescent="0.3">
      <c r="I903" s="4" t="s">
        <v>74</v>
      </c>
      <c r="J903" s="4">
        <v>55</v>
      </c>
    </row>
    <row r="904" spans="9:10" x14ac:dyDescent="0.3">
      <c r="I904" s="4" t="s">
        <v>74</v>
      </c>
      <c r="J904" s="4">
        <v>310</v>
      </c>
    </row>
    <row r="905" spans="9:10" x14ac:dyDescent="0.3">
      <c r="I905" s="4" t="s">
        <v>76</v>
      </c>
      <c r="J905" s="4">
        <v>488</v>
      </c>
    </row>
    <row r="906" spans="9:10" x14ac:dyDescent="0.3">
      <c r="I906" s="4" t="s">
        <v>76</v>
      </c>
      <c r="J906" s="4">
        <v>121</v>
      </c>
    </row>
    <row r="907" spans="9:10" x14ac:dyDescent="0.3">
      <c r="I907" s="4" t="s">
        <v>72</v>
      </c>
      <c r="J907" s="4">
        <v>221</v>
      </c>
    </row>
    <row r="908" spans="9:10" x14ac:dyDescent="0.3">
      <c r="I908" s="4" t="s">
        <v>75</v>
      </c>
      <c r="J908" s="4">
        <v>236</v>
      </c>
    </row>
    <row r="909" spans="9:10" x14ac:dyDescent="0.3">
      <c r="I909" s="4" t="s">
        <v>74</v>
      </c>
      <c r="J909" s="4">
        <v>313</v>
      </c>
    </row>
    <row r="910" spans="9:10" x14ac:dyDescent="0.3">
      <c r="I910" s="4" t="s">
        <v>75</v>
      </c>
      <c r="J910" s="4">
        <v>460</v>
      </c>
    </row>
    <row r="911" spans="9:10" x14ac:dyDescent="0.3">
      <c r="I911" s="4" t="s">
        <v>75</v>
      </c>
      <c r="J911" s="4">
        <v>151</v>
      </c>
    </row>
    <row r="912" spans="9:10" x14ac:dyDescent="0.3">
      <c r="I912" s="4" t="s">
        <v>72</v>
      </c>
      <c r="J912" s="4">
        <v>141</v>
      </c>
    </row>
    <row r="913" spans="9:10" x14ac:dyDescent="0.3">
      <c r="I913" s="4" t="s">
        <v>74</v>
      </c>
      <c r="J913" s="4">
        <v>208</v>
      </c>
    </row>
    <row r="914" spans="9:10" x14ac:dyDescent="0.3">
      <c r="I914" s="4" t="s">
        <v>74</v>
      </c>
      <c r="J914" s="4">
        <v>451</v>
      </c>
    </row>
    <row r="915" spans="9:10" x14ac:dyDescent="0.3">
      <c r="I915" s="4" t="s">
        <v>75</v>
      </c>
      <c r="J915" s="4">
        <v>339</v>
      </c>
    </row>
    <row r="916" spans="9:10" x14ac:dyDescent="0.3">
      <c r="I916" s="4" t="s">
        <v>75</v>
      </c>
      <c r="J916" s="4">
        <v>123</v>
      </c>
    </row>
    <row r="917" spans="9:10" x14ac:dyDescent="0.3">
      <c r="I917" s="4" t="s">
        <v>72</v>
      </c>
      <c r="J917" s="4">
        <v>112</v>
      </c>
    </row>
    <row r="918" spans="9:10" x14ac:dyDescent="0.3">
      <c r="I918" s="4" t="s">
        <v>76</v>
      </c>
      <c r="J918" s="4">
        <v>94</v>
      </c>
    </row>
    <row r="919" spans="9:10" x14ac:dyDescent="0.3">
      <c r="I919" s="4" t="s">
        <v>75</v>
      </c>
      <c r="J919" s="4">
        <v>464</v>
      </c>
    </row>
    <row r="920" spans="9:10" x14ac:dyDescent="0.3">
      <c r="I920" s="4" t="s">
        <v>76</v>
      </c>
      <c r="J920" s="4">
        <v>445</v>
      </c>
    </row>
    <row r="921" spans="9:10" x14ac:dyDescent="0.3">
      <c r="I921" s="4" t="s">
        <v>74</v>
      </c>
      <c r="J921" s="4">
        <v>370</v>
      </c>
    </row>
    <row r="922" spans="9:10" x14ac:dyDescent="0.3">
      <c r="I922" s="4" t="s">
        <v>72</v>
      </c>
      <c r="J922" s="4">
        <v>390</v>
      </c>
    </row>
    <row r="923" spans="9:10" x14ac:dyDescent="0.3">
      <c r="I923" s="4" t="s">
        <v>74</v>
      </c>
      <c r="J923" s="4">
        <v>493</v>
      </c>
    </row>
    <row r="924" spans="9:10" x14ac:dyDescent="0.3">
      <c r="I924" s="4" t="s">
        <v>74</v>
      </c>
      <c r="J924" s="4">
        <v>53</v>
      </c>
    </row>
    <row r="925" spans="9:10" x14ac:dyDescent="0.3">
      <c r="I925" s="4" t="s">
        <v>74</v>
      </c>
      <c r="J925" s="4">
        <v>76</v>
      </c>
    </row>
    <row r="926" spans="9:10" x14ac:dyDescent="0.3">
      <c r="I926" s="4" t="s">
        <v>71</v>
      </c>
      <c r="J926" s="4">
        <v>127</v>
      </c>
    </row>
    <row r="927" spans="9:10" x14ac:dyDescent="0.3">
      <c r="I927" s="4" t="s">
        <v>72</v>
      </c>
      <c r="J927" s="4">
        <v>194</v>
      </c>
    </row>
    <row r="928" spans="9:10" x14ac:dyDescent="0.3">
      <c r="I928" s="4" t="s">
        <v>75</v>
      </c>
      <c r="J928" s="4">
        <v>277</v>
      </c>
    </row>
    <row r="929" spans="9:10" x14ac:dyDescent="0.3">
      <c r="I929" s="4" t="s">
        <v>73</v>
      </c>
      <c r="J929" s="4">
        <v>419</v>
      </c>
    </row>
    <row r="930" spans="9:10" x14ac:dyDescent="0.3">
      <c r="I930" s="4" t="s">
        <v>72</v>
      </c>
      <c r="J930" s="4">
        <v>498</v>
      </c>
    </row>
    <row r="931" spans="9:10" x14ac:dyDescent="0.3">
      <c r="I931" s="4" t="s">
        <v>74</v>
      </c>
      <c r="J931" s="4">
        <v>185</v>
      </c>
    </row>
    <row r="932" spans="9:10" x14ac:dyDescent="0.3">
      <c r="I932" s="4" t="s">
        <v>71</v>
      </c>
      <c r="J932" s="4">
        <v>219</v>
      </c>
    </row>
    <row r="933" spans="9:10" x14ac:dyDescent="0.3">
      <c r="I933" s="4" t="s">
        <v>75</v>
      </c>
      <c r="J933" s="4">
        <v>287</v>
      </c>
    </row>
    <row r="934" spans="9:10" x14ac:dyDescent="0.3">
      <c r="I934" s="4" t="s">
        <v>76</v>
      </c>
      <c r="J934" s="4">
        <v>406</v>
      </c>
    </row>
    <row r="935" spans="9:10" x14ac:dyDescent="0.3">
      <c r="I935" s="4" t="s">
        <v>73</v>
      </c>
      <c r="J935" s="4">
        <v>353</v>
      </c>
    </row>
    <row r="936" spans="9:10" x14ac:dyDescent="0.3">
      <c r="I936" s="4" t="s">
        <v>76</v>
      </c>
      <c r="J936" s="4">
        <v>344</v>
      </c>
    </row>
    <row r="937" spans="9:10" x14ac:dyDescent="0.3">
      <c r="I937" s="4" t="s">
        <v>72</v>
      </c>
      <c r="J937" s="4">
        <v>253</v>
      </c>
    </row>
    <row r="938" spans="9:10" x14ac:dyDescent="0.3">
      <c r="I938" s="4" t="s">
        <v>76</v>
      </c>
      <c r="J938" s="4">
        <v>102</v>
      </c>
    </row>
    <row r="939" spans="9:10" x14ac:dyDescent="0.3">
      <c r="I939" s="4" t="s">
        <v>75</v>
      </c>
      <c r="J939" s="4">
        <v>225</v>
      </c>
    </row>
    <row r="940" spans="9:10" x14ac:dyDescent="0.3">
      <c r="I940" s="4" t="s">
        <v>75</v>
      </c>
      <c r="J940" s="4">
        <v>286</v>
      </c>
    </row>
    <row r="941" spans="9:10" x14ac:dyDescent="0.3">
      <c r="I941" s="4" t="s">
        <v>73</v>
      </c>
      <c r="J941" s="4">
        <v>410</v>
      </c>
    </row>
    <row r="942" spans="9:10" x14ac:dyDescent="0.3">
      <c r="I942" s="4" t="s">
        <v>71</v>
      </c>
      <c r="J942" s="4">
        <v>158</v>
      </c>
    </row>
    <row r="943" spans="9:10" x14ac:dyDescent="0.3">
      <c r="I943" s="4" t="s">
        <v>71</v>
      </c>
      <c r="J943" s="4">
        <v>159</v>
      </c>
    </row>
    <row r="944" spans="9:10" x14ac:dyDescent="0.3">
      <c r="I944" s="4" t="s">
        <v>75</v>
      </c>
      <c r="J944" s="4">
        <v>195</v>
      </c>
    </row>
    <row r="945" spans="9:10" x14ac:dyDescent="0.3">
      <c r="I945" s="4" t="s">
        <v>75</v>
      </c>
      <c r="J945" s="4">
        <v>482</v>
      </c>
    </row>
    <row r="946" spans="9:10" x14ac:dyDescent="0.3">
      <c r="I946" s="4" t="s">
        <v>71</v>
      </c>
      <c r="J946" s="4">
        <v>133</v>
      </c>
    </row>
    <row r="947" spans="9:10" x14ac:dyDescent="0.3">
      <c r="I947" s="4" t="s">
        <v>76</v>
      </c>
      <c r="J947" s="4">
        <v>275</v>
      </c>
    </row>
    <row r="948" spans="9:10" x14ac:dyDescent="0.3">
      <c r="I948" s="4" t="s">
        <v>72</v>
      </c>
      <c r="J948" s="4">
        <v>283</v>
      </c>
    </row>
    <row r="949" spans="9:10" x14ac:dyDescent="0.3">
      <c r="I949" s="4" t="s">
        <v>72</v>
      </c>
      <c r="J949" s="4">
        <v>98</v>
      </c>
    </row>
    <row r="950" spans="9:10" x14ac:dyDescent="0.3">
      <c r="I950" s="4" t="s">
        <v>76</v>
      </c>
      <c r="J950" s="4">
        <v>192</v>
      </c>
    </row>
    <row r="951" spans="9:10" x14ac:dyDescent="0.3">
      <c r="I951" s="4" t="s">
        <v>73</v>
      </c>
      <c r="J951" s="4">
        <v>65</v>
      </c>
    </row>
    <row r="952" spans="9:10" x14ac:dyDescent="0.3">
      <c r="I952" s="4" t="s">
        <v>72</v>
      </c>
      <c r="J952" s="4">
        <v>130</v>
      </c>
    </row>
    <row r="953" spans="9:10" x14ac:dyDescent="0.3">
      <c r="I953" s="4" t="s">
        <v>72</v>
      </c>
      <c r="J953" s="4">
        <v>127</v>
      </c>
    </row>
    <row r="954" spans="9:10" x14ac:dyDescent="0.3">
      <c r="I954" s="4" t="s">
        <v>71</v>
      </c>
      <c r="J954" s="4">
        <v>269</v>
      </c>
    </row>
    <row r="955" spans="9:10" x14ac:dyDescent="0.3">
      <c r="I955" s="4" t="s">
        <v>75</v>
      </c>
      <c r="J955" s="4">
        <v>374</v>
      </c>
    </row>
    <row r="956" spans="9:10" x14ac:dyDescent="0.3">
      <c r="I956" s="4" t="s">
        <v>71</v>
      </c>
      <c r="J956" s="4">
        <v>389</v>
      </c>
    </row>
    <row r="957" spans="9:10" x14ac:dyDescent="0.3">
      <c r="I957" s="4" t="s">
        <v>76</v>
      </c>
      <c r="J957" s="4">
        <v>455</v>
      </c>
    </row>
    <row r="958" spans="9:10" x14ac:dyDescent="0.3">
      <c r="I958" s="4" t="s">
        <v>76</v>
      </c>
      <c r="J958" s="4">
        <v>124</v>
      </c>
    </row>
    <row r="959" spans="9:10" x14ac:dyDescent="0.3">
      <c r="I959" s="4" t="s">
        <v>74</v>
      </c>
      <c r="J959" s="4">
        <v>141</v>
      </c>
    </row>
    <row r="960" spans="9:10" x14ac:dyDescent="0.3">
      <c r="I960" s="4" t="s">
        <v>74</v>
      </c>
      <c r="J960" s="4">
        <v>407</v>
      </c>
    </row>
    <row r="961" spans="9:10" x14ac:dyDescent="0.3">
      <c r="I961" s="4" t="s">
        <v>73</v>
      </c>
      <c r="J961" s="4">
        <v>323</v>
      </c>
    </row>
    <row r="962" spans="9:10" x14ac:dyDescent="0.3">
      <c r="I962" s="4" t="s">
        <v>75</v>
      </c>
      <c r="J962" s="4">
        <v>224</v>
      </c>
    </row>
    <row r="963" spans="9:10" x14ac:dyDescent="0.3">
      <c r="I963" s="4" t="s">
        <v>75</v>
      </c>
      <c r="J963" s="4">
        <v>319</v>
      </c>
    </row>
    <row r="964" spans="9:10" x14ac:dyDescent="0.3">
      <c r="I964" s="4" t="s">
        <v>73</v>
      </c>
      <c r="J964" s="4">
        <v>392</v>
      </c>
    </row>
    <row r="965" spans="9:10" x14ac:dyDescent="0.3">
      <c r="I965" s="4" t="s">
        <v>76</v>
      </c>
      <c r="J965" s="4">
        <v>244</v>
      </c>
    </row>
    <row r="966" spans="9:10" x14ac:dyDescent="0.3">
      <c r="I966" s="4" t="s">
        <v>72</v>
      </c>
      <c r="J966" s="4">
        <v>96</v>
      </c>
    </row>
    <row r="967" spans="9:10" x14ac:dyDescent="0.3">
      <c r="I967" s="4" t="s">
        <v>75</v>
      </c>
      <c r="J967" s="4">
        <v>155</v>
      </c>
    </row>
    <row r="968" spans="9:10" x14ac:dyDescent="0.3">
      <c r="I968" s="4" t="s">
        <v>73</v>
      </c>
      <c r="J968" s="4">
        <v>134</v>
      </c>
    </row>
    <row r="969" spans="9:10" x14ac:dyDescent="0.3">
      <c r="I969" s="4" t="s">
        <v>72</v>
      </c>
      <c r="J969" s="4">
        <v>107</v>
      </c>
    </row>
    <row r="970" spans="9:10" x14ac:dyDescent="0.3">
      <c r="I970" s="4" t="s">
        <v>72</v>
      </c>
      <c r="J970" s="4">
        <v>267</v>
      </c>
    </row>
    <row r="971" spans="9:10" x14ac:dyDescent="0.3">
      <c r="I971" s="4" t="s">
        <v>74</v>
      </c>
      <c r="J971" s="4">
        <v>259</v>
      </c>
    </row>
    <row r="972" spans="9:10" x14ac:dyDescent="0.3">
      <c r="I972" s="4" t="s">
        <v>74</v>
      </c>
      <c r="J972" s="4">
        <v>228</v>
      </c>
    </row>
    <row r="973" spans="9:10" x14ac:dyDescent="0.3">
      <c r="I973" s="4" t="s">
        <v>73</v>
      </c>
      <c r="J973" s="4">
        <v>238</v>
      </c>
    </row>
    <row r="974" spans="9:10" x14ac:dyDescent="0.3">
      <c r="I974" s="4" t="s">
        <v>74</v>
      </c>
      <c r="J974" s="4">
        <v>303</v>
      </c>
    </row>
    <row r="975" spans="9:10" x14ac:dyDescent="0.3">
      <c r="I975" s="4" t="s">
        <v>73</v>
      </c>
      <c r="J975" s="4">
        <v>294</v>
      </c>
    </row>
    <row r="976" spans="9:10" x14ac:dyDescent="0.3">
      <c r="I976" s="4" t="s">
        <v>75</v>
      </c>
      <c r="J976" s="4">
        <v>286</v>
      </c>
    </row>
    <row r="977" spans="9:10" x14ac:dyDescent="0.3">
      <c r="I977" s="4" t="s">
        <v>71</v>
      </c>
      <c r="J977" s="4">
        <v>325</v>
      </c>
    </row>
    <row r="978" spans="9:10" x14ac:dyDescent="0.3">
      <c r="I978" s="4" t="s">
        <v>76</v>
      </c>
      <c r="J978" s="4">
        <v>90</v>
      </c>
    </row>
    <row r="979" spans="9:10" x14ac:dyDescent="0.3">
      <c r="I979" s="4" t="s">
        <v>72</v>
      </c>
      <c r="J979" s="4">
        <v>299</v>
      </c>
    </row>
    <row r="980" spans="9:10" x14ac:dyDescent="0.3">
      <c r="I980" s="4" t="s">
        <v>74</v>
      </c>
      <c r="J980" s="4">
        <v>490</v>
      </c>
    </row>
    <row r="981" spans="9:10" x14ac:dyDescent="0.3">
      <c r="I981" s="4" t="s">
        <v>71</v>
      </c>
      <c r="J981" s="4">
        <v>161</v>
      </c>
    </row>
    <row r="982" spans="9:10" x14ac:dyDescent="0.3">
      <c r="I982" s="4" t="s">
        <v>75</v>
      </c>
      <c r="J982" s="4">
        <v>59</v>
      </c>
    </row>
    <row r="983" spans="9:10" x14ac:dyDescent="0.3">
      <c r="I983" s="4" t="s">
        <v>73</v>
      </c>
      <c r="J983" s="4">
        <v>439</v>
      </c>
    </row>
    <row r="984" spans="9:10" x14ac:dyDescent="0.3">
      <c r="I984" s="4" t="s">
        <v>71</v>
      </c>
      <c r="J984" s="4">
        <v>232</v>
      </c>
    </row>
    <row r="985" spans="9:10" x14ac:dyDescent="0.3">
      <c r="I985" s="4" t="s">
        <v>73</v>
      </c>
      <c r="J985" s="4">
        <v>488</v>
      </c>
    </row>
    <row r="986" spans="9:10" x14ac:dyDescent="0.3">
      <c r="I986" s="4" t="s">
        <v>73</v>
      </c>
      <c r="J986" s="4">
        <v>177</v>
      </c>
    </row>
    <row r="987" spans="9:10" x14ac:dyDescent="0.3">
      <c r="I987" s="4" t="s">
        <v>76</v>
      </c>
      <c r="J987" s="4">
        <v>87</v>
      </c>
    </row>
    <row r="988" spans="9:10" x14ac:dyDescent="0.3">
      <c r="I988" s="4" t="s">
        <v>74</v>
      </c>
      <c r="J988" s="4">
        <v>73</v>
      </c>
    </row>
    <row r="989" spans="9:10" x14ac:dyDescent="0.3">
      <c r="I989" s="4" t="s">
        <v>71</v>
      </c>
      <c r="J989" s="4">
        <v>257</v>
      </c>
    </row>
    <row r="990" spans="9:10" x14ac:dyDescent="0.3">
      <c r="I990" s="4" t="s">
        <v>72</v>
      </c>
      <c r="J990" s="4">
        <v>160</v>
      </c>
    </row>
    <row r="991" spans="9:10" x14ac:dyDescent="0.3">
      <c r="I991" s="4" t="s">
        <v>75</v>
      </c>
      <c r="J991" s="4">
        <v>194</v>
      </c>
    </row>
    <row r="992" spans="9:10" x14ac:dyDescent="0.3">
      <c r="I992" s="4" t="s">
        <v>73</v>
      </c>
      <c r="J992" s="4">
        <v>413</v>
      </c>
    </row>
    <row r="993" spans="9:10" x14ac:dyDescent="0.3">
      <c r="I993" s="4" t="s">
        <v>72</v>
      </c>
      <c r="J993" s="4">
        <v>265</v>
      </c>
    </row>
    <row r="994" spans="9:10" x14ac:dyDescent="0.3">
      <c r="I994" s="4" t="s">
        <v>72</v>
      </c>
      <c r="J994" s="4">
        <v>252</v>
      </c>
    </row>
    <row r="995" spans="9:10" x14ac:dyDescent="0.3">
      <c r="I995" s="4" t="s">
        <v>71</v>
      </c>
      <c r="J995" s="4">
        <v>419</v>
      </c>
    </row>
    <row r="996" spans="9:10" x14ac:dyDescent="0.3">
      <c r="I996" s="4" t="s">
        <v>74</v>
      </c>
      <c r="J996" s="4">
        <v>288</v>
      </c>
    </row>
    <row r="997" spans="9:10" x14ac:dyDescent="0.3">
      <c r="I997" s="4" t="s">
        <v>74</v>
      </c>
      <c r="J997" s="4">
        <v>125</v>
      </c>
    </row>
    <row r="998" spans="9:10" x14ac:dyDescent="0.3">
      <c r="I998" s="4" t="s">
        <v>72</v>
      </c>
      <c r="J998" s="4">
        <v>443</v>
      </c>
    </row>
    <row r="999" spans="9:10" x14ac:dyDescent="0.3">
      <c r="I999" s="4" t="s">
        <v>75</v>
      </c>
      <c r="J999" s="4">
        <v>219</v>
      </c>
    </row>
    <row r="1000" spans="9:10" x14ac:dyDescent="0.3">
      <c r="I1000" s="4" t="s">
        <v>71</v>
      </c>
      <c r="J1000" s="4">
        <v>364</v>
      </c>
    </row>
    <row r="1001" spans="9:10" x14ac:dyDescent="0.3">
      <c r="I1001" s="4" t="s">
        <v>75</v>
      </c>
      <c r="J1001" s="4">
        <v>316</v>
      </c>
    </row>
    <row r="1002" spans="9:10" x14ac:dyDescent="0.3">
      <c r="I1002" s="4" t="s">
        <v>73</v>
      </c>
      <c r="J1002" s="4">
        <v>118</v>
      </c>
    </row>
    <row r="1003" spans="9:10" x14ac:dyDescent="0.3">
      <c r="I1003" s="4" t="s">
        <v>76</v>
      </c>
      <c r="J1003" s="4">
        <v>335</v>
      </c>
    </row>
    <row r="1004" spans="9:10" x14ac:dyDescent="0.3">
      <c r="I1004" s="4" t="s">
        <v>73</v>
      </c>
      <c r="J1004" s="4">
        <v>375</v>
      </c>
    </row>
    <row r="1005" spans="9:10" x14ac:dyDescent="0.3">
      <c r="I1005" s="4" t="s">
        <v>71</v>
      </c>
      <c r="J1005" s="4">
        <v>189</v>
      </c>
    </row>
    <row r="1006" spans="9:10" x14ac:dyDescent="0.3">
      <c r="I1006" s="4" t="s">
        <v>73</v>
      </c>
      <c r="J1006" s="4">
        <v>388</v>
      </c>
    </row>
    <row r="1007" spans="9:10" x14ac:dyDescent="0.3">
      <c r="I1007" s="4" t="s">
        <v>71</v>
      </c>
      <c r="J1007" s="4">
        <v>347</v>
      </c>
    </row>
    <row r="1008" spans="9:10" x14ac:dyDescent="0.3">
      <c r="I1008" s="4" t="s">
        <v>72</v>
      </c>
      <c r="J1008" s="4">
        <v>92</v>
      </c>
    </row>
    <row r="1009" spans="9:10" x14ac:dyDescent="0.3">
      <c r="I1009" s="4" t="s">
        <v>76</v>
      </c>
      <c r="J1009" s="4">
        <v>372</v>
      </c>
    </row>
    <row r="1010" spans="9:10" x14ac:dyDescent="0.3">
      <c r="I1010" s="4" t="s">
        <v>73</v>
      </c>
      <c r="J1010" s="4">
        <v>209</v>
      </c>
    </row>
    <row r="1011" spans="9:10" x14ac:dyDescent="0.3">
      <c r="I1011" s="4" t="s">
        <v>76</v>
      </c>
      <c r="J1011" s="4">
        <v>89</v>
      </c>
    </row>
    <row r="1012" spans="9:10" x14ac:dyDescent="0.3">
      <c r="I1012" s="4" t="s">
        <v>76</v>
      </c>
      <c r="J1012" s="4">
        <v>401</v>
      </c>
    </row>
    <row r="1013" spans="9:10" x14ac:dyDescent="0.3">
      <c r="I1013" s="4" t="s">
        <v>74</v>
      </c>
      <c r="J1013" s="4">
        <v>306</v>
      </c>
    </row>
    <row r="1014" spans="9:10" x14ac:dyDescent="0.3">
      <c r="I1014" s="4" t="s">
        <v>76</v>
      </c>
      <c r="J1014" s="4">
        <v>347</v>
      </c>
    </row>
    <row r="1015" spans="9:10" x14ac:dyDescent="0.3">
      <c r="I1015" s="4" t="s">
        <v>75</v>
      </c>
      <c r="J1015" s="4">
        <v>89</v>
      </c>
    </row>
    <row r="1016" spans="9:10" x14ac:dyDescent="0.3">
      <c r="I1016" s="4" t="s">
        <v>75</v>
      </c>
      <c r="J1016" s="4">
        <v>158</v>
      </c>
    </row>
    <row r="1017" spans="9:10" x14ac:dyDescent="0.3">
      <c r="I1017" s="4" t="s">
        <v>75</v>
      </c>
      <c r="J1017" s="4">
        <v>480</v>
      </c>
    </row>
    <row r="1018" spans="9:10" x14ac:dyDescent="0.3">
      <c r="I1018" s="4" t="s">
        <v>74</v>
      </c>
      <c r="J1018" s="4">
        <v>181</v>
      </c>
    </row>
    <row r="1019" spans="9:10" x14ac:dyDescent="0.3">
      <c r="I1019" s="4" t="s">
        <v>73</v>
      </c>
      <c r="J1019" s="4">
        <v>455</v>
      </c>
    </row>
    <row r="1020" spans="9:10" x14ac:dyDescent="0.3">
      <c r="I1020" s="4" t="s">
        <v>75</v>
      </c>
      <c r="J1020" s="4">
        <v>162</v>
      </c>
    </row>
    <row r="1021" spans="9:10" x14ac:dyDescent="0.3">
      <c r="I1021" s="4" t="s">
        <v>76</v>
      </c>
      <c r="J1021" s="4">
        <v>288</v>
      </c>
    </row>
    <row r="1022" spans="9:10" x14ac:dyDescent="0.3">
      <c r="I1022" s="4" t="s">
        <v>74</v>
      </c>
      <c r="J1022" s="4">
        <v>138</v>
      </c>
    </row>
    <row r="1023" spans="9:10" x14ac:dyDescent="0.3">
      <c r="I1023" s="4" t="s">
        <v>73</v>
      </c>
      <c r="J1023" s="4">
        <v>248</v>
      </c>
    </row>
    <row r="1024" spans="9:10" x14ac:dyDescent="0.3">
      <c r="I1024" s="4" t="s">
        <v>76</v>
      </c>
      <c r="J1024" s="4">
        <v>279</v>
      </c>
    </row>
    <row r="1025" spans="9:10" x14ac:dyDescent="0.3">
      <c r="I1025" s="4" t="s">
        <v>76</v>
      </c>
      <c r="J1025" s="4">
        <v>438</v>
      </c>
    </row>
    <row r="1026" spans="9:10" x14ac:dyDescent="0.3">
      <c r="I1026" s="4" t="s">
        <v>73</v>
      </c>
      <c r="J1026" s="4">
        <v>132</v>
      </c>
    </row>
    <row r="1027" spans="9:10" x14ac:dyDescent="0.3">
      <c r="I1027" s="4" t="s">
        <v>71</v>
      </c>
      <c r="J1027" s="4">
        <v>191</v>
      </c>
    </row>
    <row r="1028" spans="9:10" x14ac:dyDescent="0.3">
      <c r="I1028" s="4" t="s">
        <v>76</v>
      </c>
      <c r="J1028" s="4">
        <v>130</v>
      </c>
    </row>
    <row r="1029" spans="9:10" x14ac:dyDescent="0.3">
      <c r="I1029" s="4" t="s">
        <v>72</v>
      </c>
      <c r="J1029" s="4">
        <v>416</v>
      </c>
    </row>
    <row r="1030" spans="9:10" x14ac:dyDescent="0.3">
      <c r="I1030" s="4" t="s">
        <v>75</v>
      </c>
      <c r="J1030" s="4">
        <v>203</v>
      </c>
    </row>
    <row r="1031" spans="9:10" x14ac:dyDescent="0.3">
      <c r="I1031" s="4" t="s">
        <v>76</v>
      </c>
      <c r="J1031" s="4">
        <v>423</v>
      </c>
    </row>
    <row r="1032" spans="9:10" x14ac:dyDescent="0.3">
      <c r="I1032" s="4" t="s">
        <v>74</v>
      </c>
      <c r="J1032" s="4">
        <v>136</v>
      </c>
    </row>
    <row r="1033" spans="9:10" x14ac:dyDescent="0.3">
      <c r="I1033" s="4" t="s">
        <v>76</v>
      </c>
      <c r="J1033" s="4">
        <v>152</v>
      </c>
    </row>
    <row r="1034" spans="9:10" x14ac:dyDescent="0.3">
      <c r="I1034" s="4" t="s">
        <v>76</v>
      </c>
      <c r="J1034" s="4">
        <v>161</v>
      </c>
    </row>
    <row r="1035" spans="9:10" x14ac:dyDescent="0.3">
      <c r="I1035" s="4" t="s">
        <v>74</v>
      </c>
      <c r="J1035" s="4">
        <v>201</v>
      </c>
    </row>
    <row r="1036" spans="9:10" x14ac:dyDescent="0.3">
      <c r="I1036" s="4" t="s">
        <v>74</v>
      </c>
      <c r="J1036" s="4">
        <v>84</v>
      </c>
    </row>
    <row r="1037" spans="9:10" x14ac:dyDescent="0.3">
      <c r="I1037" s="4" t="s">
        <v>73</v>
      </c>
      <c r="J1037" s="4">
        <v>135</v>
      </c>
    </row>
    <row r="1038" spans="9:10" x14ac:dyDescent="0.3">
      <c r="I1038" s="4" t="s">
        <v>73</v>
      </c>
      <c r="J1038" s="4">
        <v>393</v>
      </c>
    </row>
    <row r="1039" spans="9:10" x14ac:dyDescent="0.3">
      <c r="I1039" s="4" t="s">
        <v>74</v>
      </c>
      <c r="J1039" s="4">
        <v>285</v>
      </c>
    </row>
    <row r="1040" spans="9:10" x14ac:dyDescent="0.3">
      <c r="I1040" s="4" t="s">
        <v>76</v>
      </c>
      <c r="J1040" s="4">
        <v>378</v>
      </c>
    </row>
    <row r="1041" spans="9:10" x14ac:dyDescent="0.3">
      <c r="I1041" s="4" t="s">
        <v>73</v>
      </c>
      <c r="J1041" s="4">
        <v>353</v>
      </c>
    </row>
    <row r="1042" spans="9:10" x14ac:dyDescent="0.3">
      <c r="I1042" s="4" t="s">
        <v>75</v>
      </c>
      <c r="J1042" s="4">
        <v>151</v>
      </c>
    </row>
    <row r="1043" spans="9:10" x14ac:dyDescent="0.3">
      <c r="I1043" s="4" t="s">
        <v>72</v>
      </c>
      <c r="J1043" s="4">
        <v>461</v>
      </c>
    </row>
    <row r="1044" spans="9:10" x14ac:dyDescent="0.3">
      <c r="I1044" s="4" t="s">
        <v>72</v>
      </c>
      <c r="J1044" s="4">
        <v>395</v>
      </c>
    </row>
    <row r="1045" spans="9:10" x14ac:dyDescent="0.3">
      <c r="I1045" s="4" t="s">
        <v>72</v>
      </c>
      <c r="J1045" s="4">
        <v>190</v>
      </c>
    </row>
    <row r="1046" spans="9:10" x14ac:dyDescent="0.3">
      <c r="I1046" s="4" t="s">
        <v>73</v>
      </c>
      <c r="J1046" s="4">
        <v>119</v>
      </c>
    </row>
    <row r="1047" spans="9:10" x14ac:dyDescent="0.3">
      <c r="I1047" s="4" t="s">
        <v>75</v>
      </c>
      <c r="J1047" s="4">
        <v>472</v>
      </c>
    </row>
    <row r="1048" spans="9:10" x14ac:dyDescent="0.3">
      <c r="I1048" s="4" t="s">
        <v>72</v>
      </c>
      <c r="J1048" s="4">
        <v>343</v>
      </c>
    </row>
    <row r="1049" spans="9:10" x14ac:dyDescent="0.3">
      <c r="I1049" s="4" t="s">
        <v>74</v>
      </c>
      <c r="J1049" s="4">
        <v>270</v>
      </c>
    </row>
    <row r="1050" spans="9:10" x14ac:dyDescent="0.3">
      <c r="I1050" s="4" t="s">
        <v>74</v>
      </c>
      <c r="J1050" s="4">
        <v>437</v>
      </c>
    </row>
    <row r="1051" spans="9:10" x14ac:dyDescent="0.3">
      <c r="I1051" s="4" t="s">
        <v>73</v>
      </c>
      <c r="J1051" s="4">
        <v>152</v>
      </c>
    </row>
    <row r="1052" spans="9:10" x14ac:dyDescent="0.3">
      <c r="I1052" s="4" t="s">
        <v>73</v>
      </c>
      <c r="J1052" s="4">
        <v>453</v>
      </c>
    </row>
    <row r="1053" spans="9:10" x14ac:dyDescent="0.3">
      <c r="I1053" s="4" t="s">
        <v>74</v>
      </c>
      <c r="J1053" s="4">
        <v>278</v>
      </c>
    </row>
    <row r="1054" spans="9:10" x14ac:dyDescent="0.3">
      <c r="I1054" s="4" t="s">
        <v>76</v>
      </c>
      <c r="J1054" s="4">
        <v>353</v>
      </c>
    </row>
    <row r="1055" spans="9:10" x14ac:dyDescent="0.3">
      <c r="I1055" s="4" t="s">
        <v>75</v>
      </c>
      <c r="J1055" s="4">
        <v>161</v>
      </c>
    </row>
    <row r="1056" spans="9:10" x14ac:dyDescent="0.3">
      <c r="I1056" s="4" t="s">
        <v>71</v>
      </c>
      <c r="J1056" s="4">
        <v>483</v>
      </c>
    </row>
    <row r="1057" spans="9:10" x14ac:dyDescent="0.3">
      <c r="I1057" s="4" t="s">
        <v>76</v>
      </c>
      <c r="J1057" s="4">
        <v>399</v>
      </c>
    </row>
    <row r="1058" spans="9:10" x14ac:dyDescent="0.3">
      <c r="I1058" s="4" t="s">
        <v>75</v>
      </c>
      <c r="J1058" s="4">
        <v>346</v>
      </c>
    </row>
    <row r="1059" spans="9:10" x14ac:dyDescent="0.3">
      <c r="I1059" s="4" t="s">
        <v>72</v>
      </c>
      <c r="J1059" s="4">
        <v>464</v>
      </c>
    </row>
    <row r="1060" spans="9:10" x14ac:dyDescent="0.3">
      <c r="I1060" s="4" t="s">
        <v>74</v>
      </c>
      <c r="J1060" s="4">
        <v>198</v>
      </c>
    </row>
    <row r="1061" spans="9:10" x14ac:dyDescent="0.3">
      <c r="I1061" s="4" t="s">
        <v>73</v>
      </c>
      <c r="J1061" s="4">
        <v>229</v>
      </c>
    </row>
    <row r="1062" spans="9:10" x14ac:dyDescent="0.3">
      <c r="I1062" s="4" t="s">
        <v>73</v>
      </c>
      <c r="J1062" s="4">
        <v>191</v>
      </c>
    </row>
    <row r="1063" spans="9:10" x14ac:dyDescent="0.3">
      <c r="I1063" s="4" t="s">
        <v>73</v>
      </c>
      <c r="J1063" s="4">
        <v>111</v>
      </c>
    </row>
    <row r="1064" spans="9:10" x14ac:dyDescent="0.3">
      <c r="I1064" s="4" t="s">
        <v>72</v>
      </c>
      <c r="J1064" s="4">
        <v>490</v>
      </c>
    </row>
    <row r="1065" spans="9:10" x14ac:dyDescent="0.3">
      <c r="I1065" s="4" t="s">
        <v>73</v>
      </c>
      <c r="J1065" s="4">
        <v>407</v>
      </c>
    </row>
    <row r="1066" spans="9:10" x14ac:dyDescent="0.3">
      <c r="I1066" s="4" t="s">
        <v>72</v>
      </c>
      <c r="J1066" s="4">
        <v>173</v>
      </c>
    </row>
    <row r="1067" spans="9:10" x14ac:dyDescent="0.3">
      <c r="I1067" s="4" t="s">
        <v>71</v>
      </c>
      <c r="J1067" s="4">
        <v>405</v>
      </c>
    </row>
    <row r="1068" spans="9:10" x14ac:dyDescent="0.3">
      <c r="I1068" s="4" t="s">
        <v>73</v>
      </c>
      <c r="J1068" s="4">
        <v>454</v>
      </c>
    </row>
    <row r="1069" spans="9:10" x14ac:dyDescent="0.3">
      <c r="I1069" s="4" t="s">
        <v>74</v>
      </c>
      <c r="J1069" s="4">
        <v>410</v>
      </c>
    </row>
    <row r="1070" spans="9:10" x14ac:dyDescent="0.3">
      <c r="I1070" s="4" t="s">
        <v>73</v>
      </c>
      <c r="J1070" s="4">
        <v>51</v>
      </c>
    </row>
    <row r="1071" spans="9:10" x14ac:dyDescent="0.3">
      <c r="I1071" s="4" t="s">
        <v>72</v>
      </c>
      <c r="J1071" s="4">
        <v>265</v>
      </c>
    </row>
    <row r="1072" spans="9:10" x14ac:dyDescent="0.3">
      <c r="I1072" s="4" t="s">
        <v>76</v>
      </c>
      <c r="J1072" s="4">
        <v>454</v>
      </c>
    </row>
    <row r="1073" spans="9:10" x14ac:dyDescent="0.3">
      <c r="I1073" s="4" t="s">
        <v>73</v>
      </c>
      <c r="J1073" s="4">
        <v>225</v>
      </c>
    </row>
    <row r="1074" spans="9:10" x14ac:dyDescent="0.3">
      <c r="I1074" s="4" t="s">
        <v>73</v>
      </c>
      <c r="J1074" s="4">
        <v>194</v>
      </c>
    </row>
    <row r="1075" spans="9:10" x14ac:dyDescent="0.3">
      <c r="I1075" s="4" t="s">
        <v>73</v>
      </c>
      <c r="J1075" s="4">
        <v>55</v>
      </c>
    </row>
    <row r="1076" spans="9:10" x14ac:dyDescent="0.3">
      <c r="I1076" s="4" t="s">
        <v>71</v>
      </c>
      <c r="J1076" s="4">
        <v>434</v>
      </c>
    </row>
    <row r="1077" spans="9:10" x14ac:dyDescent="0.3">
      <c r="I1077" s="4" t="s">
        <v>72</v>
      </c>
      <c r="J1077" s="4">
        <v>324</v>
      </c>
    </row>
    <row r="1078" spans="9:10" x14ac:dyDescent="0.3">
      <c r="I1078" s="4" t="s">
        <v>75</v>
      </c>
      <c r="J1078" s="4">
        <v>251</v>
      </c>
    </row>
    <row r="1079" spans="9:10" x14ac:dyDescent="0.3">
      <c r="I1079" s="4" t="s">
        <v>71</v>
      </c>
      <c r="J1079" s="4">
        <v>188</v>
      </c>
    </row>
    <row r="1080" spans="9:10" x14ac:dyDescent="0.3">
      <c r="I1080" s="4" t="s">
        <v>74</v>
      </c>
      <c r="J1080" s="4">
        <v>466</v>
      </c>
    </row>
    <row r="1081" spans="9:10" x14ac:dyDescent="0.3">
      <c r="I1081" s="4" t="s">
        <v>74</v>
      </c>
      <c r="J1081" s="4">
        <v>81</v>
      </c>
    </row>
    <row r="1082" spans="9:10" x14ac:dyDescent="0.3">
      <c r="I1082" s="4" t="s">
        <v>76</v>
      </c>
      <c r="J1082" s="4">
        <v>190</v>
      </c>
    </row>
    <row r="1083" spans="9:10" x14ac:dyDescent="0.3">
      <c r="I1083" s="4" t="s">
        <v>74</v>
      </c>
      <c r="J1083" s="4">
        <v>356</v>
      </c>
    </row>
    <row r="1084" spans="9:10" x14ac:dyDescent="0.3">
      <c r="I1084" s="4" t="s">
        <v>71</v>
      </c>
      <c r="J1084" s="4">
        <v>386</v>
      </c>
    </row>
    <row r="1085" spans="9:10" x14ac:dyDescent="0.3">
      <c r="I1085" s="4" t="s">
        <v>72</v>
      </c>
      <c r="J1085" s="4">
        <v>205</v>
      </c>
    </row>
    <row r="1086" spans="9:10" x14ac:dyDescent="0.3">
      <c r="I1086" s="4" t="s">
        <v>76</v>
      </c>
      <c r="J1086" s="4">
        <v>466</v>
      </c>
    </row>
    <row r="1087" spans="9:10" x14ac:dyDescent="0.3">
      <c r="I1087" s="4" t="s">
        <v>73</v>
      </c>
      <c r="J1087" s="4">
        <v>311</v>
      </c>
    </row>
    <row r="1088" spans="9:10" x14ac:dyDescent="0.3">
      <c r="I1088" s="4" t="s">
        <v>72</v>
      </c>
      <c r="J1088" s="4">
        <v>496</v>
      </c>
    </row>
    <row r="1089" spans="9:10" x14ac:dyDescent="0.3">
      <c r="I1089" s="4" t="s">
        <v>74</v>
      </c>
      <c r="J1089" s="4">
        <v>341</v>
      </c>
    </row>
    <row r="1090" spans="9:10" x14ac:dyDescent="0.3">
      <c r="I1090" s="4" t="s">
        <v>75</v>
      </c>
      <c r="J1090" s="4">
        <v>497</v>
      </c>
    </row>
    <row r="1091" spans="9:10" x14ac:dyDescent="0.3">
      <c r="I1091" s="4" t="s">
        <v>73</v>
      </c>
      <c r="J1091" s="4">
        <v>145</v>
      </c>
    </row>
    <row r="1092" spans="9:10" x14ac:dyDescent="0.3">
      <c r="I1092" s="4" t="s">
        <v>74</v>
      </c>
      <c r="J1092" s="4">
        <v>304</v>
      </c>
    </row>
    <row r="1093" spans="9:10" x14ac:dyDescent="0.3">
      <c r="I1093" s="4" t="s">
        <v>73</v>
      </c>
      <c r="J1093" s="4">
        <v>316</v>
      </c>
    </row>
    <row r="1094" spans="9:10" x14ac:dyDescent="0.3">
      <c r="I1094" s="4" t="s">
        <v>71</v>
      </c>
      <c r="J1094" s="4">
        <v>376</v>
      </c>
    </row>
    <row r="1095" spans="9:10" x14ac:dyDescent="0.3">
      <c r="I1095" s="4" t="s">
        <v>73</v>
      </c>
      <c r="J1095" s="4">
        <v>381</v>
      </c>
    </row>
    <row r="1096" spans="9:10" x14ac:dyDescent="0.3">
      <c r="I1096" s="4" t="s">
        <v>71</v>
      </c>
      <c r="J1096" s="4">
        <v>251</v>
      </c>
    </row>
    <row r="1097" spans="9:10" x14ac:dyDescent="0.3">
      <c r="I1097" s="4" t="s">
        <v>73</v>
      </c>
      <c r="J1097" s="4">
        <v>348</v>
      </c>
    </row>
    <row r="1098" spans="9:10" x14ac:dyDescent="0.3">
      <c r="I1098" s="4" t="s">
        <v>74</v>
      </c>
      <c r="J1098" s="4">
        <v>299</v>
      </c>
    </row>
    <row r="1099" spans="9:10" x14ac:dyDescent="0.3">
      <c r="I1099" s="4" t="s">
        <v>72</v>
      </c>
      <c r="J1099" s="4">
        <v>81</v>
      </c>
    </row>
    <row r="1100" spans="9:10" x14ac:dyDescent="0.3">
      <c r="I1100" s="4" t="s">
        <v>72</v>
      </c>
      <c r="J1100" s="4">
        <v>490</v>
      </c>
    </row>
    <row r="1101" spans="9:10" x14ac:dyDescent="0.3">
      <c r="I1101" s="4" t="s">
        <v>75</v>
      </c>
      <c r="J1101" s="4">
        <v>369</v>
      </c>
    </row>
    <row r="1102" spans="9:10" x14ac:dyDescent="0.3">
      <c r="I1102" s="4" t="s">
        <v>74</v>
      </c>
      <c r="J1102" s="4">
        <v>434</v>
      </c>
    </row>
    <row r="1103" spans="9:10" x14ac:dyDescent="0.3">
      <c r="I1103" s="4" t="s">
        <v>76</v>
      </c>
      <c r="J1103" s="4">
        <v>343</v>
      </c>
    </row>
    <row r="1104" spans="9:10" x14ac:dyDescent="0.3">
      <c r="I1104" s="4" t="s">
        <v>76</v>
      </c>
      <c r="J1104" s="4">
        <v>78</v>
      </c>
    </row>
    <row r="1105" spans="9:10" x14ac:dyDescent="0.3">
      <c r="I1105" s="4" t="s">
        <v>75</v>
      </c>
      <c r="J1105" s="4">
        <v>301</v>
      </c>
    </row>
    <row r="1106" spans="9:10" x14ac:dyDescent="0.3">
      <c r="I1106" s="4" t="s">
        <v>72</v>
      </c>
      <c r="J1106" s="4">
        <v>117</v>
      </c>
    </row>
    <row r="1107" spans="9:10" x14ac:dyDescent="0.3">
      <c r="I1107" s="4" t="s">
        <v>72</v>
      </c>
      <c r="J1107" s="4">
        <v>130</v>
      </c>
    </row>
    <row r="1108" spans="9:10" x14ac:dyDescent="0.3">
      <c r="I1108" s="4" t="s">
        <v>71</v>
      </c>
      <c r="J1108" s="4">
        <v>192</v>
      </c>
    </row>
    <row r="1109" spans="9:10" x14ac:dyDescent="0.3">
      <c r="I1109" s="4" t="s">
        <v>74</v>
      </c>
      <c r="J1109" s="4">
        <v>167</v>
      </c>
    </row>
    <row r="1110" spans="9:10" x14ac:dyDescent="0.3">
      <c r="I1110" s="4" t="s">
        <v>72</v>
      </c>
      <c r="J1110" s="4">
        <v>266</v>
      </c>
    </row>
    <row r="1111" spans="9:10" x14ac:dyDescent="0.3">
      <c r="I1111" s="4" t="s">
        <v>73</v>
      </c>
      <c r="J1111" s="4">
        <v>341</v>
      </c>
    </row>
    <row r="1112" spans="9:10" x14ac:dyDescent="0.3">
      <c r="I1112" s="4" t="s">
        <v>72</v>
      </c>
      <c r="J1112" s="4">
        <v>232</v>
      </c>
    </row>
    <row r="1113" spans="9:10" x14ac:dyDescent="0.3">
      <c r="I1113" s="4" t="s">
        <v>73</v>
      </c>
      <c r="J1113" s="4">
        <v>60</v>
      </c>
    </row>
    <row r="1114" spans="9:10" x14ac:dyDescent="0.3">
      <c r="I1114" s="4" t="s">
        <v>72</v>
      </c>
      <c r="J1114" s="4">
        <v>172</v>
      </c>
    </row>
    <row r="1115" spans="9:10" x14ac:dyDescent="0.3">
      <c r="I1115" s="4" t="s">
        <v>72</v>
      </c>
      <c r="J1115" s="4">
        <v>450</v>
      </c>
    </row>
    <row r="1116" spans="9:10" x14ac:dyDescent="0.3">
      <c r="I1116" s="4" t="s">
        <v>71</v>
      </c>
      <c r="J1116" s="4">
        <v>247</v>
      </c>
    </row>
    <row r="1117" spans="9:10" x14ac:dyDescent="0.3">
      <c r="I1117" s="4" t="s">
        <v>76</v>
      </c>
      <c r="J1117" s="4">
        <v>456</v>
      </c>
    </row>
    <row r="1118" spans="9:10" x14ac:dyDescent="0.3">
      <c r="I1118" s="4" t="s">
        <v>75</v>
      </c>
      <c r="J1118" s="4">
        <v>160</v>
      </c>
    </row>
    <row r="1119" spans="9:10" x14ac:dyDescent="0.3">
      <c r="I1119" s="4" t="s">
        <v>72</v>
      </c>
      <c r="J1119" s="4">
        <v>230</v>
      </c>
    </row>
    <row r="1120" spans="9:10" x14ac:dyDescent="0.3">
      <c r="I1120" s="4" t="s">
        <v>73</v>
      </c>
      <c r="J1120" s="4">
        <v>290</v>
      </c>
    </row>
    <row r="1121" spans="9:10" x14ac:dyDescent="0.3">
      <c r="I1121" s="4" t="s">
        <v>74</v>
      </c>
      <c r="J1121" s="4">
        <v>494</v>
      </c>
    </row>
    <row r="1122" spans="9:10" x14ac:dyDescent="0.3">
      <c r="I1122" s="4" t="s">
        <v>73</v>
      </c>
      <c r="J1122" s="4">
        <v>286</v>
      </c>
    </row>
    <row r="1123" spans="9:10" x14ac:dyDescent="0.3">
      <c r="I1123" s="4" t="s">
        <v>72</v>
      </c>
      <c r="J1123" s="4">
        <v>85</v>
      </c>
    </row>
    <row r="1124" spans="9:10" x14ac:dyDescent="0.3">
      <c r="I1124" s="4" t="s">
        <v>72</v>
      </c>
      <c r="J1124" s="4">
        <v>250</v>
      </c>
    </row>
    <row r="1125" spans="9:10" x14ac:dyDescent="0.3">
      <c r="I1125" s="4" t="s">
        <v>72</v>
      </c>
      <c r="J1125" s="4">
        <v>450</v>
      </c>
    </row>
    <row r="1126" spans="9:10" x14ac:dyDescent="0.3">
      <c r="I1126" s="4" t="s">
        <v>76</v>
      </c>
      <c r="J1126" s="4">
        <v>95</v>
      </c>
    </row>
    <row r="1127" spans="9:10" x14ac:dyDescent="0.3">
      <c r="I1127" s="4" t="s">
        <v>74</v>
      </c>
      <c r="J1127" s="4">
        <v>340</v>
      </c>
    </row>
    <row r="1128" spans="9:10" x14ac:dyDescent="0.3">
      <c r="I1128" s="4" t="s">
        <v>72</v>
      </c>
      <c r="J1128" s="4">
        <v>137</v>
      </c>
    </row>
    <row r="1129" spans="9:10" x14ac:dyDescent="0.3">
      <c r="I1129" s="4" t="s">
        <v>76</v>
      </c>
      <c r="J1129" s="4">
        <v>53</v>
      </c>
    </row>
    <row r="1130" spans="9:10" x14ac:dyDescent="0.3">
      <c r="I1130" s="4" t="s">
        <v>74</v>
      </c>
      <c r="J1130" s="4">
        <v>425</v>
      </c>
    </row>
    <row r="1131" spans="9:10" x14ac:dyDescent="0.3">
      <c r="I1131" s="4" t="s">
        <v>75</v>
      </c>
      <c r="J1131" s="4">
        <v>470</v>
      </c>
    </row>
    <row r="1132" spans="9:10" x14ac:dyDescent="0.3">
      <c r="I1132" s="4" t="s">
        <v>75</v>
      </c>
      <c r="J1132" s="4">
        <v>50</v>
      </c>
    </row>
    <row r="1133" spans="9:10" x14ac:dyDescent="0.3">
      <c r="I1133" s="4" t="s">
        <v>75</v>
      </c>
      <c r="J1133" s="4">
        <v>100</v>
      </c>
    </row>
    <row r="1134" spans="9:10" x14ac:dyDescent="0.3">
      <c r="I1134" s="4" t="s">
        <v>73</v>
      </c>
      <c r="J1134" s="4">
        <v>500</v>
      </c>
    </row>
    <row r="1135" spans="9:10" x14ac:dyDescent="0.3">
      <c r="I1135" s="4" t="s">
        <v>74</v>
      </c>
      <c r="J1135" s="4">
        <v>494</v>
      </c>
    </row>
    <row r="1136" spans="9:10" x14ac:dyDescent="0.3">
      <c r="I1136" s="4" t="s">
        <v>75</v>
      </c>
      <c r="J1136" s="4">
        <v>251</v>
      </c>
    </row>
    <row r="1137" spans="9:10" x14ac:dyDescent="0.3">
      <c r="I1137" s="4" t="s">
        <v>72</v>
      </c>
      <c r="J1137" s="4">
        <v>228</v>
      </c>
    </row>
    <row r="1138" spans="9:10" x14ac:dyDescent="0.3">
      <c r="I1138" s="4" t="s">
        <v>75</v>
      </c>
      <c r="J1138" s="4">
        <v>222</v>
      </c>
    </row>
    <row r="1139" spans="9:10" x14ac:dyDescent="0.3">
      <c r="I1139" s="4" t="s">
        <v>71</v>
      </c>
      <c r="J1139" s="4">
        <v>134</v>
      </c>
    </row>
    <row r="1140" spans="9:10" x14ac:dyDescent="0.3">
      <c r="I1140" s="4" t="s">
        <v>75</v>
      </c>
      <c r="J1140" s="4">
        <v>295</v>
      </c>
    </row>
    <row r="1141" spans="9:10" x14ac:dyDescent="0.3">
      <c r="I1141" s="4" t="s">
        <v>71</v>
      </c>
      <c r="J1141" s="4">
        <v>100</v>
      </c>
    </row>
    <row r="1142" spans="9:10" x14ac:dyDescent="0.3">
      <c r="I1142" s="4" t="s">
        <v>73</v>
      </c>
      <c r="J1142" s="4">
        <v>328</v>
      </c>
    </row>
    <row r="1143" spans="9:10" x14ac:dyDescent="0.3">
      <c r="I1143" s="4" t="s">
        <v>73</v>
      </c>
      <c r="J1143" s="4">
        <v>264</v>
      </c>
    </row>
    <row r="1144" spans="9:10" x14ac:dyDescent="0.3">
      <c r="I1144" s="4" t="s">
        <v>71</v>
      </c>
      <c r="J1144" s="4">
        <v>459</v>
      </c>
    </row>
    <row r="1145" spans="9:10" x14ac:dyDescent="0.3">
      <c r="I1145" s="4" t="s">
        <v>76</v>
      </c>
      <c r="J1145" s="4">
        <v>481</v>
      </c>
    </row>
    <row r="1146" spans="9:10" x14ac:dyDescent="0.3">
      <c r="I1146" s="4" t="s">
        <v>73</v>
      </c>
      <c r="J1146" s="4">
        <v>133</v>
      </c>
    </row>
    <row r="1147" spans="9:10" x14ac:dyDescent="0.3">
      <c r="I1147" s="4" t="s">
        <v>75</v>
      </c>
      <c r="J1147" s="4">
        <v>245</v>
      </c>
    </row>
    <row r="1148" spans="9:10" x14ac:dyDescent="0.3">
      <c r="I1148" s="4" t="s">
        <v>76</v>
      </c>
      <c r="J1148" s="4">
        <v>140</v>
      </c>
    </row>
    <row r="1149" spans="9:10" x14ac:dyDescent="0.3">
      <c r="I1149" s="4" t="s">
        <v>76</v>
      </c>
      <c r="J1149" s="4">
        <v>221</v>
      </c>
    </row>
    <row r="1150" spans="9:10" x14ac:dyDescent="0.3">
      <c r="I1150" s="4" t="s">
        <v>75</v>
      </c>
      <c r="J1150" s="4">
        <v>327</v>
      </c>
    </row>
    <row r="1151" spans="9:10" x14ac:dyDescent="0.3">
      <c r="I1151" s="4" t="s">
        <v>74</v>
      </c>
      <c r="J1151" s="4">
        <v>287</v>
      </c>
    </row>
    <row r="1152" spans="9:10" x14ac:dyDescent="0.3">
      <c r="I1152" s="4" t="s">
        <v>72</v>
      </c>
      <c r="J1152" s="4">
        <v>341</v>
      </c>
    </row>
    <row r="1153" spans="9:10" x14ac:dyDescent="0.3">
      <c r="I1153" s="4" t="s">
        <v>71</v>
      </c>
      <c r="J1153" s="4">
        <v>230</v>
      </c>
    </row>
    <row r="1154" spans="9:10" x14ac:dyDescent="0.3">
      <c r="I1154" s="4" t="s">
        <v>71</v>
      </c>
      <c r="J1154" s="4">
        <v>187</v>
      </c>
    </row>
    <row r="1155" spans="9:10" x14ac:dyDescent="0.3">
      <c r="I1155" s="4" t="s">
        <v>71</v>
      </c>
      <c r="J1155" s="4">
        <v>424</v>
      </c>
    </row>
    <row r="1156" spans="9:10" x14ac:dyDescent="0.3">
      <c r="I1156" s="4" t="s">
        <v>73</v>
      </c>
      <c r="J1156" s="4">
        <v>450</v>
      </c>
    </row>
    <row r="1157" spans="9:10" x14ac:dyDescent="0.3">
      <c r="I1157" s="4" t="s">
        <v>76</v>
      </c>
      <c r="J1157" s="4">
        <v>79</v>
      </c>
    </row>
    <row r="1158" spans="9:10" x14ac:dyDescent="0.3">
      <c r="I1158" s="4" t="s">
        <v>74</v>
      </c>
      <c r="J1158" s="4">
        <v>107</v>
      </c>
    </row>
    <row r="1159" spans="9:10" x14ac:dyDescent="0.3">
      <c r="I1159" s="4" t="s">
        <v>76</v>
      </c>
      <c r="J1159" s="4">
        <v>107</v>
      </c>
    </row>
    <row r="1160" spans="9:10" x14ac:dyDescent="0.3">
      <c r="I1160" s="4" t="s">
        <v>73</v>
      </c>
      <c r="J1160" s="4">
        <v>292</v>
      </c>
    </row>
    <row r="1161" spans="9:10" x14ac:dyDescent="0.3">
      <c r="I1161" s="4" t="s">
        <v>71</v>
      </c>
      <c r="J1161" s="4">
        <v>332</v>
      </c>
    </row>
    <row r="1162" spans="9:10" x14ac:dyDescent="0.3">
      <c r="I1162" s="4" t="s">
        <v>76</v>
      </c>
      <c r="J1162" s="4">
        <v>325</v>
      </c>
    </row>
    <row r="1163" spans="9:10" x14ac:dyDescent="0.3">
      <c r="I1163" s="4" t="s">
        <v>76</v>
      </c>
      <c r="J1163" s="4">
        <v>286</v>
      </c>
    </row>
    <row r="1164" spans="9:10" x14ac:dyDescent="0.3">
      <c r="I1164" s="4" t="s">
        <v>73</v>
      </c>
      <c r="J1164" s="4">
        <v>403</v>
      </c>
    </row>
    <row r="1165" spans="9:10" x14ac:dyDescent="0.3">
      <c r="I1165" s="4" t="s">
        <v>74</v>
      </c>
      <c r="J1165" s="4">
        <v>306</v>
      </c>
    </row>
    <row r="1166" spans="9:10" x14ac:dyDescent="0.3">
      <c r="I1166" s="4" t="s">
        <v>76</v>
      </c>
      <c r="J1166" s="4">
        <v>340</v>
      </c>
    </row>
    <row r="1167" spans="9:10" x14ac:dyDescent="0.3">
      <c r="I1167" s="4" t="s">
        <v>71</v>
      </c>
      <c r="J1167" s="4">
        <v>328</v>
      </c>
    </row>
    <row r="1168" spans="9:10" x14ac:dyDescent="0.3">
      <c r="I1168" s="4" t="s">
        <v>73</v>
      </c>
      <c r="J1168" s="4">
        <v>241</v>
      </c>
    </row>
    <row r="1169" spans="9:10" x14ac:dyDescent="0.3">
      <c r="I1169" s="4" t="s">
        <v>72</v>
      </c>
      <c r="J1169" s="4">
        <v>257</v>
      </c>
    </row>
    <row r="1170" spans="9:10" x14ac:dyDescent="0.3">
      <c r="I1170" s="4" t="s">
        <v>76</v>
      </c>
      <c r="J1170" s="4">
        <v>337</v>
      </c>
    </row>
    <row r="1171" spans="9:10" x14ac:dyDescent="0.3">
      <c r="I1171" s="4" t="s">
        <v>74</v>
      </c>
      <c r="J1171" s="4">
        <v>317</v>
      </c>
    </row>
    <row r="1172" spans="9:10" x14ac:dyDescent="0.3">
      <c r="I1172" s="4" t="s">
        <v>73</v>
      </c>
      <c r="J1172" s="4">
        <v>473</v>
      </c>
    </row>
    <row r="1173" spans="9:10" x14ac:dyDescent="0.3">
      <c r="I1173" s="4" t="s">
        <v>75</v>
      </c>
      <c r="J1173" s="4">
        <v>392</v>
      </c>
    </row>
    <row r="1174" spans="9:10" x14ac:dyDescent="0.3">
      <c r="I1174" s="4" t="s">
        <v>71</v>
      </c>
      <c r="J1174" s="4">
        <v>381</v>
      </c>
    </row>
    <row r="1175" spans="9:10" x14ac:dyDescent="0.3">
      <c r="I1175" s="4" t="s">
        <v>71</v>
      </c>
      <c r="J1175" s="4">
        <v>475</v>
      </c>
    </row>
    <row r="1176" spans="9:10" x14ac:dyDescent="0.3">
      <c r="I1176" s="4" t="s">
        <v>72</v>
      </c>
      <c r="J1176" s="4">
        <v>325</v>
      </c>
    </row>
    <row r="1177" spans="9:10" x14ac:dyDescent="0.3">
      <c r="I1177" s="4" t="s">
        <v>73</v>
      </c>
      <c r="J1177" s="4">
        <v>61</v>
      </c>
    </row>
    <row r="1178" spans="9:10" x14ac:dyDescent="0.3">
      <c r="I1178" s="4" t="s">
        <v>74</v>
      </c>
      <c r="J1178" s="4">
        <v>331</v>
      </c>
    </row>
    <row r="1179" spans="9:10" x14ac:dyDescent="0.3">
      <c r="I1179" s="4" t="s">
        <v>72</v>
      </c>
      <c r="J1179" s="4">
        <v>417</v>
      </c>
    </row>
    <row r="1180" spans="9:10" x14ac:dyDescent="0.3">
      <c r="I1180" s="4" t="s">
        <v>75</v>
      </c>
      <c r="J1180" s="4">
        <v>83</v>
      </c>
    </row>
    <row r="1181" spans="9:10" x14ac:dyDescent="0.3">
      <c r="I1181" s="4" t="s">
        <v>71</v>
      </c>
      <c r="J1181" s="4">
        <v>358</v>
      </c>
    </row>
    <row r="1182" spans="9:10" x14ac:dyDescent="0.3">
      <c r="I1182" s="4" t="s">
        <v>73</v>
      </c>
      <c r="J1182" s="4">
        <v>483</v>
      </c>
    </row>
    <row r="1183" spans="9:10" x14ac:dyDescent="0.3">
      <c r="I1183" s="4" t="s">
        <v>71</v>
      </c>
      <c r="J1183" s="4">
        <v>130</v>
      </c>
    </row>
    <row r="1184" spans="9:10" x14ac:dyDescent="0.3">
      <c r="I1184" s="4" t="s">
        <v>73</v>
      </c>
      <c r="J1184" s="4">
        <v>444</v>
      </c>
    </row>
    <row r="1185" spans="9:10" x14ac:dyDescent="0.3">
      <c r="I1185" s="4" t="s">
        <v>75</v>
      </c>
      <c r="J1185" s="4">
        <v>251</v>
      </c>
    </row>
    <row r="1186" spans="9:10" x14ac:dyDescent="0.3">
      <c r="I1186" s="4" t="s">
        <v>76</v>
      </c>
      <c r="J1186" s="4">
        <v>413</v>
      </c>
    </row>
    <row r="1187" spans="9:10" x14ac:dyDescent="0.3">
      <c r="I1187" s="4" t="s">
        <v>73</v>
      </c>
      <c r="J1187" s="4">
        <v>403</v>
      </c>
    </row>
    <row r="1188" spans="9:10" x14ac:dyDescent="0.3">
      <c r="I1188" s="4" t="s">
        <v>74</v>
      </c>
      <c r="J1188" s="4">
        <v>484</v>
      </c>
    </row>
    <row r="1189" spans="9:10" x14ac:dyDescent="0.3">
      <c r="I1189" s="4" t="s">
        <v>75</v>
      </c>
      <c r="J1189" s="4">
        <v>79</v>
      </c>
    </row>
    <row r="1190" spans="9:10" x14ac:dyDescent="0.3">
      <c r="I1190" s="4" t="s">
        <v>73</v>
      </c>
      <c r="J1190" s="4">
        <v>304</v>
      </c>
    </row>
    <row r="1191" spans="9:10" x14ac:dyDescent="0.3">
      <c r="I1191" s="4" t="s">
        <v>73</v>
      </c>
      <c r="J1191" s="4">
        <v>288</v>
      </c>
    </row>
    <row r="1192" spans="9:10" x14ac:dyDescent="0.3">
      <c r="I1192" s="4" t="s">
        <v>75</v>
      </c>
      <c r="J1192" s="4">
        <v>449</v>
      </c>
    </row>
    <row r="1193" spans="9:10" x14ac:dyDescent="0.3">
      <c r="I1193" s="4" t="s">
        <v>72</v>
      </c>
      <c r="J1193" s="4">
        <v>225</v>
      </c>
    </row>
    <row r="1194" spans="9:10" x14ac:dyDescent="0.3">
      <c r="I1194" s="4" t="s">
        <v>75</v>
      </c>
      <c r="J1194" s="4">
        <v>255</v>
      </c>
    </row>
    <row r="1195" spans="9:10" x14ac:dyDescent="0.3">
      <c r="I1195" s="4" t="s">
        <v>73</v>
      </c>
      <c r="J1195" s="4">
        <v>118</v>
      </c>
    </row>
    <row r="1196" spans="9:10" x14ac:dyDescent="0.3">
      <c r="I1196" s="4" t="s">
        <v>76</v>
      </c>
      <c r="J1196" s="4">
        <v>461</v>
      </c>
    </row>
    <row r="1197" spans="9:10" x14ac:dyDescent="0.3">
      <c r="I1197" s="4" t="s">
        <v>71</v>
      </c>
      <c r="J1197" s="4">
        <v>392</v>
      </c>
    </row>
    <row r="1198" spans="9:10" x14ac:dyDescent="0.3">
      <c r="I1198" s="4" t="s">
        <v>72</v>
      </c>
      <c r="J1198" s="4">
        <v>226</v>
      </c>
    </row>
    <row r="1199" spans="9:10" x14ac:dyDescent="0.3">
      <c r="I1199" s="4" t="s">
        <v>73</v>
      </c>
      <c r="J1199" s="4">
        <v>230</v>
      </c>
    </row>
    <row r="1200" spans="9:10" x14ac:dyDescent="0.3">
      <c r="I1200" s="4" t="s">
        <v>71</v>
      </c>
      <c r="J1200" s="4">
        <v>57</v>
      </c>
    </row>
    <row r="1201" spans="9:10" x14ac:dyDescent="0.3">
      <c r="I1201" s="4" t="s">
        <v>72</v>
      </c>
      <c r="J1201" s="4">
        <v>119</v>
      </c>
    </row>
    <row r="1202" spans="9:10" x14ac:dyDescent="0.3">
      <c r="I1202" s="4" t="s">
        <v>74</v>
      </c>
      <c r="J1202" s="4">
        <v>323</v>
      </c>
    </row>
    <row r="1203" spans="9:10" x14ac:dyDescent="0.3">
      <c r="I1203" s="4" t="s">
        <v>76</v>
      </c>
      <c r="J1203" s="4">
        <v>466</v>
      </c>
    </row>
    <row r="1204" spans="9:10" x14ac:dyDescent="0.3">
      <c r="I1204" s="4" t="s">
        <v>76</v>
      </c>
      <c r="J1204" s="4">
        <v>211</v>
      </c>
    </row>
    <row r="1205" spans="9:10" x14ac:dyDescent="0.3">
      <c r="I1205" s="4" t="s">
        <v>74</v>
      </c>
      <c r="J1205" s="4">
        <v>328</v>
      </c>
    </row>
    <row r="1206" spans="9:10" x14ac:dyDescent="0.3">
      <c r="I1206" s="4" t="s">
        <v>74</v>
      </c>
      <c r="J1206" s="4">
        <v>275</v>
      </c>
    </row>
    <row r="1207" spans="9:10" x14ac:dyDescent="0.3">
      <c r="I1207" s="4" t="s">
        <v>74</v>
      </c>
      <c r="J1207" s="4">
        <v>448</v>
      </c>
    </row>
    <row r="1208" spans="9:10" x14ac:dyDescent="0.3">
      <c r="I1208" s="4" t="s">
        <v>73</v>
      </c>
      <c r="J1208" s="4">
        <v>65</v>
      </c>
    </row>
    <row r="1209" spans="9:10" x14ac:dyDescent="0.3">
      <c r="I1209" s="4" t="s">
        <v>71</v>
      </c>
      <c r="J1209" s="4">
        <v>52</v>
      </c>
    </row>
    <row r="1210" spans="9:10" x14ac:dyDescent="0.3">
      <c r="I1210" s="4" t="s">
        <v>74</v>
      </c>
      <c r="J1210" s="4">
        <v>272</v>
      </c>
    </row>
    <row r="1211" spans="9:10" x14ac:dyDescent="0.3">
      <c r="I1211" s="4" t="s">
        <v>73</v>
      </c>
      <c r="J1211" s="4">
        <v>55</v>
      </c>
    </row>
    <row r="1212" spans="9:10" x14ac:dyDescent="0.3">
      <c r="I1212" s="4" t="s">
        <v>72</v>
      </c>
      <c r="J1212" s="4">
        <v>198</v>
      </c>
    </row>
    <row r="1213" spans="9:10" x14ac:dyDescent="0.3">
      <c r="I1213" s="29" t="s">
        <v>72</v>
      </c>
      <c r="J1213" s="29">
        <v>96</v>
      </c>
    </row>
  </sheetData>
  <pageMargins left="0.7" right="0.7" top="0.75" bottom="0.75" header="0.3" footer="0.3"/>
  <pageSetup orientation="portrait" r:id="rId17"/>
  <drawing r:id="rId18"/>
  <tableParts count="1">
    <tablePart r:id="rId19"/>
  </tableParts>
  <extLst>
    <ext xmlns:x14="http://schemas.microsoft.com/office/spreadsheetml/2009/9/main" uri="{A8765BA9-456A-4dab-B4F3-ACF838C121DE}">
      <x14:slicerList>
        <x14:slicer r:id="rId20"/>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7530E-5F04-4862-BE26-09FF0CC304C3}">
  <sheetPr>
    <tabColor theme="6" tint="-0.249977111117893"/>
  </sheetPr>
  <dimension ref="A1:AK107"/>
  <sheetViews>
    <sheetView tabSelected="1" zoomScale="85" zoomScaleNormal="85" workbookViewId="0">
      <selection activeCell="R16" sqref="R16"/>
    </sheetView>
  </sheetViews>
  <sheetFormatPr defaultColWidth="9.109375" defaultRowHeight="14.4" x14ac:dyDescent="0.3"/>
  <cols>
    <col min="1" max="2" width="11.33203125" style="9" customWidth="1"/>
    <col min="3" max="3" width="4.33203125" style="9" customWidth="1"/>
    <col min="4" max="4" width="11.33203125" style="9" customWidth="1"/>
    <col min="5" max="9" width="9.109375" style="8"/>
    <col min="10" max="12" width="9.109375" style="7"/>
    <col min="13" max="13" width="9.109375" style="8"/>
    <col min="14" max="37" width="9.109375" style="7"/>
    <col min="38" max="16384" width="9.109375" style="8"/>
  </cols>
  <sheetData>
    <row r="1" spans="1:12" s="24" customFormat="1" x14ac:dyDescent="0.3">
      <c r="A1" s="28"/>
      <c r="B1" s="28"/>
      <c r="C1" s="28"/>
      <c r="D1" s="28"/>
      <c r="E1" s="25"/>
      <c r="F1" s="35"/>
      <c r="G1" s="35"/>
      <c r="H1" s="35"/>
      <c r="I1" s="35"/>
      <c r="J1" s="35"/>
      <c r="K1" s="35"/>
      <c r="L1" s="26"/>
    </row>
    <row r="2" spans="1:12" s="24" customFormat="1" x14ac:dyDescent="0.3">
      <c r="A2" s="28"/>
      <c r="B2" s="28"/>
      <c r="C2" s="28"/>
      <c r="D2" s="28"/>
      <c r="E2" s="25"/>
      <c r="F2" s="35"/>
      <c r="G2" s="35"/>
      <c r="H2" s="35"/>
      <c r="I2" s="35"/>
      <c r="J2" s="35"/>
      <c r="K2" s="35"/>
      <c r="L2" s="26"/>
    </row>
    <row r="3" spans="1:12" s="24" customFormat="1" x14ac:dyDescent="0.3">
      <c r="A3" s="28"/>
      <c r="B3" s="28"/>
      <c r="C3" s="28"/>
      <c r="D3" s="28"/>
      <c r="E3" s="25"/>
      <c r="F3" s="35"/>
      <c r="G3" s="35"/>
      <c r="H3" s="35"/>
      <c r="I3" s="35"/>
      <c r="J3" s="35"/>
      <c r="K3" s="35"/>
      <c r="L3" s="26"/>
    </row>
    <row r="4" spans="1:12" s="24" customFormat="1" x14ac:dyDescent="0.3">
      <c r="A4" s="28"/>
      <c r="B4" s="28"/>
      <c r="C4" s="28"/>
      <c r="D4" s="28"/>
      <c r="E4" s="25"/>
      <c r="F4" s="35"/>
      <c r="G4" s="35"/>
      <c r="H4" s="35"/>
      <c r="I4" s="35"/>
      <c r="J4" s="35"/>
      <c r="K4" s="35"/>
      <c r="L4" s="26"/>
    </row>
    <row r="5" spans="1:12" s="24" customFormat="1" x14ac:dyDescent="0.3">
      <c r="A5" s="28"/>
      <c r="B5" s="28"/>
      <c r="C5" s="28"/>
      <c r="D5" s="28"/>
      <c r="E5" s="25"/>
      <c r="F5" s="35"/>
      <c r="G5" s="35"/>
      <c r="H5" s="35"/>
      <c r="I5" s="35"/>
      <c r="J5" s="35"/>
      <c r="K5" s="35"/>
      <c r="L5" s="26"/>
    </row>
    <row r="6" spans="1:12" s="24" customFormat="1" ht="6.75" customHeight="1" x14ac:dyDescent="0.3">
      <c r="A6" s="28"/>
      <c r="B6" s="28"/>
      <c r="C6" s="28"/>
      <c r="D6" s="28"/>
      <c r="F6" s="35"/>
      <c r="G6" s="35"/>
      <c r="H6" s="35"/>
      <c r="I6" s="35"/>
      <c r="J6" s="35"/>
      <c r="K6" s="35"/>
    </row>
    <row r="7" spans="1:12" s="9" customFormat="1" x14ac:dyDescent="0.3"/>
    <row r="8" spans="1:12" s="9" customFormat="1" ht="14.25" customHeight="1" x14ac:dyDescent="0.3"/>
    <row r="9" spans="1:12" s="9" customFormat="1" x14ac:dyDescent="0.3"/>
    <row r="10" spans="1:12" s="9" customFormat="1" x14ac:dyDescent="0.3"/>
    <row r="11" spans="1:12" s="9" customFormat="1" x14ac:dyDescent="0.3"/>
    <row r="12" spans="1:12" s="9" customFormat="1" x14ac:dyDescent="0.3"/>
    <row r="13" spans="1:12" s="11" customFormat="1" x14ac:dyDescent="0.3"/>
    <row r="14" spans="1:12" s="11" customFormat="1" x14ac:dyDescent="0.3"/>
    <row r="15" spans="1:12" s="11" customFormat="1" ht="20.399999999999999" x14ac:dyDescent="0.45">
      <c r="F15" s="27"/>
    </row>
    <row r="16" spans="1:12" s="11" customFormat="1" x14ac:dyDescent="0.3">
      <c r="E16" s="9"/>
    </row>
    <row r="17" spans="1:37" s="13" customFormat="1" x14ac:dyDescent="0.3">
      <c r="A17" s="11"/>
      <c r="B17" s="11"/>
      <c r="C17" s="11"/>
      <c r="D17" s="11"/>
      <c r="E17" s="12"/>
      <c r="F17" s="12"/>
      <c r="G17" s="12"/>
      <c r="H17" s="12"/>
      <c r="I17" s="12"/>
      <c r="J17" s="12"/>
      <c r="K17" s="12"/>
      <c r="L17" s="7"/>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row>
    <row r="18" spans="1:37" s="13" customFormat="1" x14ac:dyDescent="0.3">
      <c r="A18" s="11"/>
      <c r="B18" s="11"/>
      <c r="C18" s="11"/>
      <c r="D18" s="11"/>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row>
    <row r="19" spans="1:37" s="13" customFormat="1" x14ac:dyDescent="0.3">
      <c r="A19" s="11"/>
      <c r="B19" s="11"/>
      <c r="C19" s="11"/>
      <c r="D19" s="11"/>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row>
    <row r="20" spans="1:37" s="13" customFormat="1" x14ac:dyDescent="0.3">
      <c r="A20" s="11"/>
      <c r="B20" s="11"/>
      <c r="C20" s="11"/>
      <c r="D20" s="11"/>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row>
    <row r="21" spans="1:37" s="13" customFormat="1" x14ac:dyDescent="0.3">
      <c r="A21" s="11"/>
      <c r="B21" s="11"/>
      <c r="C21" s="11"/>
      <c r="D21" s="11"/>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row>
    <row r="22" spans="1:37" s="13" customFormat="1" x14ac:dyDescent="0.3">
      <c r="A22" s="11"/>
      <c r="B22" s="11"/>
      <c r="C22" s="11"/>
      <c r="D22" s="11"/>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row>
    <row r="23" spans="1:37" s="13" customFormat="1" x14ac:dyDescent="0.3">
      <c r="A23" s="11"/>
      <c r="B23" s="11"/>
      <c r="C23" s="11"/>
      <c r="D23" s="11"/>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row>
    <row r="24" spans="1:37" s="13" customFormat="1" x14ac:dyDescent="0.3">
      <c r="A24" s="11"/>
      <c r="B24" s="11"/>
      <c r="C24" s="11"/>
      <c r="D24" s="11"/>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row>
    <row r="25" spans="1:37" s="13" customFormat="1" x14ac:dyDescent="0.3">
      <c r="A25" s="11"/>
      <c r="B25" s="11"/>
      <c r="C25" s="11"/>
      <c r="D25" s="11"/>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row>
    <row r="26" spans="1:37" s="13" customFormat="1" x14ac:dyDescent="0.3">
      <c r="A26" s="11"/>
      <c r="B26" s="11"/>
      <c r="C26" s="11"/>
      <c r="D26" s="11"/>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row>
    <row r="27" spans="1:37" s="13" customFormat="1" x14ac:dyDescent="0.3">
      <c r="A27" s="11"/>
      <c r="B27" s="11"/>
      <c r="C27" s="11"/>
      <c r="D27" s="11"/>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row>
    <row r="28" spans="1:37" s="13" customFormat="1" x14ac:dyDescent="0.3">
      <c r="A28" s="11"/>
      <c r="B28" s="11"/>
      <c r="C28" s="11"/>
      <c r="D28" s="11"/>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row>
    <row r="29" spans="1:37" s="13" customFormat="1" x14ac:dyDescent="0.3">
      <c r="A29" s="11"/>
      <c r="B29" s="11"/>
      <c r="C29" s="11"/>
      <c r="D29" s="11"/>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row>
    <row r="30" spans="1:37" s="13" customFormat="1" x14ac:dyDescent="0.3">
      <c r="A30" s="11"/>
      <c r="B30" s="11"/>
      <c r="C30" s="11"/>
      <c r="D30" s="11"/>
      <c r="E30" s="12"/>
      <c r="F30" s="12"/>
      <c r="G30" s="12"/>
      <c r="H30" s="12"/>
      <c r="I30" s="12"/>
      <c r="J30" s="12"/>
      <c r="K30" s="12"/>
      <c r="L30" s="7"/>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row>
    <row r="31" spans="1:37" s="13" customFormat="1" x14ac:dyDescent="0.3">
      <c r="A31" s="11"/>
      <c r="B31" s="11"/>
      <c r="C31" s="11"/>
      <c r="D31" s="11"/>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row>
    <row r="32" spans="1:37" s="13" customFormat="1" x14ac:dyDescent="0.3">
      <c r="A32" s="11"/>
      <c r="B32" s="11"/>
      <c r="C32" s="11"/>
      <c r="D32" s="11"/>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row>
    <row r="33" spans="1:37" s="13" customFormat="1" x14ac:dyDescent="0.3">
      <c r="A33" s="11"/>
      <c r="B33" s="11"/>
      <c r="C33" s="11"/>
      <c r="D33" s="11"/>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row>
    <row r="34" spans="1:37" s="13" customFormat="1" x14ac:dyDescent="0.3">
      <c r="A34" s="11"/>
      <c r="B34" s="11"/>
      <c r="C34" s="11"/>
      <c r="D34" s="11"/>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row>
    <row r="35" spans="1:37" s="13" customFormat="1" x14ac:dyDescent="0.3">
      <c r="A35" s="11"/>
      <c r="B35" s="11"/>
      <c r="C35" s="11"/>
      <c r="D35" s="11"/>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row>
    <row r="36" spans="1:37" s="13" customFormat="1" x14ac:dyDescent="0.3">
      <c r="A36" s="11"/>
      <c r="B36" s="11"/>
      <c r="C36" s="11"/>
      <c r="D36" s="11"/>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row>
    <row r="37" spans="1:37" s="13" customFormat="1" x14ac:dyDescent="0.3">
      <c r="A37" s="11"/>
      <c r="B37" s="11"/>
      <c r="C37" s="11"/>
      <c r="D37" s="11"/>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row>
    <row r="38" spans="1:37" x14ac:dyDescent="0.3">
      <c r="E38" s="7"/>
      <c r="F38" s="7"/>
      <c r="G38" s="7"/>
      <c r="H38" s="7"/>
      <c r="I38" s="7"/>
      <c r="M38" s="7"/>
    </row>
    <row r="39" spans="1:37" x14ac:dyDescent="0.3">
      <c r="E39" s="7"/>
      <c r="F39" s="7"/>
      <c r="G39" s="7"/>
      <c r="H39" s="7"/>
      <c r="I39" s="7"/>
      <c r="M39" s="7"/>
    </row>
    <row r="40" spans="1:37" x14ac:dyDescent="0.3">
      <c r="E40" s="7"/>
      <c r="F40" s="7"/>
      <c r="G40" s="7"/>
      <c r="H40" s="7"/>
      <c r="I40" s="7"/>
      <c r="M40" s="7"/>
    </row>
    <row r="41" spans="1:37" x14ac:dyDescent="0.3">
      <c r="E41" s="7"/>
      <c r="F41" s="7"/>
      <c r="G41" s="7"/>
      <c r="H41" s="7"/>
      <c r="I41" s="7"/>
      <c r="M41" s="7"/>
    </row>
    <row r="42" spans="1:37" x14ac:dyDescent="0.3">
      <c r="E42" s="7"/>
      <c r="F42" s="7"/>
      <c r="G42" s="7"/>
      <c r="H42" s="7"/>
      <c r="I42" s="7"/>
      <c r="M42" s="7"/>
    </row>
    <row r="43" spans="1:37" x14ac:dyDescent="0.3">
      <c r="D43" s="9" t="s">
        <v>79</v>
      </c>
      <c r="E43" s="7"/>
      <c r="F43" s="7"/>
      <c r="G43" s="7"/>
      <c r="H43" s="7"/>
      <c r="I43" s="7"/>
      <c r="M43" s="7"/>
    </row>
    <row r="44" spans="1:37" x14ac:dyDescent="0.3">
      <c r="E44" s="7"/>
      <c r="F44" s="7"/>
      <c r="G44" s="7"/>
      <c r="H44" s="7"/>
      <c r="I44" s="7"/>
      <c r="M44" s="7"/>
    </row>
    <row r="45" spans="1:37" x14ac:dyDescent="0.3">
      <c r="E45" s="7"/>
      <c r="F45" s="7"/>
      <c r="G45" s="7"/>
      <c r="H45" s="7"/>
      <c r="I45" s="7"/>
      <c r="M45" s="7"/>
    </row>
    <row r="46" spans="1:37" x14ac:dyDescent="0.3">
      <c r="E46" s="7"/>
      <c r="F46" s="7"/>
      <c r="G46" s="7"/>
      <c r="H46" s="7"/>
      <c r="I46" s="7"/>
      <c r="M46" s="7"/>
    </row>
    <row r="47" spans="1:37" x14ac:dyDescent="0.3">
      <c r="E47" s="7"/>
      <c r="F47" s="7"/>
      <c r="G47" s="7"/>
      <c r="H47" s="7"/>
      <c r="I47" s="7"/>
      <c r="M47" s="7"/>
    </row>
    <row r="48" spans="1:37" x14ac:dyDescent="0.3">
      <c r="E48" s="7"/>
      <c r="F48" s="7"/>
      <c r="G48" s="7"/>
      <c r="H48" s="7"/>
      <c r="I48" s="7"/>
      <c r="M48" s="7"/>
    </row>
    <row r="49" spans="5:13" x14ac:dyDescent="0.3">
      <c r="E49" s="7"/>
      <c r="F49" s="7"/>
      <c r="G49" s="7"/>
      <c r="H49" s="7"/>
      <c r="I49" s="7"/>
      <c r="M49" s="7"/>
    </row>
    <row r="50" spans="5:13" x14ac:dyDescent="0.3">
      <c r="E50" s="7"/>
      <c r="F50" s="7"/>
      <c r="G50" s="7"/>
      <c r="H50" s="7"/>
      <c r="I50" s="7"/>
      <c r="M50" s="7"/>
    </row>
    <row r="51" spans="5:13" x14ac:dyDescent="0.3">
      <c r="E51" s="7"/>
      <c r="F51" s="7"/>
      <c r="G51" s="7"/>
      <c r="H51" s="7"/>
      <c r="I51" s="7"/>
      <c r="M51" s="7"/>
    </row>
    <row r="52" spans="5:13" x14ac:dyDescent="0.3">
      <c r="E52" s="7"/>
      <c r="F52" s="7"/>
      <c r="G52" s="7"/>
      <c r="H52" s="7"/>
      <c r="I52" s="7"/>
      <c r="M52" s="7"/>
    </row>
    <row r="53" spans="5:13" x14ac:dyDescent="0.3">
      <c r="E53" s="7"/>
      <c r="F53" s="7"/>
      <c r="G53" s="7"/>
      <c r="H53" s="7"/>
      <c r="I53" s="7"/>
      <c r="M53" s="7"/>
    </row>
    <row r="54" spans="5:13" x14ac:dyDescent="0.3">
      <c r="E54" s="7"/>
      <c r="F54" s="7"/>
      <c r="G54" s="7"/>
      <c r="H54" s="7"/>
      <c r="I54" s="7"/>
      <c r="M54" s="7"/>
    </row>
    <row r="55" spans="5:13" x14ac:dyDescent="0.3">
      <c r="E55" s="7"/>
      <c r="F55" s="7"/>
      <c r="G55" s="7"/>
      <c r="H55" s="7"/>
      <c r="I55" s="7"/>
      <c r="M55" s="7"/>
    </row>
    <row r="56" spans="5:13" x14ac:dyDescent="0.3">
      <c r="E56" s="7"/>
      <c r="F56" s="7"/>
      <c r="G56" s="7"/>
      <c r="H56" s="7"/>
      <c r="I56" s="7"/>
      <c r="M56" s="7"/>
    </row>
    <row r="57" spans="5:13" x14ac:dyDescent="0.3">
      <c r="E57" s="7"/>
      <c r="F57" s="7"/>
      <c r="G57" s="7"/>
      <c r="H57" s="7"/>
      <c r="I57" s="7"/>
      <c r="M57" s="7"/>
    </row>
    <row r="58" spans="5:13" x14ac:dyDescent="0.3">
      <c r="E58" s="7"/>
      <c r="F58" s="7"/>
      <c r="G58" s="7"/>
      <c r="H58" s="7"/>
      <c r="I58" s="7"/>
      <c r="M58" s="7"/>
    </row>
    <row r="59" spans="5:13" x14ac:dyDescent="0.3">
      <c r="E59" s="7"/>
      <c r="F59" s="7"/>
      <c r="G59" s="7"/>
      <c r="H59" s="7"/>
      <c r="I59" s="7"/>
      <c r="M59" s="7"/>
    </row>
    <row r="60" spans="5:13" x14ac:dyDescent="0.3">
      <c r="E60" s="7"/>
      <c r="F60" s="7"/>
      <c r="G60" s="7"/>
      <c r="H60" s="7"/>
      <c r="I60" s="7"/>
      <c r="M60" s="7"/>
    </row>
    <row r="61" spans="5:13" x14ac:dyDescent="0.3">
      <c r="E61" s="7"/>
      <c r="F61" s="7"/>
      <c r="G61" s="7"/>
      <c r="H61" s="7"/>
      <c r="I61" s="7"/>
      <c r="M61" s="7"/>
    </row>
    <row r="62" spans="5:13" x14ac:dyDescent="0.3">
      <c r="E62" s="7"/>
      <c r="F62" s="7"/>
      <c r="G62" s="7"/>
      <c r="H62" s="7"/>
      <c r="I62" s="7"/>
      <c r="M62" s="7"/>
    </row>
    <row r="63" spans="5:13" x14ac:dyDescent="0.3">
      <c r="E63" s="7"/>
      <c r="F63" s="7"/>
      <c r="G63" s="7"/>
      <c r="H63" s="7"/>
      <c r="I63" s="7"/>
      <c r="M63" s="7"/>
    </row>
    <row r="64" spans="5:13" x14ac:dyDescent="0.3">
      <c r="E64" s="7"/>
      <c r="F64" s="7"/>
      <c r="G64" s="7"/>
      <c r="H64" s="7"/>
      <c r="I64" s="7"/>
      <c r="M64" s="7"/>
    </row>
    <row r="65" spans="5:13" x14ac:dyDescent="0.3">
      <c r="E65" s="7"/>
      <c r="F65" s="7"/>
      <c r="G65" s="7"/>
      <c r="H65" s="7"/>
      <c r="I65" s="7"/>
      <c r="M65" s="7"/>
    </row>
    <row r="66" spans="5:13" x14ac:dyDescent="0.3">
      <c r="E66" s="7"/>
      <c r="F66" s="7"/>
      <c r="G66" s="7"/>
      <c r="H66" s="7"/>
      <c r="I66" s="7"/>
      <c r="M66" s="7"/>
    </row>
    <row r="67" spans="5:13" x14ac:dyDescent="0.3">
      <c r="E67" s="7"/>
      <c r="F67" s="7"/>
      <c r="G67" s="7"/>
      <c r="H67" s="7"/>
      <c r="I67" s="7"/>
      <c r="M67" s="7"/>
    </row>
    <row r="68" spans="5:13" x14ac:dyDescent="0.3">
      <c r="E68" s="7"/>
      <c r="F68" s="7"/>
      <c r="G68" s="7"/>
      <c r="H68" s="7"/>
      <c r="I68" s="7"/>
      <c r="M68" s="7"/>
    </row>
    <row r="69" spans="5:13" x14ac:dyDescent="0.3">
      <c r="E69" s="7"/>
      <c r="F69" s="7"/>
      <c r="G69" s="7"/>
      <c r="H69" s="7"/>
      <c r="I69" s="7"/>
      <c r="M69" s="7"/>
    </row>
    <row r="70" spans="5:13" x14ac:dyDescent="0.3">
      <c r="E70" s="7"/>
      <c r="F70" s="7"/>
      <c r="G70" s="7"/>
      <c r="H70" s="7"/>
      <c r="I70" s="7"/>
      <c r="M70" s="7"/>
    </row>
    <row r="71" spans="5:13" x14ac:dyDescent="0.3">
      <c r="E71" s="7"/>
      <c r="F71" s="7"/>
      <c r="G71" s="7"/>
      <c r="H71" s="7"/>
      <c r="I71" s="7"/>
      <c r="M71" s="7"/>
    </row>
    <row r="72" spans="5:13" x14ac:dyDescent="0.3">
      <c r="E72" s="7"/>
      <c r="F72" s="7"/>
      <c r="G72" s="7"/>
      <c r="H72" s="7"/>
      <c r="I72" s="7"/>
      <c r="M72" s="7"/>
    </row>
    <row r="73" spans="5:13" x14ac:dyDescent="0.3">
      <c r="E73" s="7"/>
      <c r="F73" s="7"/>
      <c r="G73" s="7"/>
      <c r="H73" s="7"/>
      <c r="I73" s="7"/>
      <c r="M73" s="7"/>
    </row>
    <row r="74" spans="5:13" x14ac:dyDescent="0.3">
      <c r="E74" s="7"/>
      <c r="F74" s="7"/>
      <c r="G74" s="7"/>
      <c r="H74" s="7"/>
      <c r="I74" s="7"/>
      <c r="M74" s="7"/>
    </row>
    <row r="75" spans="5:13" x14ac:dyDescent="0.3">
      <c r="E75" s="7"/>
      <c r="F75" s="7"/>
      <c r="G75" s="7"/>
      <c r="H75" s="7"/>
      <c r="I75" s="7"/>
      <c r="M75" s="7"/>
    </row>
    <row r="76" spans="5:13" x14ac:dyDescent="0.3">
      <c r="E76" s="7"/>
      <c r="F76" s="7"/>
      <c r="G76" s="7"/>
      <c r="H76" s="7"/>
      <c r="I76" s="7"/>
      <c r="M76" s="7"/>
    </row>
    <row r="77" spans="5:13" x14ac:dyDescent="0.3">
      <c r="E77" s="7"/>
      <c r="F77" s="7"/>
      <c r="G77" s="7"/>
      <c r="H77" s="7"/>
      <c r="I77" s="7"/>
      <c r="M77" s="7"/>
    </row>
    <row r="78" spans="5:13" x14ac:dyDescent="0.3">
      <c r="E78" s="7"/>
      <c r="F78" s="7"/>
      <c r="G78" s="7"/>
      <c r="H78" s="7"/>
      <c r="I78" s="7"/>
      <c r="M78" s="7"/>
    </row>
    <row r="79" spans="5:13" x14ac:dyDescent="0.3">
      <c r="E79" s="7"/>
      <c r="F79" s="7"/>
      <c r="G79" s="7"/>
      <c r="H79" s="7"/>
      <c r="I79" s="7"/>
      <c r="M79" s="7"/>
    </row>
    <row r="80" spans="5:13" x14ac:dyDescent="0.3">
      <c r="E80" s="7"/>
      <c r="F80" s="7"/>
      <c r="G80" s="7"/>
      <c r="H80" s="7"/>
      <c r="I80" s="7"/>
      <c r="M80" s="7"/>
    </row>
    <row r="81" spans="5:13" x14ac:dyDescent="0.3">
      <c r="E81" s="7"/>
      <c r="F81" s="7"/>
      <c r="G81" s="7"/>
      <c r="H81" s="7"/>
      <c r="I81" s="7"/>
      <c r="M81" s="7"/>
    </row>
    <row r="82" spans="5:13" x14ac:dyDescent="0.3">
      <c r="E82" s="7"/>
      <c r="F82" s="7"/>
      <c r="G82" s="7"/>
      <c r="H82" s="7"/>
      <c r="I82" s="7"/>
      <c r="M82" s="7"/>
    </row>
    <row r="83" spans="5:13" x14ac:dyDescent="0.3">
      <c r="E83" s="7"/>
      <c r="F83" s="7"/>
      <c r="G83" s="7"/>
      <c r="H83" s="7"/>
      <c r="I83" s="7"/>
      <c r="M83" s="7"/>
    </row>
    <row r="84" spans="5:13" x14ac:dyDescent="0.3">
      <c r="E84" s="7"/>
      <c r="F84" s="7"/>
      <c r="G84" s="7"/>
      <c r="H84" s="7"/>
      <c r="I84" s="7"/>
      <c r="M84" s="7"/>
    </row>
    <row r="85" spans="5:13" x14ac:dyDescent="0.3">
      <c r="E85" s="7"/>
      <c r="F85" s="7"/>
      <c r="G85" s="7"/>
      <c r="H85" s="7"/>
      <c r="I85" s="7"/>
      <c r="M85" s="7"/>
    </row>
    <row r="86" spans="5:13" x14ac:dyDescent="0.3">
      <c r="E86" s="7"/>
      <c r="F86" s="7"/>
      <c r="G86" s="7"/>
      <c r="H86" s="7"/>
      <c r="I86" s="7"/>
      <c r="M86" s="7"/>
    </row>
    <row r="87" spans="5:13" x14ac:dyDescent="0.3">
      <c r="E87" s="7"/>
      <c r="F87" s="7"/>
      <c r="G87" s="7"/>
      <c r="H87" s="7"/>
      <c r="I87" s="7"/>
      <c r="M87" s="7"/>
    </row>
    <row r="88" spans="5:13" x14ac:dyDescent="0.3">
      <c r="E88" s="7"/>
      <c r="F88" s="7"/>
      <c r="G88" s="7"/>
      <c r="H88" s="7"/>
      <c r="I88" s="7"/>
      <c r="M88" s="7"/>
    </row>
    <row r="89" spans="5:13" x14ac:dyDescent="0.3">
      <c r="E89" s="7"/>
      <c r="F89" s="7"/>
      <c r="G89" s="7"/>
      <c r="H89" s="7"/>
      <c r="I89" s="7"/>
      <c r="M89" s="7"/>
    </row>
    <row r="90" spans="5:13" x14ac:dyDescent="0.3">
      <c r="E90" s="7"/>
      <c r="F90" s="7"/>
      <c r="G90" s="7"/>
      <c r="H90" s="7"/>
      <c r="I90" s="7"/>
      <c r="M90" s="7"/>
    </row>
    <row r="91" spans="5:13" x14ac:dyDescent="0.3">
      <c r="E91" s="7"/>
      <c r="F91" s="7"/>
      <c r="G91" s="7"/>
      <c r="H91" s="7"/>
      <c r="I91" s="7"/>
      <c r="M91" s="7"/>
    </row>
    <row r="92" spans="5:13" x14ac:dyDescent="0.3">
      <c r="E92" s="7"/>
      <c r="F92" s="7"/>
      <c r="G92" s="7"/>
      <c r="H92" s="7"/>
      <c r="I92" s="7"/>
      <c r="M92" s="7"/>
    </row>
    <row r="93" spans="5:13" x14ac:dyDescent="0.3">
      <c r="E93" s="7"/>
      <c r="F93" s="7"/>
      <c r="G93" s="7"/>
      <c r="H93" s="7"/>
      <c r="I93" s="7"/>
      <c r="M93" s="7"/>
    </row>
    <row r="94" spans="5:13" x14ac:dyDescent="0.3">
      <c r="E94" s="7"/>
      <c r="F94" s="7"/>
      <c r="G94" s="7"/>
      <c r="H94" s="7"/>
      <c r="I94" s="7"/>
      <c r="M94" s="7"/>
    </row>
    <row r="95" spans="5:13" x14ac:dyDescent="0.3">
      <c r="E95" s="7"/>
      <c r="F95" s="7"/>
      <c r="G95" s="7"/>
      <c r="H95" s="7"/>
      <c r="I95" s="7"/>
      <c r="M95" s="7"/>
    </row>
    <row r="96" spans="5:13" x14ac:dyDescent="0.3">
      <c r="E96" s="7"/>
      <c r="F96" s="7"/>
      <c r="G96" s="7"/>
      <c r="H96" s="7"/>
      <c r="I96" s="7"/>
      <c r="M96" s="7"/>
    </row>
    <row r="97" spans="5:13" x14ac:dyDescent="0.3">
      <c r="E97" s="7"/>
      <c r="F97" s="7"/>
      <c r="G97" s="7"/>
      <c r="H97" s="7"/>
      <c r="I97" s="7"/>
      <c r="M97" s="7"/>
    </row>
    <row r="98" spans="5:13" x14ac:dyDescent="0.3">
      <c r="E98" s="7"/>
      <c r="F98" s="7"/>
      <c r="G98" s="7"/>
      <c r="H98" s="7"/>
      <c r="I98" s="7"/>
      <c r="M98" s="7"/>
    </row>
    <row r="99" spans="5:13" x14ac:dyDescent="0.3">
      <c r="E99" s="7"/>
      <c r="F99" s="7"/>
      <c r="G99" s="7"/>
      <c r="H99" s="7"/>
      <c r="I99" s="7"/>
      <c r="M99" s="7"/>
    </row>
    <row r="100" spans="5:13" x14ac:dyDescent="0.3">
      <c r="E100" s="7"/>
      <c r="F100" s="7"/>
      <c r="G100" s="7"/>
      <c r="H100" s="7"/>
      <c r="I100" s="7"/>
      <c r="M100" s="7"/>
    </row>
    <row r="101" spans="5:13" x14ac:dyDescent="0.3">
      <c r="E101" s="7"/>
      <c r="F101" s="7"/>
      <c r="G101" s="7"/>
      <c r="H101" s="7"/>
      <c r="I101" s="7"/>
      <c r="M101" s="7"/>
    </row>
    <row r="102" spans="5:13" x14ac:dyDescent="0.3">
      <c r="E102" s="7"/>
      <c r="F102" s="7"/>
      <c r="G102" s="7"/>
      <c r="H102" s="7"/>
      <c r="I102" s="7"/>
      <c r="M102" s="7"/>
    </row>
    <row r="103" spans="5:13" x14ac:dyDescent="0.3">
      <c r="E103" s="7"/>
      <c r="F103" s="7"/>
      <c r="G103" s="7"/>
      <c r="H103" s="7"/>
      <c r="I103" s="7"/>
      <c r="M103" s="7"/>
    </row>
    <row r="104" spans="5:13" x14ac:dyDescent="0.3">
      <c r="E104" s="7"/>
      <c r="F104" s="7"/>
      <c r="G104" s="7"/>
      <c r="H104" s="7"/>
      <c r="I104" s="7"/>
      <c r="M104" s="7"/>
    </row>
    <row r="105" spans="5:13" x14ac:dyDescent="0.3">
      <c r="E105" s="7"/>
      <c r="F105" s="7"/>
      <c r="G105" s="7"/>
      <c r="H105" s="7"/>
      <c r="I105" s="7"/>
      <c r="M105" s="7"/>
    </row>
    <row r="106" spans="5:13" x14ac:dyDescent="0.3">
      <c r="E106" s="7"/>
      <c r="F106" s="7"/>
      <c r="G106" s="7"/>
      <c r="H106" s="7"/>
      <c r="I106" s="7"/>
      <c r="M106" s="7"/>
    </row>
    <row r="107" spans="5:13" x14ac:dyDescent="0.3">
      <c r="E107" s="7"/>
      <c r="F107" s="7"/>
      <c r="G107" s="7"/>
      <c r="H107" s="7"/>
      <c r="I107" s="7"/>
      <c r="M107" s="7"/>
    </row>
  </sheetData>
  <mergeCells count="1">
    <mergeCell ref="F1:K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3A4CF648-6AED-40f4-86FF-DC5316D8AED3}">
      <x14:slicerList xmlns:x14="http://schemas.microsoft.com/office/spreadsheetml/2009/9/main">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77332087-A854-47E5-813B-5450C42412CC}">
  <ds:schemaRefs>
    <ds:schemaRef ds:uri="http://www.w3.org/2001/XMLSchema"/>
    <ds:schemaRef ds:uri="http://microsoft.data.visualization.Client.Excel/1.0"/>
  </ds:schemaRefs>
</ds:datastoreItem>
</file>

<file path=customXml/itemProps2.xml><?xml version="1.0" encoding="utf-8"?>
<ds:datastoreItem xmlns:ds="http://schemas.openxmlformats.org/officeDocument/2006/customXml" ds:itemID="{3D702FF9-6ADC-4D0D-AF3E-C745F2E83CD7}">
  <ds:schemaRefs>
    <ds:schemaRef ds:uri="http://www.w3.org/2001/XMLSchema"/>
    <ds:schemaRef ds:uri="http://microsoft.data.visualization.engine.tours/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Sheet1</vt:lpstr>
      <vt:lpstr>Sheet2</vt:lpstr>
      <vt:lpstr>Organic_Data</vt:lpstr>
      <vt:lpstr>pivot table</vt:lpstr>
      <vt:lpstr>business performance overview</vt:lpstr>
      <vt:lpstr>Organic_Data!Extract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arushigoregaonkar@outlook.com</cp:lastModifiedBy>
  <dcterms:created xsi:type="dcterms:W3CDTF">2026-04-10T20:55:04Z</dcterms:created>
  <dcterms:modified xsi:type="dcterms:W3CDTF">2026-06-26T15:11:29Z</dcterms:modified>
</cp:coreProperties>
</file>